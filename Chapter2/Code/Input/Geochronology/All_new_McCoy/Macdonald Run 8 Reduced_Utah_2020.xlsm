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anttila/Documents/GitHub/McCoy_2023/Input/Geochronology/All_new_McCoy/"/>
    </mc:Choice>
  </mc:AlternateContent>
  <xr:revisionPtr revIDLastSave="0" documentId="13_ncr:1_{386DB244-5B5C-1F40-949D-BC99EAFEADB4}" xr6:coauthVersionLast="47" xr6:coauthVersionMax="47" xr10:uidLastSave="{00000000-0000-0000-0000-000000000000}"/>
  <bookViews>
    <workbookView xWindow="0" yWindow="620" windowWidth="28800" windowHeight="15840" activeTab="1" xr2:uid="{00000000-000D-0000-FFFF-FFFF00000000}"/>
  </bookViews>
  <sheets>
    <sheet name="MacdRun8_Output_1" sheetId="1" r:id="rId1"/>
    <sheet name="DV_F2002-204.9" sheetId="2" r:id="rId2"/>
    <sheet name="DV_F2003-3" sheetId="3" r:id="rId3"/>
    <sheet name="DV_f2005-275" sheetId="4" r:id="rId4"/>
    <sheet name="F2020-2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H71" i="5" l="1"/>
  <c r="BI71" i="5" s="1"/>
  <c r="X71" i="5"/>
  <c r="W71" i="5"/>
  <c r="V71" i="5"/>
  <c r="S71" i="5"/>
  <c r="BI70" i="5"/>
  <c r="BH70" i="5"/>
  <c r="X70" i="5"/>
  <c r="W70" i="5"/>
  <c r="V70" i="5"/>
  <c r="S70" i="5"/>
  <c r="BH69" i="5"/>
  <c r="BI69" i="5" s="1"/>
  <c r="X69" i="5"/>
  <c r="W69" i="5"/>
  <c r="V69" i="5"/>
  <c r="S69" i="5"/>
  <c r="BH68" i="5"/>
  <c r="BI68" i="5" s="1"/>
  <c r="X68" i="5"/>
  <c r="W68" i="5"/>
  <c r="V68" i="5"/>
  <c r="S68" i="5"/>
  <c r="BI67" i="5"/>
  <c r="BH67" i="5"/>
  <c r="X67" i="5"/>
  <c r="W67" i="5"/>
  <c r="V67" i="5"/>
  <c r="S67" i="5"/>
  <c r="BI66" i="5"/>
  <c r="BH66" i="5"/>
  <c r="X66" i="5"/>
  <c r="W66" i="5"/>
  <c r="V66" i="5"/>
  <c r="S66" i="5"/>
  <c r="BH65" i="5"/>
  <c r="BI65" i="5" s="1"/>
  <c r="X65" i="5"/>
  <c r="W65" i="5"/>
  <c r="V65" i="5"/>
  <c r="S65" i="5"/>
  <c r="BI64" i="5"/>
  <c r="BH64" i="5"/>
  <c r="X64" i="5"/>
  <c r="W64" i="5"/>
  <c r="V64" i="5"/>
  <c r="S64" i="5"/>
  <c r="BI63" i="5"/>
  <c r="BH63" i="5"/>
  <c r="X63" i="5"/>
  <c r="W63" i="5"/>
  <c r="V63" i="5"/>
  <c r="S63" i="5"/>
  <c r="BI62" i="5"/>
  <c r="BH62" i="5"/>
  <c r="X62" i="5"/>
  <c r="W62" i="5"/>
  <c r="V62" i="5"/>
  <c r="S62" i="5"/>
  <c r="BH61" i="5"/>
  <c r="BI61" i="5" s="1"/>
  <c r="X61" i="5"/>
  <c r="W61" i="5"/>
  <c r="V61" i="5"/>
  <c r="S61" i="5"/>
  <c r="BH60" i="5"/>
  <c r="BI60" i="5" s="1"/>
  <c r="X60" i="5"/>
  <c r="W60" i="5"/>
  <c r="V60" i="5"/>
  <c r="S60" i="5"/>
  <c r="BI59" i="5"/>
  <c r="BH59" i="5"/>
  <c r="X59" i="5"/>
  <c r="W59" i="5"/>
  <c r="V59" i="5"/>
  <c r="S59" i="5"/>
  <c r="BI58" i="5"/>
  <c r="BH58" i="5"/>
  <c r="X58" i="5"/>
  <c r="W58" i="5"/>
  <c r="V58" i="5"/>
  <c r="S58" i="5"/>
  <c r="BH57" i="5"/>
  <c r="BI57" i="5" s="1"/>
  <c r="X57" i="5"/>
  <c r="W57" i="5"/>
  <c r="V57" i="5"/>
  <c r="S57" i="5"/>
  <c r="BI56" i="5"/>
  <c r="BH56" i="5"/>
  <c r="X56" i="5"/>
  <c r="W56" i="5"/>
  <c r="V56" i="5"/>
  <c r="S56" i="5"/>
  <c r="BI55" i="5"/>
  <c r="BH55" i="5"/>
  <c r="X55" i="5"/>
  <c r="W55" i="5"/>
  <c r="V55" i="5"/>
  <c r="S55" i="5"/>
  <c r="BI54" i="5"/>
  <c r="BH54" i="5"/>
  <c r="X54" i="5"/>
  <c r="W54" i="5"/>
  <c r="V54" i="5"/>
  <c r="S54" i="5"/>
  <c r="BH53" i="5"/>
  <c r="BI53" i="5" s="1"/>
  <c r="X53" i="5"/>
  <c r="W53" i="5"/>
  <c r="V53" i="5"/>
  <c r="S53" i="5"/>
  <c r="BH52" i="5"/>
  <c r="BI52" i="5" s="1"/>
  <c r="X52" i="5"/>
  <c r="W52" i="5"/>
  <c r="V52" i="5"/>
  <c r="S52" i="5"/>
  <c r="BI51" i="5"/>
  <c r="BH51" i="5"/>
  <c r="X51" i="5"/>
  <c r="W51" i="5"/>
  <c r="V51" i="5"/>
  <c r="S51" i="5"/>
  <c r="BI50" i="5"/>
  <c r="BH50" i="5"/>
  <c r="X50" i="5"/>
  <c r="W50" i="5"/>
  <c r="V50" i="5"/>
  <c r="S50" i="5"/>
  <c r="BH49" i="5"/>
  <c r="BI49" i="5" s="1"/>
  <c r="X49" i="5"/>
  <c r="W49" i="5"/>
  <c r="V49" i="5"/>
  <c r="S49" i="5"/>
  <c r="BI48" i="5"/>
  <c r="BH48" i="5"/>
  <c r="X48" i="5"/>
  <c r="W48" i="5"/>
  <c r="V48" i="5"/>
  <c r="S48" i="5"/>
  <c r="BI47" i="5"/>
  <c r="BH47" i="5"/>
  <c r="X47" i="5"/>
  <c r="W47" i="5"/>
  <c r="V47" i="5"/>
  <c r="S47" i="5"/>
  <c r="BI46" i="5"/>
  <c r="BH46" i="5"/>
  <c r="X46" i="5"/>
  <c r="W46" i="5"/>
  <c r="V46" i="5"/>
  <c r="S46" i="5"/>
  <c r="BH45" i="5"/>
  <c r="BI45" i="5" s="1"/>
  <c r="X45" i="5"/>
  <c r="W45" i="5"/>
  <c r="V45" i="5"/>
  <c r="S45" i="5"/>
  <c r="BH44" i="5"/>
  <c r="BI44" i="5" s="1"/>
  <c r="X44" i="5"/>
  <c r="W44" i="5"/>
  <c r="V44" i="5"/>
  <c r="S44" i="5"/>
  <c r="BI43" i="5"/>
  <c r="BH43" i="5"/>
  <c r="X43" i="5"/>
  <c r="W43" i="5"/>
  <c r="V43" i="5"/>
  <c r="S43" i="5"/>
  <c r="BI42" i="5"/>
  <c r="BH42" i="5"/>
  <c r="X42" i="5"/>
  <c r="W42" i="5"/>
  <c r="V42" i="5"/>
  <c r="S42" i="5"/>
  <c r="BH41" i="5"/>
  <c r="BI41" i="5" s="1"/>
  <c r="X41" i="5"/>
  <c r="W41" i="5"/>
  <c r="V41" i="5"/>
  <c r="S41" i="5"/>
  <c r="BI40" i="5"/>
  <c r="BH40" i="5"/>
  <c r="X40" i="5"/>
  <c r="W40" i="5"/>
  <c r="V40" i="5"/>
  <c r="S40" i="5"/>
  <c r="BI39" i="5"/>
  <c r="BH39" i="5"/>
  <c r="X39" i="5"/>
  <c r="W39" i="5"/>
  <c r="V39" i="5"/>
  <c r="S39" i="5"/>
  <c r="BI38" i="5"/>
  <c r="BH38" i="5"/>
  <c r="X38" i="5"/>
  <c r="W38" i="5"/>
  <c r="V38" i="5"/>
  <c r="S38" i="5"/>
  <c r="BH37" i="5"/>
  <c r="BI37" i="5" s="1"/>
  <c r="X37" i="5"/>
  <c r="W37" i="5"/>
  <c r="V37" i="5"/>
  <c r="S37" i="5"/>
  <c r="BH36" i="5"/>
  <c r="BI36" i="5" s="1"/>
  <c r="X36" i="5"/>
  <c r="W36" i="5"/>
  <c r="V36" i="5"/>
  <c r="S36" i="5"/>
  <c r="BI35" i="5"/>
  <c r="BH35" i="5"/>
  <c r="X35" i="5"/>
  <c r="W35" i="5"/>
  <c r="V35" i="5"/>
  <c r="S35" i="5"/>
  <c r="BI34" i="5"/>
  <c r="BH34" i="5"/>
  <c r="X34" i="5"/>
  <c r="W34" i="5"/>
  <c r="V34" i="5"/>
  <c r="S34" i="5"/>
  <c r="BH33" i="5"/>
  <c r="BI33" i="5" s="1"/>
  <c r="X33" i="5"/>
  <c r="W33" i="5"/>
  <c r="V33" i="5"/>
  <c r="S33" i="5"/>
  <c r="BI32" i="5"/>
  <c r="BH32" i="5"/>
  <c r="X32" i="5"/>
  <c r="W32" i="5"/>
  <c r="V32" i="5"/>
  <c r="S32" i="5"/>
  <c r="BI31" i="5"/>
  <c r="BH31" i="5"/>
  <c r="X31" i="5"/>
  <c r="W31" i="5"/>
  <c r="V31" i="5"/>
  <c r="S31" i="5"/>
  <c r="BI30" i="5"/>
  <c r="BH30" i="5"/>
  <c r="X30" i="5"/>
  <c r="W30" i="5"/>
  <c r="V30" i="5"/>
  <c r="S30" i="5"/>
  <c r="BH29" i="5"/>
  <c r="BI29" i="5" s="1"/>
  <c r="X29" i="5"/>
  <c r="W29" i="5"/>
  <c r="V29" i="5"/>
  <c r="S29" i="5"/>
  <c r="BH28" i="5"/>
  <c r="BI28" i="5" s="1"/>
  <c r="X28" i="5"/>
  <c r="W28" i="5"/>
  <c r="V28" i="5"/>
  <c r="S28" i="5"/>
  <c r="BI27" i="5"/>
  <c r="BH27" i="5"/>
  <c r="X27" i="5"/>
  <c r="W27" i="5"/>
  <c r="V27" i="5"/>
  <c r="S27" i="5"/>
  <c r="BI26" i="5"/>
  <c r="BH26" i="5"/>
  <c r="X26" i="5"/>
  <c r="W26" i="5"/>
  <c r="V26" i="5"/>
  <c r="S26" i="5"/>
  <c r="BH25" i="5"/>
  <c r="BI25" i="5" s="1"/>
  <c r="X25" i="5"/>
  <c r="W25" i="5"/>
  <c r="V25" i="5"/>
  <c r="S25" i="5"/>
  <c r="BI24" i="5"/>
  <c r="BH24" i="5"/>
  <c r="X24" i="5"/>
  <c r="W24" i="5"/>
  <c r="V24" i="5"/>
  <c r="S24" i="5"/>
  <c r="BI23" i="5"/>
  <c r="BH23" i="5"/>
  <c r="X23" i="5"/>
  <c r="W23" i="5"/>
  <c r="V23" i="5"/>
  <c r="S23" i="5"/>
  <c r="BI22" i="5"/>
  <c r="BH22" i="5"/>
  <c r="X22" i="5"/>
  <c r="W22" i="5"/>
  <c r="V22" i="5"/>
  <c r="S22" i="5"/>
  <c r="BH21" i="5"/>
  <c r="BI21" i="5" s="1"/>
  <c r="X21" i="5"/>
  <c r="W21" i="5"/>
  <c r="V21" i="5"/>
  <c r="S21" i="5"/>
  <c r="BH20" i="5"/>
  <c r="BI20" i="5" s="1"/>
  <c r="X20" i="5"/>
  <c r="W20" i="5"/>
  <c r="V20" i="5"/>
  <c r="S20" i="5"/>
  <c r="BH19" i="5"/>
  <c r="BI19" i="5" s="1"/>
  <c r="X19" i="5"/>
  <c r="W19" i="5"/>
  <c r="V19" i="5"/>
  <c r="S19" i="5"/>
  <c r="BI18" i="5"/>
  <c r="BH18" i="5"/>
  <c r="X18" i="5"/>
  <c r="W18" i="5"/>
  <c r="V18" i="5"/>
  <c r="S18" i="5"/>
  <c r="BH17" i="5"/>
  <c r="BI17" i="5" s="1"/>
  <c r="X17" i="5"/>
  <c r="W17" i="5"/>
  <c r="V17" i="5"/>
  <c r="S17" i="5"/>
  <c r="BI16" i="5"/>
  <c r="BH16" i="5"/>
  <c r="X16" i="5"/>
  <c r="W16" i="5"/>
  <c r="V16" i="5"/>
  <c r="S16" i="5"/>
  <c r="BI15" i="5"/>
  <c r="BH15" i="5"/>
  <c r="X15" i="5"/>
  <c r="W15" i="5"/>
  <c r="V15" i="5"/>
  <c r="S15" i="5"/>
  <c r="BI14" i="5"/>
  <c r="BH14" i="5"/>
  <c r="X14" i="5"/>
  <c r="W14" i="5"/>
  <c r="V14" i="5"/>
  <c r="S14" i="5"/>
  <c r="BH13" i="5"/>
  <c r="BI13" i="5" s="1"/>
  <c r="X13" i="5"/>
  <c r="W13" i="5"/>
  <c r="V13" i="5"/>
  <c r="S13" i="5"/>
  <c r="BH12" i="5"/>
  <c r="BI12" i="5" s="1"/>
  <c r="X12" i="5"/>
  <c r="W12" i="5"/>
  <c r="V12" i="5"/>
  <c r="S12" i="5"/>
  <c r="BI11" i="5"/>
  <c r="BH11" i="5"/>
  <c r="X11" i="5"/>
  <c r="W11" i="5"/>
  <c r="V11" i="5"/>
  <c r="S11" i="5"/>
  <c r="BI10" i="5"/>
  <c r="BH10" i="5"/>
  <c r="X10" i="5"/>
  <c r="W10" i="5"/>
  <c r="V10" i="5"/>
  <c r="S10" i="5"/>
  <c r="BH9" i="5"/>
  <c r="BI9" i="5" s="1"/>
  <c r="X9" i="5"/>
  <c r="W9" i="5"/>
  <c r="V9" i="5"/>
  <c r="S9" i="5"/>
  <c r="BI8" i="5"/>
  <c r="BH8" i="5"/>
  <c r="X8" i="5"/>
  <c r="W8" i="5"/>
  <c r="V8" i="5"/>
  <c r="S8" i="5"/>
  <c r="BI7" i="5"/>
  <c r="BH7" i="5"/>
  <c r="X7" i="5"/>
  <c r="W7" i="5"/>
  <c r="V7" i="5"/>
  <c r="S7" i="5"/>
  <c r="BI6" i="5"/>
  <c r="BH6" i="5"/>
  <c r="X6" i="5"/>
  <c r="W6" i="5"/>
  <c r="V6" i="5"/>
  <c r="S6" i="5"/>
  <c r="BH5" i="5"/>
  <c r="BI5" i="5" s="1"/>
  <c r="X5" i="5"/>
  <c r="W5" i="5"/>
  <c r="V5" i="5"/>
  <c r="S5" i="5"/>
  <c r="BH4" i="5"/>
  <c r="BI4" i="5" s="1"/>
  <c r="X4" i="5"/>
  <c r="W4" i="5"/>
  <c r="V4" i="5"/>
  <c r="S4" i="5"/>
  <c r="BI3" i="5"/>
  <c r="BH3" i="5"/>
  <c r="X3" i="5"/>
  <c r="W3" i="5"/>
  <c r="V3" i="5"/>
  <c r="S3" i="5"/>
  <c r="BI2" i="5"/>
  <c r="BH2" i="5"/>
  <c r="X2" i="5"/>
  <c r="W2" i="5"/>
  <c r="V2" i="5"/>
  <c r="S2" i="5"/>
  <c r="BH105" i="4"/>
  <c r="BI105" i="4" s="1"/>
  <c r="X105" i="4"/>
  <c r="W105" i="4"/>
  <c r="V105" i="4"/>
  <c r="S105" i="4"/>
  <c r="BH104" i="4"/>
  <c r="BI104" i="4" s="1"/>
  <c r="X104" i="4"/>
  <c r="W104" i="4"/>
  <c r="V104" i="4"/>
  <c r="S104" i="4"/>
  <c r="BH103" i="4"/>
  <c r="BI103" i="4" s="1"/>
  <c r="X103" i="4"/>
  <c r="W103" i="4"/>
  <c r="V103" i="4"/>
  <c r="S103" i="4"/>
  <c r="BH102" i="4"/>
  <c r="BI102" i="4" s="1"/>
  <c r="X102" i="4"/>
  <c r="W102" i="4"/>
  <c r="V102" i="4"/>
  <c r="S102" i="4"/>
  <c r="BH101" i="4"/>
  <c r="BI101" i="4" s="1"/>
  <c r="X101" i="4"/>
  <c r="W101" i="4"/>
  <c r="V101" i="4"/>
  <c r="S101" i="4"/>
  <c r="BH100" i="4"/>
  <c r="BI100" i="4" s="1"/>
  <c r="X100" i="4"/>
  <c r="W100" i="4"/>
  <c r="V100" i="4"/>
  <c r="S100" i="4"/>
  <c r="BI99" i="4"/>
  <c r="BH99" i="4"/>
  <c r="X99" i="4"/>
  <c r="W99" i="4"/>
  <c r="V99" i="4"/>
  <c r="S99" i="4"/>
  <c r="BI98" i="4"/>
  <c r="BH98" i="4"/>
  <c r="X98" i="4"/>
  <c r="W98" i="4"/>
  <c r="V98" i="4"/>
  <c r="S98" i="4"/>
  <c r="BI97" i="4"/>
  <c r="BH97" i="4"/>
  <c r="X97" i="4"/>
  <c r="W97" i="4"/>
  <c r="V97" i="4"/>
  <c r="S97" i="4"/>
  <c r="BH96" i="4"/>
  <c r="BI96" i="4" s="1"/>
  <c r="X96" i="4"/>
  <c r="W96" i="4"/>
  <c r="V96" i="4"/>
  <c r="S96" i="4"/>
  <c r="BH95" i="4"/>
  <c r="BI95" i="4" s="1"/>
  <c r="X95" i="4"/>
  <c r="W95" i="4"/>
  <c r="V95" i="4"/>
  <c r="S95" i="4"/>
  <c r="BH94" i="4"/>
  <c r="BI94" i="4" s="1"/>
  <c r="X94" i="4"/>
  <c r="W94" i="4"/>
  <c r="V94" i="4"/>
  <c r="S94" i="4"/>
  <c r="BH93" i="4"/>
  <c r="BI93" i="4" s="1"/>
  <c r="X93" i="4"/>
  <c r="W93" i="4"/>
  <c r="V93" i="4"/>
  <c r="S93" i="4"/>
  <c r="BH92" i="4"/>
  <c r="BI92" i="4" s="1"/>
  <c r="X92" i="4"/>
  <c r="W92" i="4"/>
  <c r="V92" i="4"/>
  <c r="S92" i="4"/>
  <c r="BI91" i="4"/>
  <c r="BH91" i="4"/>
  <c r="X91" i="4"/>
  <c r="W91" i="4"/>
  <c r="V91" i="4"/>
  <c r="S91" i="4"/>
  <c r="BI90" i="4"/>
  <c r="BH90" i="4"/>
  <c r="X90" i="4"/>
  <c r="W90" i="4"/>
  <c r="V90" i="4"/>
  <c r="S90" i="4"/>
  <c r="BH89" i="4"/>
  <c r="BI89" i="4" s="1"/>
  <c r="X89" i="4"/>
  <c r="W89" i="4"/>
  <c r="V89" i="4"/>
  <c r="S89" i="4"/>
  <c r="BH88" i="4"/>
  <c r="BI88" i="4" s="1"/>
  <c r="X88" i="4"/>
  <c r="W88" i="4"/>
  <c r="V88" i="4"/>
  <c r="S88" i="4"/>
  <c r="BH87" i="4"/>
  <c r="BI87" i="4" s="1"/>
  <c r="X87" i="4"/>
  <c r="W87" i="4"/>
  <c r="V87" i="4"/>
  <c r="S87" i="4"/>
  <c r="BH86" i="4"/>
  <c r="BI86" i="4" s="1"/>
  <c r="X86" i="4"/>
  <c r="W86" i="4"/>
  <c r="V86" i="4"/>
  <c r="S86" i="4"/>
  <c r="BH85" i="4"/>
  <c r="BI85" i="4" s="1"/>
  <c r="X85" i="4"/>
  <c r="W85" i="4"/>
  <c r="V85" i="4"/>
  <c r="S85" i="4"/>
  <c r="BI84" i="4"/>
  <c r="BH84" i="4"/>
  <c r="X84" i="4"/>
  <c r="W84" i="4"/>
  <c r="V84" i="4"/>
  <c r="S84" i="4"/>
  <c r="BH83" i="4"/>
  <c r="BI83" i="4" s="1"/>
  <c r="X83" i="4"/>
  <c r="W83" i="4"/>
  <c r="V83" i="4"/>
  <c r="S83" i="4"/>
  <c r="BI82" i="4"/>
  <c r="BH82" i="4"/>
  <c r="X82" i="4"/>
  <c r="W82" i="4"/>
  <c r="V82" i="4"/>
  <c r="S82" i="4"/>
  <c r="BH81" i="4"/>
  <c r="BI81" i="4" s="1"/>
  <c r="X81" i="4"/>
  <c r="W81" i="4"/>
  <c r="V81" i="4"/>
  <c r="S81" i="4"/>
  <c r="BI80" i="4"/>
  <c r="BH80" i="4"/>
  <c r="X80" i="4"/>
  <c r="W80" i="4"/>
  <c r="V80" i="4"/>
  <c r="S80" i="4"/>
  <c r="BH79" i="4"/>
  <c r="BI79" i="4" s="1"/>
  <c r="X79" i="4"/>
  <c r="W79" i="4"/>
  <c r="V79" i="4"/>
  <c r="S79" i="4"/>
  <c r="BH78" i="4"/>
  <c r="BI78" i="4" s="1"/>
  <c r="X78" i="4"/>
  <c r="W78" i="4"/>
  <c r="V78" i="4"/>
  <c r="S78" i="4"/>
  <c r="BH77" i="4"/>
  <c r="BI77" i="4" s="1"/>
  <c r="X77" i="4"/>
  <c r="W77" i="4"/>
  <c r="V77" i="4"/>
  <c r="S77" i="4"/>
  <c r="BH76" i="4"/>
  <c r="BI76" i="4" s="1"/>
  <c r="X76" i="4"/>
  <c r="W76" i="4"/>
  <c r="V76" i="4"/>
  <c r="S76" i="4"/>
  <c r="BH75" i="4"/>
  <c r="BI75" i="4" s="1"/>
  <c r="X75" i="4"/>
  <c r="W75" i="4"/>
  <c r="V75" i="4"/>
  <c r="S75" i="4"/>
  <c r="BH74" i="4"/>
  <c r="BI74" i="4" s="1"/>
  <c r="X74" i="4"/>
  <c r="W74" i="4"/>
  <c r="V74" i="4"/>
  <c r="S74" i="4"/>
  <c r="BI73" i="4"/>
  <c r="BH73" i="4"/>
  <c r="X73" i="4"/>
  <c r="W73" i="4"/>
  <c r="V73" i="4"/>
  <c r="S73" i="4"/>
  <c r="BH72" i="4"/>
  <c r="BI72" i="4" s="1"/>
  <c r="X72" i="4"/>
  <c r="W72" i="4"/>
  <c r="V72" i="4"/>
  <c r="S72" i="4"/>
  <c r="BH71" i="4"/>
  <c r="BI71" i="4" s="1"/>
  <c r="X71" i="4"/>
  <c r="W71" i="4"/>
  <c r="V71" i="4"/>
  <c r="S71" i="4"/>
  <c r="BH70" i="4"/>
  <c r="BI70" i="4" s="1"/>
  <c r="X70" i="4"/>
  <c r="W70" i="4"/>
  <c r="V70" i="4"/>
  <c r="S70" i="4"/>
  <c r="BH69" i="4"/>
  <c r="BI69" i="4" s="1"/>
  <c r="X69" i="4"/>
  <c r="W69" i="4"/>
  <c r="V69" i="4"/>
  <c r="S69" i="4"/>
  <c r="BI68" i="4"/>
  <c r="BH68" i="4"/>
  <c r="X68" i="4"/>
  <c r="W68" i="4"/>
  <c r="V68" i="4"/>
  <c r="S68" i="4"/>
  <c r="BI67" i="4"/>
  <c r="BH67" i="4"/>
  <c r="X67" i="4"/>
  <c r="W67" i="4"/>
  <c r="V67" i="4"/>
  <c r="S67" i="4"/>
  <c r="BH66" i="4"/>
  <c r="BI66" i="4" s="1"/>
  <c r="X66" i="4"/>
  <c r="W66" i="4"/>
  <c r="V66" i="4"/>
  <c r="S66" i="4"/>
  <c r="BI65" i="4"/>
  <c r="BH65" i="4"/>
  <c r="X65" i="4"/>
  <c r="W65" i="4"/>
  <c r="V65" i="4"/>
  <c r="S65" i="4"/>
  <c r="BI64" i="4"/>
  <c r="BH64" i="4"/>
  <c r="X64" i="4"/>
  <c r="W64" i="4"/>
  <c r="V64" i="4"/>
  <c r="S64" i="4"/>
  <c r="BI63" i="4"/>
  <c r="BH63" i="4"/>
  <c r="X63" i="4"/>
  <c r="W63" i="4"/>
  <c r="V63" i="4"/>
  <c r="S63" i="4"/>
  <c r="BH62" i="4"/>
  <c r="BI62" i="4" s="1"/>
  <c r="X62" i="4"/>
  <c r="W62" i="4"/>
  <c r="V62" i="4"/>
  <c r="S62" i="4"/>
  <c r="BH61" i="4"/>
  <c r="BI61" i="4" s="1"/>
  <c r="X61" i="4"/>
  <c r="W61" i="4"/>
  <c r="V61" i="4"/>
  <c r="S61" i="4"/>
  <c r="BI60" i="4"/>
  <c r="BH60" i="4"/>
  <c r="X60" i="4"/>
  <c r="W60" i="4"/>
  <c r="V60" i="4"/>
  <c r="S60" i="4"/>
  <c r="BH59" i="4"/>
  <c r="BI59" i="4" s="1"/>
  <c r="X59" i="4"/>
  <c r="W59" i="4"/>
  <c r="V59" i="4"/>
  <c r="S59" i="4"/>
  <c r="BI58" i="4"/>
  <c r="BH58" i="4"/>
  <c r="X58" i="4"/>
  <c r="W58" i="4"/>
  <c r="V58" i="4"/>
  <c r="S58" i="4"/>
  <c r="BI57" i="4"/>
  <c r="BH57" i="4"/>
  <c r="X57" i="4"/>
  <c r="W57" i="4"/>
  <c r="V57" i="4"/>
  <c r="S57" i="4"/>
  <c r="BI56" i="4"/>
  <c r="BH56" i="4"/>
  <c r="X56" i="4"/>
  <c r="W56" i="4"/>
  <c r="V56" i="4"/>
  <c r="S56" i="4"/>
  <c r="BH55" i="4"/>
  <c r="BI55" i="4" s="1"/>
  <c r="X55" i="4"/>
  <c r="W55" i="4"/>
  <c r="V55" i="4"/>
  <c r="S55" i="4"/>
  <c r="BH54" i="4"/>
  <c r="BI54" i="4" s="1"/>
  <c r="X54" i="4"/>
  <c r="W54" i="4"/>
  <c r="V54" i="4"/>
  <c r="S54" i="4"/>
  <c r="BH53" i="4"/>
  <c r="BI53" i="4" s="1"/>
  <c r="X53" i="4"/>
  <c r="W53" i="4"/>
  <c r="V53" i="4"/>
  <c r="S53" i="4"/>
  <c r="BH52" i="4"/>
  <c r="BI52" i="4" s="1"/>
  <c r="X52" i="4"/>
  <c r="W52" i="4"/>
  <c r="V52" i="4"/>
  <c r="S52" i="4"/>
  <c r="BI51" i="4"/>
  <c r="BH51" i="4"/>
  <c r="X51" i="4"/>
  <c r="W51" i="4"/>
  <c r="V51" i="4"/>
  <c r="S51" i="4"/>
  <c r="BH50" i="4"/>
  <c r="BI50" i="4" s="1"/>
  <c r="X50" i="4"/>
  <c r="W50" i="4"/>
  <c r="V50" i="4"/>
  <c r="S50" i="4"/>
  <c r="BI49" i="4"/>
  <c r="BH49" i="4"/>
  <c r="X49" i="4"/>
  <c r="W49" i="4"/>
  <c r="V49" i="4"/>
  <c r="S49" i="4"/>
  <c r="BH48" i="4"/>
  <c r="BI48" i="4" s="1"/>
  <c r="X48" i="4"/>
  <c r="W48" i="4"/>
  <c r="V48" i="4"/>
  <c r="S48" i="4"/>
  <c r="BI47" i="4"/>
  <c r="BH47" i="4"/>
  <c r="X47" i="4"/>
  <c r="W47" i="4"/>
  <c r="V47" i="4"/>
  <c r="S47" i="4"/>
  <c r="BH46" i="4"/>
  <c r="BI46" i="4" s="1"/>
  <c r="X46" i="4"/>
  <c r="W46" i="4"/>
  <c r="V46" i="4"/>
  <c r="S46" i="4"/>
  <c r="BH45" i="4"/>
  <c r="BI45" i="4" s="1"/>
  <c r="X45" i="4"/>
  <c r="W45" i="4"/>
  <c r="V45" i="4"/>
  <c r="S45" i="4"/>
  <c r="BI44" i="4"/>
  <c r="BH44" i="4"/>
  <c r="X44" i="4"/>
  <c r="W44" i="4"/>
  <c r="V44" i="4"/>
  <c r="S44" i="4"/>
  <c r="BH43" i="4"/>
  <c r="BI43" i="4" s="1"/>
  <c r="X43" i="4"/>
  <c r="W43" i="4"/>
  <c r="V43" i="4"/>
  <c r="S43" i="4"/>
  <c r="BI42" i="4"/>
  <c r="BH42" i="4"/>
  <c r="X42" i="4"/>
  <c r="W42" i="4"/>
  <c r="V42" i="4"/>
  <c r="S42" i="4"/>
  <c r="BH41" i="4"/>
  <c r="BI41" i="4" s="1"/>
  <c r="X41" i="4"/>
  <c r="W41" i="4"/>
  <c r="V41" i="4"/>
  <c r="S41" i="4"/>
  <c r="BI40" i="4"/>
  <c r="BH40" i="4"/>
  <c r="X40" i="4"/>
  <c r="W40" i="4"/>
  <c r="V40" i="4"/>
  <c r="S40" i="4"/>
  <c r="BH39" i="4"/>
  <c r="BI39" i="4" s="1"/>
  <c r="X39" i="4"/>
  <c r="W39" i="4"/>
  <c r="V39" i="4"/>
  <c r="S39" i="4"/>
  <c r="BH38" i="4"/>
  <c r="BI38" i="4" s="1"/>
  <c r="X38" i="4"/>
  <c r="W38" i="4"/>
  <c r="V38" i="4"/>
  <c r="S38" i="4"/>
  <c r="BH37" i="4"/>
  <c r="BI37" i="4" s="1"/>
  <c r="X37" i="4"/>
  <c r="W37" i="4"/>
  <c r="V37" i="4"/>
  <c r="S37" i="4"/>
  <c r="BH36" i="4"/>
  <c r="BI36" i="4" s="1"/>
  <c r="X36" i="4"/>
  <c r="W36" i="4"/>
  <c r="V36" i="4"/>
  <c r="S36" i="4"/>
  <c r="BI35" i="4"/>
  <c r="BH35" i="4"/>
  <c r="X35" i="4"/>
  <c r="W35" i="4"/>
  <c r="V35" i="4"/>
  <c r="S35" i="4"/>
  <c r="BH34" i="4"/>
  <c r="BI34" i="4" s="1"/>
  <c r="X34" i="4"/>
  <c r="W34" i="4"/>
  <c r="V34" i="4"/>
  <c r="S34" i="4"/>
  <c r="BI33" i="4"/>
  <c r="BH33" i="4"/>
  <c r="X33" i="4"/>
  <c r="W33" i="4"/>
  <c r="V33" i="4"/>
  <c r="S33" i="4"/>
  <c r="BH32" i="4"/>
  <c r="BI32" i="4" s="1"/>
  <c r="X32" i="4"/>
  <c r="W32" i="4"/>
  <c r="V32" i="4"/>
  <c r="S32" i="4"/>
  <c r="BI31" i="4"/>
  <c r="BH31" i="4"/>
  <c r="X31" i="4"/>
  <c r="W31" i="4"/>
  <c r="V31" i="4"/>
  <c r="S31" i="4"/>
  <c r="BH30" i="4"/>
  <c r="BI30" i="4" s="1"/>
  <c r="X30" i="4"/>
  <c r="W30" i="4"/>
  <c r="V30" i="4"/>
  <c r="S30" i="4"/>
  <c r="BH29" i="4"/>
  <c r="BI29" i="4" s="1"/>
  <c r="X29" i="4"/>
  <c r="W29" i="4"/>
  <c r="V29" i="4"/>
  <c r="S29" i="4"/>
  <c r="BI28" i="4"/>
  <c r="BH28" i="4"/>
  <c r="X28" i="4"/>
  <c r="W28" i="4"/>
  <c r="V28" i="4"/>
  <c r="S28" i="4"/>
  <c r="BH27" i="4"/>
  <c r="BI27" i="4" s="1"/>
  <c r="X27" i="4"/>
  <c r="W27" i="4"/>
  <c r="V27" i="4"/>
  <c r="S27" i="4"/>
  <c r="BI26" i="4"/>
  <c r="BH26" i="4"/>
  <c r="X26" i="4"/>
  <c r="W26" i="4"/>
  <c r="V26" i="4"/>
  <c r="S26" i="4"/>
  <c r="BH25" i="4"/>
  <c r="BI25" i="4" s="1"/>
  <c r="X25" i="4"/>
  <c r="W25" i="4"/>
  <c r="V25" i="4"/>
  <c r="S25" i="4"/>
  <c r="BH24" i="4"/>
  <c r="BI24" i="4" s="1"/>
  <c r="X24" i="4"/>
  <c r="W24" i="4"/>
  <c r="V24" i="4"/>
  <c r="S24" i="4"/>
  <c r="BH23" i="4"/>
  <c r="BI23" i="4" s="1"/>
  <c r="X23" i="4"/>
  <c r="W23" i="4"/>
  <c r="V23" i="4"/>
  <c r="S23" i="4"/>
  <c r="BH22" i="4"/>
  <c r="BI22" i="4" s="1"/>
  <c r="X22" i="4"/>
  <c r="W22" i="4"/>
  <c r="V22" i="4"/>
  <c r="S22" i="4"/>
  <c r="BI21" i="4"/>
  <c r="BH21" i="4"/>
  <c r="X21" i="4"/>
  <c r="W21" i="4"/>
  <c r="V21" i="4"/>
  <c r="S21" i="4"/>
  <c r="BH20" i="4"/>
  <c r="BI20" i="4" s="1"/>
  <c r="X20" i="4"/>
  <c r="W20" i="4"/>
  <c r="V20" i="4"/>
  <c r="S20" i="4"/>
  <c r="BH19" i="4"/>
  <c r="BI19" i="4" s="1"/>
  <c r="X19" i="4"/>
  <c r="W19" i="4"/>
  <c r="V19" i="4"/>
  <c r="S19" i="4"/>
  <c r="BH18" i="4"/>
  <c r="BI18" i="4" s="1"/>
  <c r="X18" i="4"/>
  <c r="W18" i="4"/>
  <c r="V18" i="4"/>
  <c r="S18" i="4"/>
  <c r="BH17" i="4"/>
  <c r="BI17" i="4" s="1"/>
  <c r="X17" i="4"/>
  <c r="W17" i="4"/>
  <c r="V17" i="4"/>
  <c r="S17" i="4"/>
  <c r="BH16" i="4"/>
  <c r="BI16" i="4" s="1"/>
  <c r="X16" i="4"/>
  <c r="W16" i="4"/>
  <c r="V16" i="4"/>
  <c r="S16" i="4"/>
  <c r="BH15" i="4"/>
  <c r="BI15" i="4" s="1"/>
  <c r="X15" i="4"/>
  <c r="W15" i="4"/>
  <c r="V15" i="4"/>
  <c r="S15" i="4"/>
  <c r="BH14" i="4"/>
  <c r="BI14" i="4" s="1"/>
  <c r="X14" i="4"/>
  <c r="W14" i="4"/>
  <c r="V14" i="4"/>
  <c r="S14" i="4"/>
  <c r="BH13" i="4"/>
  <c r="BI13" i="4" s="1"/>
  <c r="X13" i="4"/>
  <c r="W13" i="4"/>
  <c r="V13" i="4"/>
  <c r="S13" i="4"/>
  <c r="BH12" i="4"/>
  <c r="BI12" i="4" s="1"/>
  <c r="X12" i="4"/>
  <c r="W12" i="4"/>
  <c r="V12" i="4"/>
  <c r="S12" i="4"/>
  <c r="BH11" i="4"/>
  <c r="BI11" i="4" s="1"/>
  <c r="X11" i="4"/>
  <c r="W11" i="4"/>
  <c r="V11" i="4"/>
  <c r="S11" i="4"/>
  <c r="BI10" i="4"/>
  <c r="BH10" i="4"/>
  <c r="X10" i="4"/>
  <c r="W10" i="4"/>
  <c r="V10" i="4"/>
  <c r="S10" i="4"/>
  <c r="BH9" i="4"/>
  <c r="BI9" i="4" s="1"/>
  <c r="X9" i="4"/>
  <c r="W9" i="4"/>
  <c r="V9" i="4"/>
  <c r="S9" i="4"/>
  <c r="BH8" i="4"/>
  <c r="BI8" i="4" s="1"/>
  <c r="X8" i="4"/>
  <c r="W8" i="4"/>
  <c r="V8" i="4"/>
  <c r="S8" i="4"/>
  <c r="BH7" i="4"/>
  <c r="BI7" i="4" s="1"/>
  <c r="X7" i="4"/>
  <c r="W7" i="4"/>
  <c r="V7" i="4"/>
  <c r="S7" i="4"/>
  <c r="BH6" i="4"/>
  <c r="BI6" i="4" s="1"/>
  <c r="X6" i="4"/>
  <c r="W6" i="4"/>
  <c r="V6" i="4"/>
  <c r="S6" i="4"/>
  <c r="BI5" i="4"/>
  <c r="BH5" i="4"/>
  <c r="X5" i="4"/>
  <c r="W5" i="4"/>
  <c r="V5" i="4"/>
  <c r="S5" i="4"/>
  <c r="BH4" i="4"/>
  <c r="BI4" i="4" s="1"/>
  <c r="X4" i="4"/>
  <c r="W4" i="4"/>
  <c r="V4" i="4"/>
  <c r="S4" i="4"/>
  <c r="BI3" i="4"/>
  <c r="BH3" i="4"/>
  <c r="X3" i="4"/>
  <c r="W3" i="4"/>
  <c r="V3" i="4"/>
  <c r="S3" i="4"/>
  <c r="BI2" i="4"/>
  <c r="BH2" i="4"/>
  <c r="X2" i="4"/>
  <c r="W2" i="4"/>
  <c r="V2" i="4"/>
  <c r="S2" i="4"/>
  <c r="BH69" i="3"/>
  <c r="BI69" i="3" s="1"/>
  <c r="X69" i="3"/>
  <c r="W69" i="3"/>
  <c r="V69" i="3"/>
  <c r="S69" i="3"/>
  <c r="BH68" i="3"/>
  <c r="BI68" i="3" s="1"/>
  <c r="X68" i="3"/>
  <c r="W68" i="3"/>
  <c r="V68" i="3"/>
  <c r="S68" i="3"/>
  <c r="BI67" i="3"/>
  <c r="BH67" i="3"/>
  <c r="X67" i="3"/>
  <c r="W67" i="3"/>
  <c r="V67" i="3"/>
  <c r="S67" i="3"/>
  <c r="BH66" i="3"/>
  <c r="BI66" i="3" s="1"/>
  <c r="X66" i="3"/>
  <c r="W66" i="3"/>
  <c r="V66" i="3"/>
  <c r="S66" i="3"/>
  <c r="BI65" i="3"/>
  <c r="BH65" i="3"/>
  <c r="X65" i="3"/>
  <c r="W65" i="3"/>
  <c r="V65" i="3"/>
  <c r="S65" i="3"/>
  <c r="BI64" i="3"/>
  <c r="BH64" i="3"/>
  <c r="X64" i="3"/>
  <c r="W64" i="3"/>
  <c r="V64" i="3"/>
  <c r="S64" i="3"/>
  <c r="BH63" i="3"/>
  <c r="BI63" i="3" s="1"/>
  <c r="X63" i="3"/>
  <c r="W63" i="3"/>
  <c r="V63" i="3"/>
  <c r="S63" i="3"/>
  <c r="BH62" i="3"/>
  <c r="BI62" i="3" s="1"/>
  <c r="X62" i="3"/>
  <c r="W62" i="3"/>
  <c r="V62" i="3"/>
  <c r="S62" i="3"/>
  <c r="BI61" i="3"/>
  <c r="BH61" i="3"/>
  <c r="X61" i="3"/>
  <c r="W61" i="3"/>
  <c r="V61" i="3"/>
  <c r="S61" i="3"/>
  <c r="BH60" i="3"/>
  <c r="BI60" i="3" s="1"/>
  <c r="X60" i="3"/>
  <c r="W60" i="3"/>
  <c r="V60" i="3"/>
  <c r="S60" i="3"/>
  <c r="BI59" i="3"/>
  <c r="BH59" i="3"/>
  <c r="X59" i="3"/>
  <c r="W59" i="3"/>
  <c r="V59" i="3"/>
  <c r="S59" i="3"/>
  <c r="BH58" i="3"/>
  <c r="BI58" i="3" s="1"/>
  <c r="X58" i="3"/>
  <c r="W58" i="3"/>
  <c r="V58" i="3"/>
  <c r="S58" i="3"/>
  <c r="BI57" i="3"/>
  <c r="BH57" i="3"/>
  <c r="X57" i="3"/>
  <c r="W57" i="3"/>
  <c r="V57" i="3"/>
  <c r="S57" i="3"/>
  <c r="BI56" i="3"/>
  <c r="BH56" i="3"/>
  <c r="X56" i="3"/>
  <c r="W56" i="3"/>
  <c r="V56" i="3"/>
  <c r="S56" i="3"/>
  <c r="BH55" i="3"/>
  <c r="BI55" i="3" s="1"/>
  <c r="X55" i="3"/>
  <c r="W55" i="3"/>
  <c r="V55" i="3"/>
  <c r="S55" i="3"/>
  <c r="BH54" i="3"/>
  <c r="BI54" i="3" s="1"/>
  <c r="X54" i="3"/>
  <c r="W54" i="3"/>
  <c r="V54" i="3"/>
  <c r="S54" i="3"/>
  <c r="BI53" i="3"/>
  <c r="BH53" i="3"/>
  <c r="X53" i="3"/>
  <c r="W53" i="3"/>
  <c r="V53" i="3"/>
  <c r="S53" i="3"/>
  <c r="BH52" i="3"/>
  <c r="BI52" i="3" s="1"/>
  <c r="X52" i="3"/>
  <c r="W52" i="3"/>
  <c r="V52" i="3"/>
  <c r="S52" i="3"/>
  <c r="BI51" i="3"/>
  <c r="BH51" i="3"/>
  <c r="X51" i="3"/>
  <c r="W51" i="3"/>
  <c r="V51" i="3"/>
  <c r="S51" i="3"/>
  <c r="BH50" i="3"/>
  <c r="BI50" i="3" s="1"/>
  <c r="X50" i="3"/>
  <c r="W50" i="3"/>
  <c r="V50" i="3"/>
  <c r="S50" i="3"/>
  <c r="BI49" i="3"/>
  <c r="BH49" i="3"/>
  <c r="X49" i="3"/>
  <c r="W49" i="3"/>
  <c r="V49" i="3"/>
  <c r="S49" i="3"/>
  <c r="BI48" i="3"/>
  <c r="BH48" i="3"/>
  <c r="X48" i="3"/>
  <c r="W48" i="3"/>
  <c r="V48" i="3"/>
  <c r="S48" i="3"/>
  <c r="BH47" i="3"/>
  <c r="BI47" i="3" s="1"/>
  <c r="X47" i="3"/>
  <c r="W47" i="3"/>
  <c r="V47" i="3"/>
  <c r="S47" i="3"/>
  <c r="BH46" i="3"/>
  <c r="BI46" i="3" s="1"/>
  <c r="X46" i="3"/>
  <c r="W46" i="3"/>
  <c r="V46" i="3"/>
  <c r="S46" i="3"/>
  <c r="BI45" i="3"/>
  <c r="BH45" i="3"/>
  <c r="X45" i="3"/>
  <c r="W45" i="3"/>
  <c r="V45" i="3"/>
  <c r="S45" i="3"/>
  <c r="BH44" i="3"/>
  <c r="BI44" i="3" s="1"/>
  <c r="X44" i="3"/>
  <c r="W44" i="3"/>
  <c r="V44" i="3"/>
  <c r="S44" i="3"/>
  <c r="BI43" i="3"/>
  <c r="BH43" i="3"/>
  <c r="X43" i="3"/>
  <c r="W43" i="3"/>
  <c r="V43" i="3"/>
  <c r="S43" i="3"/>
  <c r="BH42" i="3"/>
  <c r="BI42" i="3" s="1"/>
  <c r="X42" i="3"/>
  <c r="W42" i="3"/>
  <c r="V42" i="3"/>
  <c r="S42" i="3"/>
  <c r="BI41" i="3"/>
  <c r="BH41" i="3"/>
  <c r="X41" i="3"/>
  <c r="W41" i="3"/>
  <c r="V41" i="3"/>
  <c r="S41" i="3"/>
  <c r="BI40" i="3"/>
  <c r="BH40" i="3"/>
  <c r="X40" i="3"/>
  <c r="W40" i="3"/>
  <c r="V40" i="3"/>
  <c r="S40" i="3"/>
  <c r="BH39" i="3"/>
  <c r="BI39" i="3" s="1"/>
  <c r="X39" i="3"/>
  <c r="W39" i="3"/>
  <c r="V39" i="3"/>
  <c r="S39" i="3"/>
  <c r="BH38" i="3"/>
  <c r="BI38" i="3" s="1"/>
  <c r="X38" i="3"/>
  <c r="W38" i="3"/>
  <c r="V38" i="3"/>
  <c r="S38" i="3"/>
  <c r="BI37" i="3"/>
  <c r="BH37" i="3"/>
  <c r="X37" i="3"/>
  <c r="W37" i="3"/>
  <c r="V37" i="3"/>
  <c r="S37" i="3"/>
  <c r="BI36" i="3"/>
  <c r="BH36" i="3"/>
  <c r="X36" i="3"/>
  <c r="W36" i="3"/>
  <c r="V36" i="3"/>
  <c r="S36" i="3"/>
  <c r="BI35" i="3"/>
  <c r="BH35" i="3"/>
  <c r="X35" i="3"/>
  <c r="W35" i="3"/>
  <c r="V35" i="3"/>
  <c r="S35" i="3"/>
  <c r="BH34" i="3"/>
  <c r="BI34" i="3" s="1"/>
  <c r="X34" i="3"/>
  <c r="W34" i="3"/>
  <c r="V34" i="3"/>
  <c r="S34" i="3"/>
  <c r="BI33" i="3"/>
  <c r="BH33" i="3"/>
  <c r="X33" i="3"/>
  <c r="W33" i="3"/>
  <c r="V33" i="3"/>
  <c r="S33" i="3"/>
  <c r="BI32" i="3"/>
  <c r="BH32" i="3"/>
  <c r="X32" i="3"/>
  <c r="W32" i="3"/>
  <c r="V32" i="3"/>
  <c r="S32" i="3"/>
  <c r="BH31" i="3"/>
  <c r="BI31" i="3" s="1"/>
  <c r="X31" i="3"/>
  <c r="W31" i="3"/>
  <c r="V31" i="3"/>
  <c r="S31" i="3"/>
  <c r="BH30" i="3"/>
  <c r="BI30" i="3" s="1"/>
  <c r="X30" i="3"/>
  <c r="W30" i="3"/>
  <c r="V30" i="3"/>
  <c r="S30" i="3"/>
  <c r="BI29" i="3"/>
  <c r="BH29" i="3"/>
  <c r="X29" i="3"/>
  <c r="W29" i="3"/>
  <c r="V29" i="3"/>
  <c r="S29" i="3"/>
  <c r="BI28" i="3"/>
  <c r="BH28" i="3"/>
  <c r="X28" i="3"/>
  <c r="W28" i="3"/>
  <c r="V28" i="3"/>
  <c r="S28" i="3"/>
  <c r="BI27" i="3"/>
  <c r="BH27" i="3"/>
  <c r="X27" i="3"/>
  <c r="W27" i="3"/>
  <c r="V27" i="3"/>
  <c r="S27" i="3"/>
  <c r="BH26" i="3"/>
  <c r="BI26" i="3" s="1"/>
  <c r="X26" i="3"/>
  <c r="W26" i="3"/>
  <c r="V26" i="3"/>
  <c r="S26" i="3"/>
  <c r="BI25" i="3"/>
  <c r="BH25" i="3"/>
  <c r="X25" i="3"/>
  <c r="W25" i="3"/>
  <c r="V25" i="3"/>
  <c r="S25" i="3"/>
  <c r="BI24" i="3"/>
  <c r="BH24" i="3"/>
  <c r="X24" i="3"/>
  <c r="W24" i="3"/>
  <c r="V24" i="3"/>
  <c r="S24" i="3"/>
  <c r="BH23" i="3"/>
  <c r="BI23" i="3" s="1"/>
  <c r="X23" i="3"/>
  <c r="W23" i="3"/>
  <c r="V23" i="3"/>
  <c r="S23" i="3"/>
  <c r="BH22" i="3"/>
  <c r="BI22" i="3" s="1"/>
  <c r="X22" i="3"/>
  <c r="W22" i="3"/>
  <c r="V22" i="3"/>
  <c r="S22" i="3"/>
  <c r="BI21" i="3"/>
  <c r="BH21" i="3"/>
  <c r="X21" i="3"/>
  <c r="W21" i="3"/>
  <c r="V21" i="3"/>
  <c r="S21" i="3"/>
  <c r="BI20" i="3"/>
  <c r="BH20" i="3"/>
  <c r="X20" i="3"/>
  <c r="W20" i="3"/>
  <c r="V20" i="3"/>
  <c r="S20" i="3"/>
  <c r="BI19" i="3"/>
  <c r="BH19" i="3"/>
  <c r="X19" i="3"/>
  <c r="W19" i="3"/>
  <c r="V19" i="3"/>
  <c r="S19" i="3"/>
  <c r="BH18" i="3"/>
  <c r="BI18" i="3" s="1"/>
  <c r="X18" i="3"/>
  <c r="W18" i="3"/>
  <c r="V18" i="3"/>
  <c r="S18" i="3"/>
  <c r="BI17" i="3"/>
  <c r="BH17" i="3"/>
  <c r="X17" i="3"/>
  <c r="W17" i="3"/>
  <c r="V17" i="3"/>
  <c r="S17" i="3"/>
  <c r="BI16" i="3"/>
  <c r="BH16" i="3"/>
  <c r="X16" i="3"/>
  <c r="W16" i="3"/>
  <c r="V16" i="3"/>
  <c r="S16" i="3"/>
  <c r="BH15" i="3"/>
  <c r="BI15" i="3" s="1"/>
  <c r="X15" i="3"/>
  <c r="W15" i="3"/>
  <c r="V15" i="3"/>
  <c r="S15" i="3"/>
  <c r="BH14" i="3"/>
  <c r="BI14" i="3" s="1"/>
  <c r="X14" i="3"/>
  <c r="W14" i="3"/>
  <c r="V14" i="3"/>
  <c r="S14" i="3"/>
  <c r="BI13" i="3"/>
  <c r="BH13" i="3"/>
  <c r="X13" i="3"/>
  <c r="W13" i="3"/>
  <c r="V13" i="3"/>
  <c r="S13" i="3"/>
  <c r="BI12" i="3"/>
  <c r="BH12" i="3"/>
  <c r="X12" i="3"/>
  <c r="W12" i="3"/>
  <c r="V12" i="3"/>
  <c r="S12" i="3"/>
  <c r="BI11" i="3"/>
  <c r="BH11" i="3"/>
  <c r="X11" i="3"/>
  <c r="W11" i="3"/>
  <c r="V11" i="3"/>
  <c r="S11" i="3"/>
  <c r="BH10" i="3"/>
  <c r="BI10" i="3" s="1"/>
  <c r="X10" i="3"/>
  <c r="W10" i="3"/>
  <c r="V10" i="3"/>
  <c r="S10" i="3"/>
  <c r="BI9" i="3"/>
  <c r="BH9" i="3"/>
  <c r="X9" i="3"/>
  <c r="W9" i="3"/>
  <c r="V9" i="3"/>
  <c r="S9" i="3"/>
  <c r="BI8" i="3"/>
  <c r="BH8" i="3"/>
  <c r="X8" i="3"/>
  <c r="W8" i="3"/>
  <c r="V8" i="3"/>
  <c r="S8" i="3"/>
  <c r="BH7" i="3"/>
  <c r="BI7" i="3" s="1"/>
  <c r="X7" i="3"/>
  <c r="W7" i="3"/>
  <c r="V7" i="3"/>
  <c r="S7" i="3"/>
  <c r="BH6" i="3"/>
  <c r="BI6" i="3" s="1"/>
  <c r="X6" i="3"/>
  <c r="W6" i="3"/>
  <c r="V6" i="3"/>
  <c r="S6" i="3"/>
  <c r="BI5" i="3"/>
  <c r="BH5" i="3"/>
  <c r="X5" i="3"/>
  <c r="W5" i="3"/>
  <c r="V5" i="3"/>
  <c r="S5" i="3"/>
  <c r="BI4" i="3"/>
  <c r="BH4" i="3"/>
  <c r="X4" i="3"/>
  <c r="W4" i="3"/>
  <c r="V4" i="3"/>
  <c r="S4" i="3"/>
  <c r="BI3" i="3"/>
  <c r="BH3" i="3"/>
  <c r="X3" i="3"/>
  <c r="W3" i="3"/>
  <c r="V3" i="3"/>
  <c r="S3" i="3"/>
  <c r="BH2" i="3"/>
  <c r="BI2" i="3" s="1"/>
  <c r="X2" i="3"/>
  <c r="W2" i="3"/>
  <c r="V2" i="3"/>
  <c r="S2" i="3"/>
  <c r="S2" i="2"/>
  <c r="V2" i="2"/>
  <c r="W2" i="2"/>
  <c r="X2" i="2"/>
  <c r="BH2" i="2"/>
  <c r="BI2" i="2"/>
  <c r="S3" i="2"/>
  <c r="V3" i="2"/>
  <c r="W3" i="2"/>
  <c r="X3" i="2"/>
  <c r="BH3" i="2"/>
  <c r="BI3" i="2"/>
  <c r="S4" i="2"/>
  <c r="V4" i="2"/>
  <c r="W4" i="2"/>
  <c r="X4" i="2"/>
  <c r="BH4" i="2"/>
  <c r="BI4" i="2" s="1"/>
  <c r="S5" i="2"/>
  <c r="V5" i="2"/>
  <c r="W5" i="2"/>
  <c r="X5" i="2"/>
  <c r="BH5" i="2"/>
  <c r="BI5" i="2" s="1"/>
  <c r="S6" i="2"/>
  <c r="V6" i="2"/>
  <c r="W6" i="2"/>
  <c r="X6" i="2"/>
  <c r="BH6" i="2"/>
  <c r="BI6" i="2"/>
  <c r="S7" i="2"/>
  <c r="V7" i="2"/>
  <c r="W7" i="2"/>
  <c r="X7" i="2"/>
  <c r="BH7" i="2"/>
  <c r="BI7" i="2" s="1"/>
  <c r="S8" i="2"/>
  <c r="V8" i="2"/>
  <c r="W8" i="2"/>
  <c r="X8" i="2"/>
  <c r="BH8" i="2"/>
  <c r="BI8" i="2" s="1"/>
  <c r="S9" i="2"/>
  <c r="V9" i="2"/>
  <c r="W9" i="2"/>
  <c r="X9" i="2"/>
  <c r="BH9" i="2"/>
  <c r="BI9" i="2"/>
  <c r="S10" i="2"/>
  <c r="V10" i="2"/>
  <c r="W10" i="2"/>
  <c r="X10" i="2"/>
  <c r="BH10" i="2"/>
  <c r="BI10" i="2"/>
  <c r="S11" i="2"/>
  <c r="V11" i="2"/>
  <c r="W11" i="2"/>
  <c r="X11" i="2"/>
  <c r="BH11" i="2"/>
  <c r="BI11" i="2"/>
  <c r="S12" i="2"/>
  <c r="V12" i="2"/>
  <c r="W12" i="2"/>
  <c r="X12" i="2"/>
  <c r="BH12" i="2"/>
  <c r="BI12" i="2" s="1"/>
  <c r="S13" i="2"/>
  <c r="V13" i="2"/>
  <c r="W13" i="2"/>
  <c r="X13" i="2"/>
  <c r="BH13" i="2"/>
  <c r="BI13" i="2" s="1"/>
  <c r="S14" i="2"/>
  <c r="V14" i="2"/>
  <c r="W14" i="2"/>
  <c r="X14" i="2"/>
  <c r="BH14" i="2"/>
  <c r="BI14" i="2"/>
  <c r="S15" i="2"/>
  <c r="V15" i="2"/>
  <c r="W15" i="2"/>
  <c r="X15" i="2"/>
  <c r="BH15" i="2"/>
  <c r="BI15" i="2" s="1"/>
  <c r="S16" i="2"/>
  <c r="V16" i="2"/>
  <c r="W16" i="2"/>
  <c r="X16" i="2"/>
  <c r="BH16" i="2"/>
  <c r="BI16" i="2"/>
  <c r="S17" i="2"/>
  <c r="V17" i="2"/>
  <c r="W17" i="2"/>
  <c r="X17" i="2"/>
  <c r="BH17" i="2"/>
  <c r="BI17" i="2"/>
  <c r="S18" i="2"/>
  <c r="V18" i="2"/>
  <c r="W18" i="2"/>
  <c r="X18" i="2"/>
  <c r="BH18" i="2"/>
  <c r="BI18" i="2"/>
  <c r="S19" i="2"/>
  <c r="V19" i="2"/>
  <c r="W19" i="2"/>
  <c r="X19" i="2"/>
  <c r="BH19" i="2"/>
  <c r="BI19" i="2" s="1"/>
  <c r="S20" i="2"/>
  <c r="V20" i="2"/>
  <c r="W20" i="2"/>
  <c r="X20" i="2"/>
  <c r="BH20" i="2"/>
  <c r="BI20" i="2" s="1"/>
  <c r="S21" i="2"/>
  <c r="V21" i="2"/>
  <c r="W21" i="2"/>
  <c r="X21" i="2"/>
  <c r="BH21" i="2"/>
  <c r="BI21" i="2" s="1"/>
  <c r="S22" i="2"/>
  <c r="V22" i="2"/>
  <c r="W22" i="2"/>
  <c r="X22" i="2"/>
  <c r="BH22" i="2"/>
  <c r="BI22" i="2"/>
  <c r="S375" i="1"/>
  <c r="S376" i="1"/>
  <c r="S377" i="1"/>
  <c r="S378" i="1"/>
  <c r="S379" i="1"/>
  <c r="S319" i="1"/>
  <c r="S320" i="1"/>
  <c r="S321" i="1"/>
  <c r="S322" i="1"/>
  <c r="S323" i="1"/>
  <c r="S324" i="1"/>
  <c r="S325" i="1"/>
  <c r="S326" i="1"/>
  <c r="S327" i="1"/>
  <c r="S3" i="1"/>
  <c r="S19" i="1"/>
  <c r="S328" i="1"/>
  <c r="S329" i="1"/>
  <c r="S330" i="1"/>
  <c r="S331" i="1"/>
  <c r="S332" i="1"/>
  <c r="S333" i="1"/>
  <c r="S334" i="1"/>
  <c r="S335" i="1"/>
  <c r="S336" i="1"/>
  <c r="S337" i="1"/>
  <c r="S354" i="1"/>
  <c r="S312" i="1"/>
  <c r="S338" i="1"/>
  <c r="S339" i="1"/>
  <c r="S340" i="1"/>
  <c r="S341" i="1"/>
  <c r="S342" i="1"/>
  <c r="S56" i="1"/>
  <c r="S67" i="1"/>
  <c r="S78" i="1"/>
  <c r="S89" i="1"/>
  <c r="S100" i="1"/>
  <c r="S345" i="1"/>
  <c r="S4" i="1"/>
  <c r="S111" i="1"/>
  <c r="S121" i="1"/>
  <c r="S122" i="1"/>
  <c r="S123" i="1"/>
  <c r="S57" i="1"/>
  <c r="S58" i="1"/>
  <c r="S59" i="1"/>
  <c r="S60" i="1"/>
  <c r="S61" i="1"/>
  <c r="S62" i="1"/>
  <c r="S20" i="1"/>
  <c r="S355" i="1"/>
  <c r="S63" i="1"/>
  <c r="S64" i="1"/>
  <c r="S65" i="1"/>
  <c r="S66" i="1"/>
  <c r="S68" i="1"/>
  <c r="S69" i="1"/>
  <c r="S70" i="1"/>
  <c r="S71" i="1"/>
  <c r="S72" i="1"/>
  <c r="S73" i="1"/>
  <c r="S313" i="1"/>
  <c r="S5" i="1"/>
  <c r="S74" i="1"/>
  <c r="S75" i="1"/>
  <c r="S76" i="1"/>
  <c r="S77" i="1"/>
  <c r="S79" i="1"/>
  <c r="S80" i="1"/>
  <c r="S81" i="1"/>
  <c r="S82" i="1"/>
  <c r="S83" i="1"/>
  <c r="S84" i="1"/>
  <c r="S368" i="1"/>
  <c r="S356" i="1"/>
  <c r="S85" i="1"/>
  <c r="S86" i="1"/>
  <c r="S87" i="1"/>
  <c r="S88" i="1"/>
  <c r="S90" i="1"/>
  <c r="S91" i="1"/>
  <c r="S92" i="1"/>
  <c r="S93" i="1"/>
  <c r="S94" i="1"/>
  <c r="S95" i="1"/>
  <c r="S27" i="1"/>
  <c r="S6" i="1"/>
  <c r="S96" i="1"/>
  <c r="S97" i="1"/>
  <c r="S98" i="1"/>
  <c r="S99" i="1"/>
  <c r="S101" i="1"/>
  <c r="S102" i="1"/>
  <c r="S103" i="1"/>
  <c r="S104" i="1"/>
  <c r="S105" i="1"/>
  <c r="S106" i="1"/>
  <c r="S305" i="1"/>
  <c r="S357" i="1"/>
  <c r="S107" i="1"/>
  <c r="S108" i="1"/>
  <c r="S109" i="1"/>
  <c r="S110" i="1"/>
  <c r="S112" i="1"/>
  <c r="S113" i="1"/>
  <c r="S114" i="1"/>
  <c r="S115" i="1"/>
  <c r="S116" i="1"/>
  <c r="S117" i="1"/>
  <c r="S346" i="1"/>
  <c r="S7" i="1"/>
  <c r="S118" i="1"/>
  <c r="S119" i="1"/>
  <c r="S120" i="1"/>
  <c r="S126" i="1"/>
  <c r="S144" i="1"/>
  <c r="S155" i="1"/>
  <c r="S165" i="1"/>
  <c r="S176" i="1"/>
  <c r="S187" i="1"/>
  <c r="S198" i="1"/>
  <c r="S21" i="1"/>
  <c r="S16" i="1"/>
  <c r="S209" i="1"/>
  <c r="S220" i="1"/>
  <c r="S127" i="1"/>
  <c r="S135" i="1"/>
  <c r="S136" i="1"/>
  <c r="S137" i="1"/>
  <c r="S138" i="1"/>
  <c r="S139" i="1"/>
  <c r="S140" i="1"/>
  <c r="S141" i="1"/>
  <c r="S353" i="1"/>
  <c r="S26" i="1"/>
  <c r="S142" i="1"/>
  <c r="S143" i="1"/>
  <c r="S145" i="1"/>
  <c r="S146" i="1"/>
  <c r="S147" i="1"/>
  <c r="S148" i="1"/>
  <c r="S149" i="1"/>
  <c r="S150" i="1"/>
  <c r="S151" i="1"/>
  <c r="S152" i="1"/>
  <c r="S352" i="1"/>
  <c r="S311" i="1"/>
  <c r="S153" i="1"/>
  <c r="S154" i="1"/>
  <c r="S156" i="1"/>
  <c r="S157" i="1"/>
  <c r="S158" i="1"/>
  <c r="S159" i="1"/>
  <c r="S160" i="1"/>
  <c r="S161" i="1"/>
  <c r="S162" i="1"/>
  <c r="S349" i="1"/>
  <c r="S2" i="1"/>
  <c r="S163" i="1"/>
  <c r="S164" i="1"/>
  <c r="S166" i="1"/>
  <c r="S167" i="1"/>
  <c r="S168" i="1"/>
  <c r="S169" i="1"/>
  <c r="S170" i="1"/>
  <c r="S171" i="1"/>
  <c r="S172" i="1"/>
  <c r="S173" i="1"/>
  <c r="S358" i="1"/>
  <c r="S314" i="1"/>
  <c r="S174" i="1"/>
  <c r="S175" i="1"/>
  <c r="S177" i="1"/>
  <c r="S178" i="1"/>
  <c r="S179" i="1"/>
  <c r="S180" i="1"/>
  <c r="S181" i="1"/>
  <c r="S182" i="1"/>
  <c r="S183" i="1"/>
  <c r="S184" i="1"/>
  <c r="S8" i="1"/>
  <c r="S369" i="1"/>
  <c r="S185" i="1"/>
  <c r="S186" i="1"/>
  <c r="S188" i="1"/>
  <c r="S189" i="1"/>
  <c r="S190" i="1"/>
  <c r="S191" i="1"/>
  <c r="S192" i="1"/>
  <c r="S193" i="1"/>
  <c r="S194" i="1"/>
  <c r="S195" i="1"/>
  <c r="S359" i="1"/>
  <c r="S28" i="1"/>
  <c r="S196" i="1"/>
  <c r="S197" i="1"/>
  <c r="S199" i="1"/>
  <c r="S200" i="1"/>
  <c r="S201" i="1"/>
  <c r="S202" i="1"/>
  <c r="S203" i="1"/>
  <c r="S204" i="1"/>
  <c r="S205" i="1"/>
  <c r="S206" i="1"/>
  <c r="S9" i="1"/>
  <c r="S306" i="1"/>
  <c r="S207" i="1"/>
  <c r="S208" i="1"/>
  <c r="S210" i="1"/>
  <c r="S211" i="1"/>
  <c r="S212" i="1"/>
  <c r="S213" i="1"/>
  <c r="S214" i="1"/>
  <c r="S215" i="1"/>
  <c r="S216" i="1"/>
  <c r="S217" i="1"/>
  <c r="S360" i="1"/>
  <c r="S347" i="1"/>
  <c r="S218" i="1"/>
  <c r="S219" i="1"/>
  <c r="S221" i="1"/>
  <c r="S222" i="1"/>
  <c r="S223" i="1"/>
  <c r="S224" i="1"/>
  <c r="S225" i="1"/>
  <c r="S226" i="1"/>
  <c r="S227" i="1"/>
  <c r="S228" i="1"/>
  <c r="S10" i="1"/>
  <c r="S22" i="1"/>
  <c r="S229" i="1"/>
  <c r="S230" i="1"/>
  <c r="S128" i="1"/>
  <c r="S129" i="1"/>
  <c r="S130" i="1"/>
  <c r="S131" i="1"/>
  <c r="S132" i="1"/>
  <c r="S133" i="1"/>
  <c r="S134" i="1"/>
  <c r="S233" i="1"/>
  <c r="S361" i="1"/>
  <c r="S315" i="1"/>
  <c r="S244" i="1"/>
  <c r="S255" i="1"/>
  <c r="S266" i="1"/>
  <c r="S277" i="1"/>
  <c r="S288" i="1"/>
  <c r="S299" i="1"/>
  <c r="S301" i="1"/>
  <c r="S302" i="1"/>
  <c r="S234" i="1"/>
  <c r="S235" i="1"/>
  <c r="S11" i="1"/>
  <c r="S370" i="1"/>
  <c r="S236" i="1"/>
  <c r="S237" i="1"/>
  <c r="S238" i="1"/>
  <c r="S239" i="1"/>
  <c r="S240" i="1"/>
  <c r="S241" i="1"/>
  <c r="S242" i="1"/>
  <c r="S243" i="1"/>
  <c r="S245" i="1"/>
  <c r="S246" i="1"/>
  <c r="S362" i="1"/>
  <c r="S29" i="1"/>
  <c r="S247" i="1"/>
  <c r="S248" i="1"/>
  <c r="S249" i="1"/>
  <c r="S250" i="1"/>
  <c r="S251" i="1"/>
  <c r="S252" i="1"/>
  <c r="S253" i="1"/>
  <c r="S254" i="1"/>
  <c r="S256" i="1"/>
  <c r="S257" i="1"/>
  <c r="S12" i="1"/>
  <c r="S307" i="1"/>
  <c r="S258" i="1"/>
  <c r="S259" i="1"/>
  <c r="S260" i="1"/>
  <c r="S261" i="1"/>
  <c r="S262" i="1"/>
  <c r="S263" i="1"/>
  <c r="S264" i="1"/>
  <c r="S265" i="1"/>
  <c r="S267" i="1"/>
  <c r="S268" i="1"/>
  <c r="S363" i="1"/>
  <c r="S348" i="1"/>
  <c r="S269" i="1"/>
  <c r="S270" i="1"/>
  <c r="S271" i="1"/>
  <c r="S272" i="1"/>
  <c r="S273" i="1"/>
  <c r="S274" i="1"/>
  <c r="S275" i="1"/>
  <c r="S276" i="1"/>
  <c r="S278" i="1"/>
  <c r="S279" i="1"/>
  <c r="S13" i="1"/>
  <c r="S23" i="1"/>
  <c r="S280" i="1"/>
  <c r="S281" i="1"/>
  <c r="S282" i="1"/>
  <c r="S283" i="1"/>
  <c r="S284" i="1"/>
  <c r="S285" i="1"/>
  <c r="S286" i="1"/>
  <c r="S287" i="1"/>
  <c r="S289" i="1"/>
  <c r="S290" i="1"/>
  <c r="S364" i="1"/>
  <c r="S316" i="1"/>
  <c r="S291" i="1"/>
  <c r="S292" i="1"/>
  <c r="S293" i="1"/>
  <c r="S294" i="1"/>
  <c r="S295" i="1"/>
  <c r="S296" i="1"/>
  <c r="S297" i="1"/>
  <c r="S298" i="1"/>
  <c r="S300" i="1"/>
  <c r="S33" i="1"/>
  <c r="S14" i="1"/>
  <c r="S371" i="1"/>
  <c r="S44" i="1"/>
  <c r="S47" i="1"/>
  <c r="S48" i="1"/>
  <c r="S49" i="1"/>
  <c r="S50" i="1"/>
  <c r="S51" i="1"/>
  <c r="S52" i="1"/>
  <c r="S53" i="1"/>
  <c r="S34" i="1"/>
  <c r="S35" i="1"/>
  <c r="S365" i="1"/>
  <c r="S30" i="1"/>
  <c r="S36" i="1"/>
  <c r="S37" i="1"/>
  <c r="S38" i="1"/>
  <c r="S39" i="1"/>
  <c r="S40" i="1"/>
  <c r="S41" i="1"/>
  <c r="S42" i="1"/>
  <c r="S43" i="1"/>
  <c r="S45" i="1"/>
  <c r="S46" i="1"/>
  <c r="S15" i="1"/>
  <c r="S308" i="1"/>
  <c r="S374" i="1"/>
  <c r="BH375" i="1"/>
  <c r="BI375" i="1"/>
  <c r="BH376" i="1"/>
  <c r="BI376" i="1" s="1"/>
  <c r="BH377" i="1"/>
  <c r="BI377" i="1" s="1"/>
  <c r="BH378" i="1"/>
  <c r="BI378" i="1" s="1"/>
  <c r="BH379" i="1"/>
  <c r="BI379" i="1" s="1"/>
  <c r="BH319" i="1"/>
  <c r="BI319" i="1" s="1"/>
  <c r="BH320" i="1"/>
  <c r="BI320" i="1" s="1"/>
  <c r="BH321" i="1"/>
  <c r="BI321" i="1" s="1"/>
  <c r="BH322" i="1"/>
  <c r="BI322" i="1" s="1"/>
  <c r="BH323" i="1"/>
  <c r="BI323" i="1" s="1"/>
  <c r="BH324" i="1"/>
  <c r="BI324" i="1" s="1"/>
  <c r="BH325" i="1"/>
  <c r="BI325" i="1" s="1"/>
  <c r="BH326" i="1"/>
  <c r="BI326" i="1" s="1"/>
  <c r="BH327" i="1"/>
  <c r="BI327" i="1" s="1"/>
  <c r="BH3" i="1"/>
  <c r="BI3" i="1" s="1"/>
  <c r="BH19" i="1"/>
  <c r="BI19" i="1" s="1"/>
  <c r="BH328" i="1"/>
  <c r="BI328" i="1" s="1"/>
  <c r="BH329" i="1"/>
  <c r="BI329" i="1" s="1"/>
  <c r="BH330" i="1"/>
  <c r="BI330" i="1" s="1"/>
  <c r="BH331" i="1"/>
  <c r="BI331" i="1" s="1"/>
  <c r="BH332" i="1"/>
  <c r="BI332" i="1" s="1"/>
  <c r="BH333" i="1"/>
  <c r="BI333" i="1" s="1"/>
  <c r="BH334" i="1"/>
  <c r="BI334" i="1" s="1"/>
  <c r="BH335" i="1"/>
  <c r="BI335" i="1" s="1"/>
  <c r="BH336" i="1"/>
  <c r="BI336" i="1" s="1"/>
  <c r="BH337" i="1"/>
  <c r="BI337" i="1" s="1"/>
  <c r="BH354" i="1"/>
  <c r="BI354" i="1" s="1"/>
  <c r="BH312" i="1"/>
  <c r="BI312" i="1" s="1"/>
  <c r="BH338" i="1"/>
  <c r="BI338" i="1" s="1"/>
  <c r="BH339" i="1"/>
  <c r="BI339" i="1" s="1"/>
  <c r="BH340" i="1"/>
  <c r="BI340" i="1" s="1"/>
  <c r="BH341" i="1"/>
  <c r="BI341" i="1" s="1"/>
  <c r="BH342" i="1"/>
  <c r="BI342" i="1" s="1"/>
  <c r="BH56" i="1"/>
  <c r="BI56" i="1" s="1"/>
  <c r="BH67" i="1"/>
  <c r="BI67" i="1" s="1"/>
  <c r="BH78" i="1"/>
  <c r="BI78" i="1" s="1"/>
  <c r="BH89" i="1"/>
  <c r="BI89" i="1" s="1"/>
  <c r="BH100" i="1"/>
  <c r="BI100" i="1" s="1"/>
  <c r="BH345" i="1"/>
  <c r="BI345" i="1" s="1"/>
  <c r="BH4" i="1"/>
  <c r="BI4" i="1" s="1"/>
  <c r="BH111" i="1"/>
  <c r="BI111" i="1" s="1"/>
  <c r="BH121" i="1"/>
  <c r="BI121" i="1" s="1"/>
  <c r="BH122" i="1"/>
  <c r="BI122" i="1" s="1"/>
  <c r="BH123" i="1"/>
  <c r="BI123" i="1" s="1"/>
  <c r="BH57" i="1"/>
  <c r="BI57" i="1" s="1"/>
  <c r="BH58" i="1"/>
  <c r="BI58" i="1" s="1"/>
  <c r="BH59" i="1"/>
  <c r="BI59" i="1" s="1"/>
  <c r="BH60" i="1"/>
  <c r="BI60" i="1" s="1"/>
  <c r="BH61" i="1"/>
  <c r="BI61" i="1" s="1"/>
  <c r="BH62" i="1"/>
  <c r="BI62" i="1" s="1"/>
  <c r="BH20" i="1"/>
  <c r="BI20" i="1" s="1"/>
  <c r="BH355" i="1"/>
  <c r="BI355" i="1" s="1"/>
  <c r="BH63" i="1"/>
  <c r="BI63" i="1" s="1"/>
  <c r="BH64" i="1"/>
  <c r="BI64" i="1" s="1"/>
  <c r="BH65" i="1"/>
  <c r="BI65" i="1" s="1"/>
  <c r="BH66" i="1"/>
  <c r="BI66" i="1" s="1"/>
  <c r="BH68" i="1"/>
  <c r="BI68" i="1" s="1"/>
  <c r="BH69" i="1"/>
  <c r="BI69" i="1" s="1"/>
  <c r="BH70" i="1"/>
  <c r="BI70" i="1"/>
  <c r="BH71" i="1"/>
  <c r="BI71" i="1" s="1"/>
  <c r="BH72" i="1"/>
  <c r="BI72" i="1" s="1"/>
  <c r="BH73" i="1"/>
  <c r="BI73" i="1" s="1"/>
  <c r="BH313" i="1"/>
  <c r="BI313" i="1" s="1"/>
  <c r="BH5" i="1"/>
  <c r="BI5" i="1" s="1"/>
  <c r="BH74" i="1"/>
  <c r="BI74" i="1" s="1"/>
  <c r="BH75" i="1"/>
  <c r="BI75" i="1" s="1"/>
  <c r="BH76" i="1"/>
  <c r="BI76" i="1" s="1"/>
  <c r="BH77" i="1"/>
  <c r="BI77" i="1" s="1"/>
  <c r="BH79" i="1"/>
  <c r="BI79" i="1" s="1"/>
  <c r="BH80" i="1"/>
  <c r="BI80" i="1" s="1"/>
  <c r="BH81" i="1"/>
  <c r="BI81" i="1" s="1"/>
  <c r="BH82" i="1"/>
  <c r="BI82" i="1" s="1"/>
  <c r="BH83" i="1"/>
  <c r="BI83" i="1" s="1"/>
  <c r="BH84" i="1"/>
  <c r="BI84" i="1" s="1"/>
  <c r="BH368" i="1"/>
  <c r="BI368" i="1" s="1"/>
  <c r="BH356" i="1"/>
  <c r="BI356" i="1" s="1"/>
  <c r="BH85" i="1"/>
  <c r="BI85" i="1" s="1"/>
  <c r="BH86" i="1"/>
  <c r="BI86" i="1" s="1"/>
  <c r="BH87" i="1"/>
  <c r="BI87" i="1" s="1"/>
  <c r="BH88" i="1"/>
  <c r="BI88" i="1" s="1"/>
  <c r="BH90" i="1"/>
  <c r="BI90" i="1" s="1"/>
  <c r="BH91" i="1"/>
  <c r="BI91" i="1" s="1"/>
  <c r="BH92" i="1"/>
  <c r="BI92" i="1" s="1"/>
  <c r="BH93" i="1"/>
  <c r="BI93" i="1" s="1"/>
  <c r="BH94" i="1"/>
  <c r="BI94" i="1" s="1"/>
  <c r="BH95" i="1"/>
  <c r="BI95" i="1" s="1"/>
  <c r="BH27" i="1"/>
  <c r="BI27" i="1"/>
  <c r="BH6" i="1"/>
  <c r="BI6" i="1" s="1"/>
  <c r="BH96" i="1"/>
  <c r="BI96" i="1" s="1"/>
  <c r="BH97" i="1"/>
  <c r="BI97" i="1" s="1"/>
  <c r="BH98" i="1"/>
  <c r="BI98" i="1" s="1"/>
  <c r="BH99" i="1"/>
  <c r="BI99" i="1" s="1"/>
  <c r="BH101" i="1"/>
  <c r="BI101" i="1" s="1"/>
  <c r="BH102" i="1"/>
  <c r="BI102" i="1" s="1"/>
  <c r="BH103" i="1"/>
  <c r="BI103" i="1" s="1"/>
  <c r="BH104" i="1"/>
  <c r="BI104" i="1" s="1"/>
  <c r="BH105" i="1"/>
  <c r="BI105" i="1" s="1"/>
  <c r="BH106" i="1"/>
  <c r="BI106" i="1" s="1"/>
  <c r="BH305" i="1"/>
  <c r="BI305" i="1" s="1"/>
  <c r="BH357" i="1"/>
  <c r="BI357" i="1" s="1"/>
  <c r="BH107" i="1"/>
  <c r="BI107" i="1" s="1"/>
  <c r="BH108" i="1"/>
  <c r="BI108" i="1" s="1"/>
  <c r="BH109" i="1"/>
  <c r="BI109" i="1" s="1"/>
  <c r="BH110" i="1"/>
  <c r="BI110" i="1" s="1"/>
  <c r="BH112" i="1"/>
  <c r="BI112" i="1" s="1"/>
  <c r="BH113" i="1"/>
  <c r="BI113" i="1" s="1"/>
  <c r="BH114" i="1"/>
  <c r="BI114" i="1"/>
  <c r="BH115" i="1"/>
  <c r="BI115" i="1" s="1"/>
  <c r="BH116" i="1"/>
  <c r="BI116" i="1" s="1"/>
  <c r="BH117" i="1"/>
  <c r="BI117" i="1" s="1"/>
  <c r="BH346" i="1"/>
  <c r="BI346" i="1" s="1"/>
  <c r="BH7" i="1"/>
  <c r="BI7" i="1" s="1"/>
  <c r="BH118" i="1"/>
  <c r="BI118" i="1" s="1"/>
  <c r="BH119" i="1"/>
  <c r="BI119" i="1" s="1"/>
  <c r="BH120" i="1"/>
  <c r="BI120" i="1" s="1"/>
  <c r="BH126" i="1"/>
  <c r="BI126" i="1" s="1"/>
  <c r="BH144" i="1"/>
  <c r="BI144" i="1" s="1"/>
  <c r="BH155" i="1"/>
  <c r="BI155" i="1" s="1"/>
  <c r="BH165" i="1"/>
  <c r="BI165" i="1"/>
  <c r="BH176" i="1"/>
  <c r="BI176" i="1" s="1"/>
  <c r="BH187" i="1"/>
  <c r="BI187" i="1" s="1"/>
  <c r="BH198" i="1"/>
  <c r="BI198" i="1" s="1"/>
  <c r="BH21" i="1"/>
  <c r="BI21" i="1" s="1"/>
  <c r="BH16" i="1"/>
  <c r="BI16" i="1" s="1"/>
  <c r="BH209" i="1"/>
  <c r="BI209" i="1" s="1"/>
  <c r="BH220" i="1"/>
  <c r="BI220" i="1" s="1"/>
  <c r="BH127" i="1"/>
  <c r="BI127" i="1" s="1"/>
  <c r="BH135" i="1"/>
  <c r="BI135" i="1" s="1"/>
  <c r="BH136" i="1"/>
  <c r="BI136" i="1" s="1"/>
  <c r="BH137" i="1"/>
  <c r="BI137" i="1" s="1"/>
  <c r="BH138" i="1"/>
  <c r="BI138" i="1" s="1"/>
  <c r="BH139" i="1"/>
  <c r="BI139" i="1" s="1"/>
  <c r="BH140" i="1"/>
  <c r="BI140" i="1" s="1"/>
  <c r="BH141" i="1"/>
  <c r="BI141" i="1" s="1"/>
  <c r="BH353" i="1"/>
  <c r="BI353" i="1" s="1"/>
  <c r="BH26" i="1"/>
  <c r="BI26" i="1" s="1"/>
  <c r="BH142" i="1"/>
  <c r="BI142" i="1" s="1"/>
  <c r="BH143" i="1"/>
  <c r="BI143" i="1" s="1"/>
  <c r="BH145" i="1"/>
  <c r="BI145" i="1" s="1"/>
  <c r="BH146" i="1"/>
  <c r="BI146" i="1" s="1"/>
  <c r="BH147" i="1"/>
  <c r="BI147" i="1" s="1"/>
  <c r="BH148" i="1"/>
  <c r="BI148" i="1" s="1"/>
  <c r="BH149" i="1"/>
  <c r="BI149" i="1" s="1"/>
  <c r="BH150" i="1"/>
  <c r="BI150" i="1" s="1"/>
  <c r="BH151" i="1"/>
  <c r="BI151" i="1" s="1"/>
  <c r="BH152" i="1"/>
  <c r="BI152" i="1" s="1"/>
  <c r="BH352" i="1"/>
  <c r="BI352" i="1" s="1"/>
  <c r="BH311" i="1"/>
  <c r="BI311" i="1" s="1"/>
  <c r="BH153" i="1"/>
  <c r="BI153" i="1" s="1"/>
  <c r="BH154" i="1"/>
  <c r="BI154" i="1" s="1"/>
  <c r="BH156" i="1"/>
  <c r="BI156" i="1" s="1"/>
  <c r="BH157" i="1"/>
  <c r="BI157" i="1" s="1"/>
  <c r="BH158" i="1"/>
  <c r="BI158" i="1" s="1"/>
  <c r="BH159" i="1"/>
  <c r="BI159" i="1" s="1"/>
  <c r="BH160" i="1"/>
  <c r="BI160" i="1"/>
  <c r="BH161" i="1"/>
  <c r="BI161" i="1" s="1"/>
  <c r="BH162" i="1"/>
  <c r="BI162" i="1" s="1"/>
  <c r="BH349" i="1"/>
  <c r="BI349" i="1" s="1"/>
  <c r="BH2" i="1"/>
  <c r="BI2" i="1" s="1"/>
  <c r="BH163" i="1"/>
  <c r="BI163" i="1" s="1"/>
  <c r="BH164" i="1"/>
  <c r="BI164" i="1" s="1"/>
  <c r="BH166" i="1"/>
  <c r="BI166" i="1" s="1"/>
  <c r="BH167" i="1"/>
  <c r="BI167" i="1" s="1"/>
  <c r="BH168" i="1"/>
  <c r="BI168" i="1" s="1"/>
  <c r="BH169" i="1"/>
  <c r="BI169" i="1" s="1"/>
  <c r="BH170" i="1"/>
  <c r="BI170" i="1" s="1"/>
  <c r="BH171" i="1"/>
  <c r="BI171" i="1" s="1"/>
  <c r="BH172" i="1"/>
  <c r="BI172" i="1" s="1"/>
  <c r="BH173" i="1"/>
  <c r="BI173" i="1" s="1"/>
  <c r="BH358" i="1"/>
  <c r="BI358" i="1" s="1"/>
  <c r="BH314" i="1"/>
  <c r="BI314" i="1" s="1"/>
  <c r="BH174" i="1"/>
  <c r="BI174" i="1" s="1"/>
  <c r="BH175" i="1"/>
  <c r="BI175" i="1" s="1"/>
  <c r="BH177" i="1"/>
  <c r="BI177" i="1" s="1"/>
  <c r="BH178" i="1"/>
  <c r="BI178" i="1" s="1"/>
  <c r="BH179" i="1"/>
  <c r="BI179" i="1" s="1"/>
  <c r="BH180" i="1"/>
  <c r="BI180" i="1" s="1"/>
  <c r="BH181" i="1"/>
  <c r="BI181" i="1" s="1"/>
  <c r="BH182" i="1"/>
  <c r="BI182" i="1" s="1"/>
  <c r="BH183" i="1"/>
  <c r="BI183" i="1" s="1"/>
  <c r="BH184" i="1"/>
  <c r="BI184" i="1" s="1"/>
  <c r="BH8" i="1"/>
  <c r="BI8" i="1" s="1"/>
  <c r="BH369" i="1"/>
  <c r="BI369" i="1" s="1"/>
  <c r="BH185" i="1"/>
  <c r="BI185" i="1" s="1"/>
  <c r="BH186" i="1"/>
  <c r="BI186" i="1" s="1"/>
  <c r="BH188" i="1"/>
  <c r="BI188" i="1" s="1"/>
  <c r="BH189" i="1"/>
  <c r="BI189" i="1" s="1"/>
  <c r="BH190" i="1"/>
  <c r="BI190" i="1" s="1"/>
  <c r="BH191" i="1"/>
  <c r="BI191" i="1"/>
  <c r="BH192" i="1"/>
  <c r="BI192" i="1" s="1"/>
  <c r="BH193" i="1"/>
  <c r="BI193" i="1" s="1"/>
  <c r="BH194" i="1"/>
  <c r="BI194" i="1" s="1"/>
  <c r="BH195" i="1"/>
  <c r="BI195" i="1" s="1"/>
  <c r="BH359" i="1"/>
  <c r="BI359" i="1" s="1"/>
  <c r="BH28" i="1"/>
  <c r="BI28" i="1" s="1"/>
  <c r="BH196" i="1"/>
  <c r="BI196" i="1" s="1"/>
  <c r="BH197" i="1"/>
  <c r="BI197" i="1" s="1"/>
  <c r="BH199" i="1"/>
  <c r="BI199" i="1" s="1"/>
  <c r="BH200" i="1"/>
  <c r="BI200" i="1" s="1"/>
  <c r="BH201" i="1"/>
  <c r="BI201" i="1" s="1"/>
  <c r="BH202" i="1"/>
  <c r="BI202" i="1" s="1"/>
  <c r="BH203" i="1"/>
  <c r="BI203" i="1" s="1"/>
  <c r="BH204" i="1"/>
  <c r="BI204" i="1" s="1"/>
  <c r="BH205" i="1"/>
  <c r="BI205" i="1" s="1"/>
  <c r="BH206" i="1"/>
  <c r="BI206" i="1"/>
  <c r="BH9" i="1"/>
  <c r="BI9" i="1" s="1"/>
  <c r="BH306" i="1"/>
  <c r="BI306" i="1" s="1"/>
  <c r="BH207" i="1"/>
  <c r="BI207" i="1" s="1"/>
  <c r="BH208" i="1"/>
  <c r="BI208" i="1" s="1"/>
  <c r="BH210" i="1"/>
  <c r="BI210" i="1" s="1"/>
  <c r="BH211" i="1"/>
  <c r="BI211" i="1" s="1"/>
  <c r="BH212" i="1"/>
  <c r="BI212" i="1" s="1"/>
  <c r="BH213" i="1"/>
  <c r="BI213" i="1" s="1"/>
  <c r="BH214" i="1"/>
  <c r="BI214" i="1" s="1"/>
  <c r="BH215" i="1"/>
  <c r="BI215" i="1" s="1"/>
  <c r="BH216" i="1"/>
  <c r="BI216" i="1" s="1"/>
  <c r="BH217" i="1"/>
  <c r="BI217" i="1" s="1"/>
  <c r="BH360" i="1"/>
  <c r="BI360" i="1" s="1"/>
  <c r="BH347" i="1"/>
  <c r="BI347" i="1" s="1"/>
  <c r="BH218" i="1"/>
  <c r="BI218" i="1" s="1"/>
  <c r="BH219" i="1"/>
  <c r="BI219" i="1" s="1"/>
  <c r="BH221" i="1"/>
  <c r="BI221" i="1" s="1"/>
  <c r="BH222" i="1"/>
  <c r="BI222" i="1" s="1"/>
  <c r="BH223" i="1"/>
  <c r="BI223" i="1" s="1"/>
  <c r="BH224" i="1"/>
  <c r="BI224" i="1" s="1"/>
  <c r="BH225" i="1"/>
  <c r="BI225" i="1" s="1"/>
  <c r="BH226" i="1"/>
  <c r="BI226" i="1"/>
  <c r="BH227" i="1"/>
  <c r="BI227" i="1" s="1"/>
  <c r="BH228" i="1"/>
  <c r="BI228" i="1"/>
  <c r="BH10" i="1"/>
  <c r="BI10" i="1" s="1"/>
  <c r="BH22" i="1"/>
  <c r="BI22" i="1" s="1"/>
  <c r="BH229" i="1"/>
  <c r="BI229" i="1" s="1"/>
  <c r="BH230" i="1"/>
  <c r="BI230" i="1" s="1"/>
  <c r="BH128" i="1"/>
  <c r="BI128" i="1" s="1"/>
  <c r="BH129" i="1"/>
  <c r="BI129" i="1" s="1"/>
  <c r="BH130" i="1"/>
  <c r="BI130" i="1" s="1"/>
  <c r="BH131" i="1"/>
  <c r="BI131" i="1"/>
  <c r="BH132" i="1"/>
  <c r="BI132" i="1" s="1"/>
  <c r="BH133" i="1"/>
  <c r="BI133" i="1" s="1"/>
  <c r="BH134" i="1"/>
  <c r="BI134" i="1" s="1"/>
  <c r="BH233" i="1"/>
  <c r="BI233" i="1" s="1"/>
  <c r="BH361" i="1"/>
  <c r="BI361" i="1" s="1"/>
  <c r="BH315" i="1"/>
  <c r="BI315" i="1"/>
  <c r="BH244" i="1"/>
  <c r="BI244" i="1" s="1"/>
  <c r="BH255" i="1"/>
  <c r="BI255" i="1"/>
  <c r="BH266" i="1"/>
  <c r="BI266" i="1" s="1"/>
  <c r="BH277" i="1"/>
  <c r="BI277" i="1" s="1"/>
  <c r="BH288" i="1"/>
  <c r="BI288" i="1" s="1"/>
  <c r="BH299" i="1"/>
  <c r="BI299" i="1" s="1"/>
  <c r="BH301" i="1"/>
  <c r="BI301" i="1" s="1"/>
  <c r="BH302" i="1"/>
  <c r="BI302" i="1" s="1"/>
  <c r="BH234" i="1"/>
  <c r="BI234" i="1" s="1"/>
  <c r="BH235" i="1"/>
  <c r="BI235" i="1" s="1"/>
  <c r="BH11" i="1"/>
  <c r="BI11" i="1" s="1"/>
  <c r="BH370" i="1"/>
  <c r="BI370" i="1" s="1"/>
  <c r="BH236" i="1"/>
  <c r="BI236" i="1" s="1"/>
  <c r="BH237" i="1"/>
  <c r="BI237" i="1" s="1"/>
  <c r="BH238" i="1"/>
  <c r="BI238" i="1" s="1"/>
  <c r="BH239" i="1"/>
  <c r="BI239" i="1"/>
  <c r="BH240" i="1"/>
  <c r="BI240" i="1" s="1"/>
  <c r="BH241" i="1"/>
  <c r="BI241" i="1" s="1"/>
  <c r="BH242" i="1"/>
  <c r="BI242" i="1" s="1"/>
  <c r="BH243" i="1"/>
  <c r="BI243" i="1" s="1"/>
  <c r="BH245" i="1"/>
  <c r="BI245" i="1" s="1"/>
  <c r="BH246" i="1"/>
  <c r="BI246" i="1" s="1"/>
  <c r="BH362" i="1"/>
  <c r="BI362" i="1" s="1"/>
  <c r="BH29" i="1"/>
  <c r="BI29" i="1" s="1"/>
  <c r="BH247" i="1"/>
  <c r="BI247" i="1" s="1"/>
  <c r="BH248" i="1"/>
  <c r="BI248" i="1" s="1"/>
  <c r="BH249" i="1"/>
  <c r="BI249" i="1" s="1"/>
  <c r="BH250" i="1"/>
  <c r="BI250" i="1" s="1"/>
  <c r="BH251" i="1"/>
  <c r="BI251" i="1" s="1"/>
  <c r="BH252" i="1"/>
  <c r="BI252" i="1" s="1"/>
  <c r="BH253" i="1"/>
  <c r="BI253" i="1" s="1"/>
  <c r="BH254" i="1"/>
  <c r="BI254" i="1" s="1"/>
  <c r="BH256" i="1"/>
  <c r="BI256" i="1" s="1"/>
  <c r="BH257" i="1"/>
  <c r="BI257" i="1"/>
  <c r="BH12" i="1"/>
  <c r="BI12" i="1" s="1"/>
  <c r="BH307" i="1"/>
  <c r="BI307" i="1" s="1"/>
  <c r="BH258" i="1"/>
  <c r="BI258" i="1" s="1"/>
  <c r="BH259" i="1"/>
  <c r="BI259" i="1" s="1"/>
  <c r="BH260" i="1"/>
  <c r="BI260" i="1" s="1"/>
  <c r="BH261" i="1"/>
  <c r="BI261" i="1" s="1"/>
  <c r="BH262" i="1"/>
  <c r="BI262" i="1" s="1"/>
  <c r="BH263" i="1"/>
  <c r="BI263" i="1"/>
  <c r="BH264" i="1"/>
  <c r="BI264" i="1" s="1"/>
  <c r="BH265" i="1"/>
  <c r="BI265" i="1" s="1"/>
  <c r="BH267" i="1"/>
  <c r="BI267" i="1" s="1"/>
  <c r="BH268" i="1"/>
  <c r="BI268" i="1" s="1"/>
  <c r="BH363" i="1"/>
  <c r="BI363" i="1" s="1"/>
  <c r="BH348" i="1"/>
  <c r="BI348" i="1"/>
  <c r="BH269" i="1"/>
  <c r="BI269" i="1" s="1"/>
  <c r="BH270" i="1"/>
  <c r="BI270" i="1"/>
  <c r="BH271" i="1"/>
  <c r="BI271" i="1" s="1"/>
  <c r="BH272" i="1"/>
  <c r="BI272" i="1" s="1"/>
  <c r="BH273" i="1"/>
  <c r="BI273" i="1" s="1"/>
  <c r="BH274" i="1"/>
  <c r="BI274" i="1" s="1"/>
  <c r="BH275" i="1"/>
  <c r="BI275" i="1" s="1"/>
  <c r="BH276" i="1"/>
  <c r="BI276" i="1" s="1"/>
  <c r="BH278" i="1"/>
  <c r="BI278" i="1" s="1"/>
  <c r="BH279" i="1"/>
  <c r="BI279" i="1"/>
  <c r="BH13" i="1"/>
  <c r="BI13" i="1" s="1"/>
  <c r="BH23" i="1"/>
  <c r="BI23" i="1" s="1"/>
  <c r="BH280" i="1"/>
  <c r="BI280" i="1" s="1"/>
  <c r="BH281" i="1"/>
  <c r="BI281" i="1" s="1"/>
  <c r="BH282" i="1"/>
  <c r="BI282" i="1" s="1"/>
  <c r="BH283" i="1"/>
  <c r="BI283" i="1" s="1"/>
  <c r="BH284" i="1"/>
  <c r="BI284" i="1" s="1"/>
  <c r="BH285" i="1"/>
  <c r="BI285" i="1" s="1"/>
  <c r="BH286" i="1"/>
  <c r="BI286" i="1" s="1"/>
  <c r="BH287" i="1"/>
  <c r="BI287" i="1" s="1"/>
  <c r="BH289" i="1"/>
  <c r="BI289" i="1" s="1"/>
  <c r="BH290" i="1"/>
  <c r="BI290" i="1" s="1"/>
  <c r="BH364" i="1"/>
  <c r="BI364" i="1" s="1"/>
  <c r="BH316" i="1"/>
  <c r="BI316" i="1" s="1"/>
  <c r="BH291" i="1"/>
  <c r="BI291" i="1" s="1"/>
  <c r="BH292" i="1"/>
  <c r="BI292" i="1"/>
  <c r="BH293" i="1"/>
  <c r="BI293" i="1" s="1"/>
  <c r="BH294" i="1"/>
  <c r="BI294" i="1" s="1"/>
  <c r="BH295" i="1"/>
  <c r="BI295" i="1" s="1"/>
  <c r="BH296" i="1"/>
  <c r="BI296" i="1"/>
  <c r="BH297" i="1"/>
  <c r="BI297" i="1" s="1"/>
  <c r="BH298" i="1"/>
  <c r="BI298" i="1" s="1"/>
  <c r="BH300" i="1"/>
  <c r="BI300" i="1" s="1"/>
  <c r="BH33" i="1"/>
  <c r="BI33" i="1" s="1"/>
  <c r="BH14" i="1"/>
  <c r="BI14" i="1" s="1"/>
  <c r="BH371" i="1"/>
  <c r="BI371" i="1"/>
  <c r="BH44" i="1"/>
  <c r="BI44" i="1" s="1"/>
  <c r="BH47" i="1"/>
  <c r="BI47" i="1"/>
  <c r="BH48" i="1"/>
  <c r="BI48" i="1" s="1"/>
  <c r="BH49" i="1"/>
  <c r="BI49" i="1" s="1"/>
  <c r="BH50" i="1"/>
  <c r="BI50" i="1" s="1"/>
  <c r="BH51" i="1"/>
  <c r="BI51" i="1"/>
  <c r="BH52" i="1"/>
  <c r="BI52" i="1" s="1"/>
  <c r="BH53" i="1"/>
  <c r="BI53" i="1"/>
  <c r="BH34" i="1"/>
  <c r="BI34" i="1" s="1"/>
  <c r="BH35" i="1"/>
  <c r="BI35" i="1" s="1"/>
  <c r="BH365" i="1"/>
  <c r="BI365" i="1" s="1"/>
  <c r="BH30" i="1"/>
  <c r="BI30" i="1" s="1"/>
  <c r="BH36" i="1"/>
  <c r="BI36" i="1" s="1"/>
  <c r="BH37" i="1"/>
  <c r="BI37" i="1" s="1"/>
  <c r="BH38" i="1"/>
  <c r="BI38" i="1" s="1"/>
  <c r="BH39" i="1"/>
  <c r="BI39" i="1" s="1"/>
  <c r="BH40" i="1"/>
  <c r="BI40" i="1" s="1"/>
  <c r="BH41" i="1"/>
  <c r="BI41" i="1"/>
  <c r="BH42" i="1"/>
  <c r="BI42" i="1" s="1"/>
  <c r="BH43" i="1"/>
  <c r="BI43" i="1" s="1"/>
  <c r="BH45" i="1"/>
  <c r="BI45" i="1" s="1"/>
  <c r="BH46" i="1"/>
  <c r="BI46" i="1" s="1"/>
  <c r="BH15" i="1"/>
  <c r="BI15" i="1" s="1"/>
  <c r="BH308" i="1"/>
  <c r="BI308" i="1" s="1"/>
  <c r="BH374" i="1"/>
  <c r="BI374" i="1" s="1"/>
  <c r="X375" i="1"/>
  <c r="X376" i="1"/>
  <c r="X377" i="1"/>
  <c r="X378" i="1"/>
  <c r="X379" i="1"/>
  <c r="X319" i="1"/>
  <c r="X320" i="1"/>
  <c r="X321" i="1"/>
  <c r="X322" i="1"/>
  <c r="X323" i="1"/>
  <c r="X324" i="1"/>
  <c r="X325" i="1"/>
  <c r="X326" i="1"/>
  <c r="X327" i="1"/>
  <c r="X3" i="1"/>
  <c r="X19" i="1"/>
  <c r="X328" i="1"/>
  <c r="X329" i="1"/>
  <c r="X330" i="1"/>
  <c r="X331" i="1"/>
  <c r="X332" i="1"/>
  <c r="X333" i="1"/>
  <c r="X334" i="1"/>
  <c r="X335" i="1"/>
  <c r="X336" i="1"/>
  <c r="X337" i="1"/>
  <c r="X354" i="1"/>
  <c r="X312" i="1"/>
  <c r="X338" i="1"/>
  <c r="X339" i="1"/>
  <c r="X340" i="1"/>
  <c r="X341" i="1"/>
  <c r="X342" i="1"/>
  <c r="X56" i="1"/>
  <c r="X67" i="1"/>
  <c r="X78" i="1"/>
  <c r="X89" i="1"/>
  <c r="X100" i="1"/>
  <c r="X345" i="1"/>
  <c r="X4" i="1"/>
  <c r="X111" i="1"/>
  <c r="X121" i="1"/>
  <c r="X122" i="1"/>
  <c r="X123" i="1"/>
  <c r="X57" i="1"/>
  <c r="X58" i="1"/>
  <c r="X59" i="1"/>
  <c r="X60" i="1"/>
  <c r="X61" i="1"/>
  <c r="X62" i="1"/>
  <c r="X20" i="1"/>
  <c r="X355" i="1"/>
  <c r="X63" i="1"/>
  <c r="X64" i="1"/>
  <c r="X65" i="1"/>
  <c r="X66" i="1"/>
  <c r="X68" i="1"/>
  <c r="X69" i="1"/>
  <c r="X70" i="1"/>
  <c r="X71" i="1"/>
  <c r="X72" i="1"/>
  <c r="X73" i="1"/>
  <c r="X313" i="1"/>
  <c r="X5" i="1"/>
  <c r="X74" i="1"/>
  <c r="X75" i="1"/>
  <c r="X76" i="1"/>
  <c r="X77" i="1"/>
  <c r="X79" i="1"/>
  <c r="X80" i="1"/>
  <c r="X81" i="1"/>
  <c r="X82" i="1"/>
  <c r="X83" i="1"/>
  <c r="X84" i="1"/>
  <c r="X368" i="1"/>
  <c r="X356" i="1"/>
  <c r="X85" i="1"/>
  <c r="X86" i="1"/>
  <c r="X87" i="1"/>
  <c r="X88" i="1"/>
  <c r="X90" i="1"/>
  <c r="X91" i="1"/>
  <c r="X92" i="1"/>
  <c r="X93" i="1"/>
  <c r="X94" i="1"/>
  <c r="X95" i="1"/>
  <c r="X27" i="1"/>
  <c r="X6" i="1"/>
  <c r="X96" i="1"/>
  <c r="X97" i="1"/>
  <c r="X98" i="1"/>
  <c r="X99" i="1"/>
  <c r="X101" i="1"/>
  <c r="X102" i="1"/>
  <c r="X103" i="1"/>
  <c r="X104" i="1"/>
  <c r="X105" i="1"/>
  <c r="X106" i="1"/>
  <c r="X305" i="1"/>
  <c r="X357" i="1"/>
  <c r="X107" i="1"/>
  <c r="X108" i="1"/>
  <c r="X109" i="1"/>
  <c r="X110" i="1"/>
  <c r="X112" i="1"/>
  <c r="X113" i="1"/>
  <c r="X114" i="1"/>
  <c r="X115" i="1"/>
  <c r="X116" i="1"/>
  <c r="X117" i="1"/>
  <c r="X346" i="1"/>
  <c r="X7" i="1"/>
  <c r="X118" i="1"/>
  <c r="X119" i="1"/>
  <c r="X120" i="1"/>
  <c r="X126" i="1"/>
  <c r="X144" i="1"/>
  <c r="X155" i="1"/>
  <c r="X165" i="1"/>
  <c r="X176" i="1"/>
  <c r="X187" i="1"/>
  <c r="X198" i="1"/>
  <c r="X21" i="1"/>
  <c r="X16" i="1"/>
  <c r="X209" i="1"/>
  <c r="X220" i="1"/>
  <c r="X127" i="1"/>
  <c r="X135" i="1"/>
  <c r="X136" i="1"/>
  <c r="X137" i="1"/>
  <c r="X138" i="1"/>
  <c r="X139" i="1"/>
  <c r="X140" i="1"/>
  <c r="X141" i="1"/>
  <c r="X353" i="1"/>
  <c r="X26" i="1"/>
  <c r="X142" i="1"/>
  <c r="X143" i="1"/>
  <c r="X145" i="1"/>
  <c r="X146" i="1"/>
  <c r="X147" i="1"/>
  <c r="X148" i="1"/>
  <c r="X149" i="1"/>
  <c r="X150" i="1"/>
  <c r="X151" i="1"/>
  <c r="X152" i="1"/>
  <c r="X352" i="1"/>
  <c r="X311" i="1"/>
  <c r="X153" i="1"/>
  <c r="X154" i="1"/>
  <c r="X156" i="1"/>
  <c r="X157" i="1"/>
  <c r="X158" i="1"/>
  <c r="X159" i="1"/>
  <c r="X160" i="1"/>
  <c r="X161" i="1"/>
  <c r="X162" i="1"/>
  <c r="X349" i="1"/>
  <c r="X2" i="1"/>
  <c r="X163" i="1"/>
  <c r="X164" i="1"/>
  <c r="X166" i="1"/>
  <c r="X167" i="1"/>
  <c r="X168" i="1"/>
  <c r="X169" i="1"/>
  <c r="X170" i="1"/>
  <c r="X171" i="1"/>
  <c r="X172" i="1"/>
  <c r="X173" i="1"/>
  <c r="X358" i="1"/>
  <c r="X314" i="1"/>
  <c r="X174" i="1"/>
  <c r="X175" i="1"/>
  <c r="X177" i="1"/>
  <c r="X178" i="1"/>
  <c r="X179" i="1"/>
  <c r="X180" i="1"/>
  <c r="X181" i="1"/>
  <c r="X182" i="1"/>
  <c r="X183" i="1"/>
  <c r="X184" i="1"/>
  <c r="X8" i="1"/>
  <c r="X369" i="1"/>
  <c r="X185" i="1"/>
  <c r="X186" i="1"/>
  <c r="X188" i="1"/>
  <c r="X189" i="1"/>
  <c r="X190" i="1"/>
  <c r="X191" i="1"/>
  <c r="X192" i="1"/>
  <c r="X193" i="1"/>
  <c r="X194" i="1"/>
  <c r="X195" i="1"/>
  <c r="X359" i="1"/>
  <c r="X28" i="1"/>
  <c r="X196" i="1"/>
  <c r="X197" i="1"/>
  <c r="X199" i="1"/>
  <c r="X200" i="1"/>
  <c r="X201" i="1"/>
  <c r="X202" i="1"/>
  <c r="X203" i="1"/>
  <c r="X204" i="1"/>
  <c r="X205" i="1"/>
  <c r="X206" i="1"/>
  <c r="X9" i="1"/>
  <c r="X306" i="1"/>
  <c r="X207" i="1"/>
  <c r="X208" i="1"/>
  <c r="X210" i="1"/>
  <c r="X211" i="1"/>
  <c r="X212" i="1"/>
  <c r="X213" i="1"/>
  <c r="X214" i="1"/>
  <c r="X215" i="1"/>
  <c r="X216" i="1"/>
  <c r="X217" i="1"/>
  <c r="X360" i="1"/>
  <c r="X347" i="1"/>
  <c r="X218" i="1"/>
  <c r="X219" i="1"/>
  <c r="X221" i="1"/>
  <c r="X222" i="1"/>
  <c r="X223" i="1"/>
  <c r="X224" i="1"/>
  <c r="X225" i="1"/>
  <c r="X226" i="1"/>
  <c r="X227" i="1"/>
  <c r="X228" i="1"/>
  <c r="X10" i="1"/>
  <c r="X22" i="1"/>
  <c r="X229" i="1"/>
  <c r="X230" i="1"/>
  <c r="X128" i="1"/>
  <c r="X129" i="1"/>
  <c r="X130" i="1"/>
  <c r="X131" i="1"/>
  <c r="X132" i="1"/>
  <c r="X133" i="1"/>
  <c r="X134" i="1"/>
  <c r="X233" i="1"/>
  <c r="X361" i="1"/>
  <c r="X315" i="1"/>
  <c r="X244" i="1"/>
  <c r="X255" i="1"/>
  <c r="X266" i="1"/>
  <c r="X277" i="1"/>
  <c r="X288" i="1"/>
  <c r="X299" i="1"/>
  <c r="X301" i="1"/>
  <c r="X302" i="1"/>
  <c r="X234" i="1"/>
  <c r="X235" i="1"/>
  <c r="X11" i="1"/>
  <c r="X370" i="1"/>
  <c r="X236" i="1"/>
  <c r="X237" i="1"/>
  <c r="X238" i="1"/>
  <c r="X239" i="1"/>
  <c r="X240" i="1"/>
  <c r="X241" i="1"/>
  <c r="X242" i="1"/>
  <c r="X243" i="1"/>
  <c r="X245" i="1"/>
  <c r="X246" i="1"/>
  <c r="X362" i="1"/>
  <c r="X29" i="1"/>
  <c r="X247" i="1"/>
  <c r="X248" i="1"/>
  <c r="X249" i="1"/>
  <c r="X250" i="1"/>
  <c r="X251" i="1"/>
  <c r="X252" i="1"/>
  <c r="X253" i="1"/>
  <c r="X254" i="1"/>
  <c r="X256" i="1"/>
  <c r="X257" i="1"/>
  <c r="X12" i="1"/>
  <c r="X307" i="1"/>
  <c r="X258" i="1"/>
  <c r="X259" i="1"/>
  <c r="X260" i="1"/>
  <c r="X261" i="1"/>
  <c r="X262" i="1"/>
  <c r="X263" i="1"/>
  <c r="X264" i="1"/>
  <c r="X265" i="1"/>
  <c r="X267" i="1"/>
  <c r="X268" i="1"/>
  <c r="X363" i="1"/>
  <c r="X348" i="1"/>
  <c r="X269" i="1"/>
  <c r="X270" i="1"/>
  <c r="X271" i="1"/>
  <c r="X272" i="1"/>
  <c r="X273" i="1"/>
  <c r="X274" i="1"/>
  <c r="X275" i="1"/>
  <c r="X276" i="1"/>
  <c r="X278" i="1"/>
  <c r="X279" i="1"/>
  <c r="X13" i="1"/>
  <c r="X23" i="1"/>
  <c r="X280" i="1"/>
  <c r="X281" i="1"/>
  <c r="X282" i="1"/>
  <c r="X283" i="1"/>
  <c r="X284" i="1"/>
  <c r="X285" i="1"/>
  <c r="X286" i="1"/>
  <c r="X287" i="1"/>
  <c r="X289" i="1"/>
  <c r="X290" i="1"/>
  <c r="X364" i="1"/>
  <c r="X316" i="1"/>
  <c r="X291" i="1"/>
  <c r="X292" i="1"/>
  <c r="X293" i="1"/>
  <c r="X294" i="1"/>
  <c r="X295" i="1"/>
  <c r="X296" i="1"/>
  <c r="X297" i="1"/>
  <c r="X298" i="1"/>
  <c r="X300" i="1"/>
  <c r="X33" i="1"/>
  <c r="X14" i="1"/>
  <c r="X371" i="1"/>
  <c r="X44" i="1"/>
  <c r="X47" i="1"/>
  <c r="X48" i="1"/>
  <c r="X49" i="1"/>
  <c r="X50" i="1"/>
  <c r="X51" i="1"/>
  <c r="X52" i="1"/>
  <c r="X53" i="1"/>
  <c r="X34" i="1"/>
  <c r="X35" i="1"/>
  <c r="X365" i="1"/>
  <c r="X30" i="1"/>
  <c r="X36" i="1"/>
  <c r="X37" i="1"/>
  <c r="X38" i="1"/>
  <c r="X39" i="1"/>
  <c r="X40" i="1"/>
  <c r="X41" i="1"/>
  <c r="X42" i="1"/>
  <c r="X43" i="1"/>
  <c r="X45" i="1"/>
  <c r="X46" i="1"/>
  <c r="X15" i="1"/>
  <c r="X308" i="1"/>
  <c r="X374" i="1"/>
  <c r="V375" i="1"/>
  <c r="W375" i="1"/>
  <c r="V376" i="1"/>
  <c r="W376" i="1"/>
  <c r="V377" i="1"/>
  <c r="W377" i="1"/>
  <c r="V378" i="1"/>
  <c r="W378" i="1"/>
  <c r="V379" i="1"/>
  <c r="W379" i="1"/>
  <c r="V319" i="1"/>
  <c r="W319" i="1"/>
  <c r="V320" i="1"/>
  <c r="W320" i="1"/>
  <c r="V321" i="1"/>
  <c r="W321" i="1"/>
  <c r="V322" i="1"/>
  <c r="W322" i="1"/>
  <c r="V323" i="1"/>
  <c r="W323" i="1"/>
  <c r="V324" i="1"/>
  <c r="W324" i="1"/>
  <c r="V325" i="1"/>
  <c r="W325" i="1"/>
  <c r="V326" i="1"/>
  <c r="W326" i="1"/>
  <c r="V327" i="1"/>
  <c r="W327" i="1"/>
  <c r="V3" i="1"/>
  <c r="W3" i="1"/>
  <c r="V19" i="1"/>
  <c r="W19" i="1"/>
  <c r="V328" i="1"/>
  <c r="W328" i="1"/>
  <c r="V329" i="1"/>
  <c r="W329" i="1"/>
  <c r="V330" i="1"/>
  <c r="W330" i="1"/>
  <c r="V331" i="1"/>
  <c r="W331" i="1"/>
  <c r="V332" i="1"/>
  <c r="W332" i="1"/>
  <c r="V333" i="1"/>
  <c r="W333" i="1"/>
  <c r="V334" i="1"/>
  <c r="W334" i="1"/>
  <c r="V335" i="1"/>
  <c r="W335" i="1"/>
  <c r="V336" i="1"/>
  <c r="W336" i="1"/>
  <c r="V337" i="1"/>
  <c r="W337" i="1"/>
  <c r="V354" i="1"/>
  <c r="W354" i="1"/>
  <c r="V312" i="1"/>
  <c r="W312" i="1"/>
  <c r="V338" i="1"/>
  <c r="W338" i="1"/>
  <c r="V339" i="1"/>
  <c r="W339" i="1"/>
  <c r="V340" i="1"/>
  <c r="W340" i="1"/>
  <c r="V341" i="1"/>
  <c r="W341" i="1"/>
  <c r="V342" i="1"/>
  <c r="W342" i="1"/>
  <c r="V56" i="1"/>
  <c r="W56" i="1"/>
  <c r="V67" i="1"/>
  <c r="W67" i="1"/>
  <c r="V78" i="1"/>
  <c r="W78" i="1"/>
  <c r="V89" i="1"/>
  <c r="W89" i="1"/>
  <c r="V100" i="1"/>
  <c r="W100" i="1"/>
  <c r="V345" i="1"/>
  <c r="W345" i="1"/>
  <c r="V4" i="1"/>
  <c r="W4" i="1"/>
  <c r="V111" i="1"/>
  <c r="W111" i="1"/>
  <c r="V121" i="1"/>
  <c r="W121" i="1"/>
  <c r="V122" i="1"/>
  <c r="W122" i="1"/>
  <c r="V123" i="1"/>
  <c r="W123" i="1"/>
  <c r="V57" i="1"/>
  <c r="W57" i="1"/>
  <c r="V58" i="1"/>
  <c r="W58" i="1"/>
  <c r="V59" i="1"/>
  <c r="W59" i="1"/>
  <c r="V60" i="1"/>
  <c r="W60" i="1"/>
  <c r="V61" i="1"/>
  <c r="W61" i="1"/>
  <c r="V62" i="1"/>
  <c r="W62" i="1"/>
  <c r="V20" i="1"/>
  <c r="W20" i="1"/>
  <c r="V355" i="1"/>
  <c r="W355" i="1"/>
  <c r="V63" i="1"/>
  <c r="W63" i="1"/>
  <c r="V64" i="1"/>
  <c r="W64" i="1"/>
  <c r="V65" i="1"/>
  <c r="W65" i="1"/>
  <c r="V66" i="1"/>
  <c r="W66" i="1"/>
  <c r="V68" i="1"/>
  <c r="W68" i="1"/>
  <c r="V69" i="1"/>
  <c r="W69" i="1"/>
  <c r="V70" i="1"/>
  <c r="W70" i="1"/>
  <c r="V71" i="1"/>
  <c r="W71" i="1"/>
  <c r="V72" i="1"/>
  <c r="W72" i="1"/>
  <c r="V73" i="1"/>
  <c r="W73" i="1"/>
  <c r="V313" i="1"/>
  <c r="W313" i="1"/>
  <c r="V5" i="1"/>
  <c r="W5" i="1"/>
  <c r="V74" i="1"/>
  <c r="W74" i="1"/>
  <c r="V75" i="1"/>
  <c r="W75" i="1"/>
  <c r="V76" i="1"/>
  <c r="W76" i="1"/>
  <c r="V77" i="1"/>
  <c r="W77" i="1"/>
  <c r="V79" i="1"/>
  <c r="W79" i="1"/>
  <c r="V80" i="1"/>
  <c r="W80" i="1"/>
  <c r="V81" i="1"/>
  <c r="W81" i="1"/>
  <c r="V82" i="1"/>
  <c r="W82" i="1"/>
  <c r="V83" i="1"/>
  <c r="W83" i="1"/>
  <c r="V84" i="1"/>
  <c r="W84" i="1"/>
  <c r="V368" i="1"/>
  <c r="W368" i="1"/>
  <c r="V356" i="1"/>
  <c r="W356" i="1"/>
  <c r="V85" i="1"/>
  <c r="W85" i="1"/>
  <c r="V86" i="1"/>
  <c r="W86" i="1"/>
  <c r="V87" i="1"/>
  <c r="W87" i="1"/>
  <c r="V88" i="1"/>
  <c r="W88" i="1"/>
  <c r="V90" i="1"/>
  <c r="W90" i="1"/>
  <c r="V91" i="1"/>
  <c r="W91" i="1"/>
  <c r="V92" i="1"/>
  <c r="W92" i="1"/>
  <c r="V93" i="1"/>
  <c r="W93" i="1"/>
  <c r="V94" i="1"/>
  <c r="W94" i="1"/>
  <c r="V95" i="1"/>
  <c r="W95" i="1"/>
  <c r="V27" i="1"/>
  <c r="W27" i="1"/>
  <c r="V6" i="1"/>
  <c r="W6" i="1"/>
  <c r="V96" i="1"/>
  <c r="W96" i="1"/>
  <c r="V97" i="1"/>
  <c r="W97" i="1"/>
  <c r="V98" i="1"/>
  <c r="W98" i="1"/>
  <c r="V99" i="1"/>
  <c r="W99" i="1"/>
  <c r="V101" i="1"/>
  <c r="W101" i="1"/>
  <c r="V102" i="1"/>
  <c r="W102" i="1"/>
  <c r="V103" i="1"/>
  <c r="W103" i="1"/>
  <c r="V104" i="1"/>
  <c r="W104" i="1"/>
  <c r="V105" i="1"/>
  <c r="W105" i="1"/>
  <c r="V106" i="1"/>
  <c r="W106" i="1"/>
  <c r="V305" i="1"/>
  <c r="W305" i="1"/>
  <c r="V357" i="1"/>
  <c r="W357" i="1"/>
  <c r="V107" i="1"/>
  <c r="W107" i="1"/>
  <c r="V108" i="1"/>
  <c r="W108" i="1"/>
  <c r="V109" i="1"/>
  <c r="W109" i="1"/>
  <c r="V110" i="1"/>
  <c r="W110" i="1"/>
  <c r="V112" i="1"/>
  <c r="W112" i="1"/>
  <c r="V113" i="1"/>
  <c r="W113" i="1"/>
  <c r="V114" i="1"/>
  <c r="W114" i="1"/>
  <c r="V115" i="1"/>
  <c r="W115" i="1"/>
  <c r="V116" i="1"/>
  <c r="W116" i="1"/>
  <c r="V117" i="1"/>
  <c r="W117" i="1"/>
  <c r="V346" i="1"/>
  <c r="W346" i="1"/>
  <c r="V7" i="1"/>
  <c r="W7" i="1"/>
  <c r="V118" i="1"/>
  <c r="W118" i="1"/>
  <c r="V119" i="1"/>
  <c r="W119" i="1"/>
  <c r="V120" i="1"/>
  <c r="W120" i="1"/>
  <c r="V126" i="1"/>
  <c r="W126" i="1"/>
  <c r="V144" i="1"/>
  <c r="W144" i="1"/>
  <c r="V155" i="1"/>
  <c r="W155" i="1"/>
  <c r="V165" i="1"/>
  <c r="W165" i="1"/>
  <c r="V176" i="1"/>
  <c r="W176" i="1"/>
  <c r="V187" i="1"/>
  <c r="W187" i="1"/>
  <c r="V198" i="1"/>
  <c r="W198" i="1"/>
  <c r="V21" i="1"/>
  <c r="W21" i="1"/>
  <c r="V16" i="1"/>
  <c r="W16" i="1"/>
  <c r="V209" i="1"/>
  <c r="W209" i="1"/>
  <c r="V220" i="1"/>
  <c r="W220" i="1"/>
  <c r="V127" i="1"/>
  <c r="W127" i="1"/>
  <c r="V135" i="1"/>
  <c r="W135" i="1"/>
  <c r="V136" i="1"/>
  <c r="W136" i="1"/>
  <c r="V137" i="1"/>
  <c r="W137" i="1"/>
  <c r="V138" i="1"/>
  <c r="W138" i="1"/>
  <c r="V139" i="1"/>
  <c r="W139" i="1"/>
  <c r="V140" i="1"/>
  <c r="W140" i="1"/>
  <c r="V141" i="1"/>
  <c r="W141" i="1"/>
  <c r="V353" i="1"/>
  <c r="W353" i="1"/>
  <c r="V26" i="1"/>
  <c r="W26" i="1"/>
  <c r="V142" i="1"/>
  <c r="W142" i="1"/>
  <c r="V143" i="1"/>
  <c r="W143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152" i="1"/>
  <c r="W152" i="1"/>
  <c r="V352" i="1"/>
  <c r="W352" i="1"/>
  <c r="V311" i="1"/>
  <c r="W311" i="1"/>
  <c r="V153" i="1"/>
  <c r="W153" i="1"/>
  <c r="V154" i="1"/>
  <c r="W154" i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162" i="1"/>
  <c r="W162" i="1"/>
  <c r="V349" i="1"/>
  <c r="W349" i="1"/>
  <c r="V2" i="1"/>
  <c r="W2" i="1"/>
  <c r="V163" i="1"/>
  <c r="W163" i="1"/>
  <c r="V164" i="1"/>
  <c r="W164" i="1"/>
  <c r="V166" i="1"/>
  <c r="W166" i="1"/>
  <c r="V167" i="1"/>
  <c r="W167" i="1"/>
  <c r="V168" i="1"/>
  <c r="W168" i="1"/>
  <c r="V169" i="1"/>
  <c r="W169" i="1"/>
  <c r="V170" i="1"/>
  <c r="W170" i="1"/>
  <c r="V171" i="1"/>
  <c r="W171" i="1"/>
  <c r="V172" i="1"/>
  <c r="W172" i="1"/>
  <c r="V173" i="1"/>
  <c r="W173" i="1"/>
  <c r="V358" i="1"/>
  <c r="W358" i="1"/>
  <c r="V314" i="1"/>
  <c r="W314" i="1"/>
  <c r="V174" i="1"/>
  <c r="W174" i="1"/>
  <c r="V175" i="1"/>
  <c r="W175" i="1"/>
  <c r="V177" i="1"/>
  <c r="W177" i="1"/>
  <c r="V178" i="1"/>
  <c r="W178" i="1"/>
  <c r="V179" i="1"/>
  <c r="W179" i="1"/>
  <c r="V180" i="1"/>
  <c r="W180" i="1"/>
  <c r="V181" i="1"/>
  <c r="W181" i="1"/>
  <c r="V182" i="1"/>
  <c r="W182" i="1"/>
  <c r="V183" i="1"/>
  <c r="W183" i="1"/>
  <c r="V184" i="1"/>
  <c r="W184" i="1"/>
  <c r="V8" i="1"/>
  <c r="W8" i="1"/>
  <c r="V369" i="1"/>
  <c r="W369" i="1"/>
  <c r="V185" i="1"/>
  <c r="W185" i="1"/>
  <c r="V186" i="1"/>
  <c r="W186" i="1"/>
  <c r="V188" i="1"/>
  <c r="W188" i="1"/>
  <c r="V189" i="1"/>
  <c r="W189" i="1"/>
  <c r="V190" i="1"/>
  <c r="W190" i="1"/>
  <c r="V191" i="1"/>
  <c r="W191" i="1"/>
  <c r="V192" i="1"/>
  <c r="W192" i="1"/>
  <c r="V193" i="1"/>
  <c r="W193" i="1"/>
  <c r="V194" i="1"/>
  <c r="W194" i="1"/>
  <c r="V195" i="1"/>
  <c r="W195" i="1"/>
  <c r="V359" i="1"/>
  <c r="W359" i="1"/>
  <c r="V28" i="1"/>
  <c r="W28" i="1"/>
  <c r="V196" i="1"/>
  <c r="W196" i="1"/>
  <c r="V197" i="1"/>
  <c r="W197" i="1"/>
  <c r="V199" i="1"/>
  <c r="W199" i="1"/>
  <c r="V200" i="1"/>
  <c r="W200" i="1"/>
  <c r="V201" i="1"/>
  <c r="W201" i="1"/>
  <c r="V202" i="1"/>
  <c r="W202" i="1"/>
  <c r="V203" i="1"/>
  <c r="W203" i="1"/>
  <c r="V204" i="1"/>
  <c r="W204" i="1"/>
  <c r="V205" i="1"/>
  <c r="W205" i="1"/>
  <c r="V206" i="1"/>
  <c r="W206" i="1"/>
  <c r="V9" i="1"/>
  <c r="W9" i="1"/>
  <c r="V306" i="1"/>
  <c r="W306" i="1"/>
  <c r="V207" i="1"/>
  <c r="W207" i="1"/>
  <c r="V208" i="1"/>
  <c r="W208" i="1"/>
  <c r="V210" i="1"/>
  <c r="W210" i="1"/>
  <c r="V211" i="1"/>
  <c r="W211" i="1"/>
  <c r="V212" i="1"/>
  <c r="W212" i="1"/>
  <c r="V213" i="1"/>
  <c r="W213" i="1"/>
  <c r="V214" i="1"/>
  <c r="W214" i="1"/>
  <c r="V215" i="1"/>
  <c r="W215" i="1"/>
  <c r="V216" i="1"/>
  <c r="W216" i="1"/>
  <c r="V217" i="1"/>
  <c r="W217" i="1"/>
  <c r="V360" i="1"/>
  <c r="W360" i="1"/>
  <c r="V347" i="1"/>
  <c r="W347" i="1"/>
  <c r="V218" i="1"/>
  <c r="W218" i="1"/>
  <c r="V219" i="1"/>
  <c r="W219" i="1"/>
  <c r="V221" i="1"/>
  <c r="W221" i="1"/>
  <c r="V222" i="1"/>
  <c r="W222" i="1"/>
  <c r="V223" i="1"/>
  <c r="W223" i="1"/>
  <c r="V224" i="1"/>
  <c r="W224" i="1"/>
  <c r="V225" i="1"/>
  <c r="W225" i="1"/>
  <c r="V226" i="1"/>
  <c r="W226" i="1"/>
  <c r="V227" i="1"/>
  <c r="W227" i="1"/>
  <c r="V228" i="1"/>
  <c r="W228" i="1"/>
  <c r="V10" i="1"/>
  <c r="W10" i="1"/>
  <c r="V22" i="1"/>
  <c r="W22" i="1"/>
  <c r="V229" i="1"/>
  <c r="W229" i="1"/>
  <c r="V230" i="1"/>
  <c r="W230" i="1"/>
  <c r="V128" i="1"/>
  <c r="W128" i="1"/>
  <c r="V129" i="1"/>
  <c r="W129" i="1"/>
  <c r="V130" i="1"/>
  <c r="W130" i="1"/>
  <c r="V131" i="1"/>
  <c r="W131" i="1"/>
  <c r="V132" i="1"/>
  <c r="W132" i="1"/>
  <c r="V133" i="1"/>
  <c r="W133" i="1"/>
  <c r="V134" i="1"/>
  <c r="W134" i="1"/>
  <c r="V233" i="1"/>
  <c r="W233" i="1"/>
  <c r="V361" i="1"/>
  <c r="W361" i="1"/>
  <c r="V315" i="1"/>
  <c r="W315" i="1"/>
  <c r="V244" i="1"/>
  <c r="W244" i="1"/>
  <c r="V255" i="1"/>
  <c r="W255" i="1"/>
  <c r="V266" i="1"/>
  <c r="W266" i="1"/>
  <c r="V277" i="1"/>
  <c r="W277" i="1"/>
  <c r="V288" i="1"/>
  <c r="W288" i="1"/>
  <c r="V299" i="1"/>
  <c r="W299" i="1"/>
  <c r="V301" i="1"/>
  <c r="W301" i="1"/>
  <c r="V302" i="1"/>
  <c r="W302" i="1"/>
  <c r="V234" i="1"/>
  <c r="W234" i="1"/>
  <c r="V235" i="1"/>
  <c r="W235" i="1"/>
  <c r="V11" i="1"/>
  <c r="W11" i="1"/>
  <c r="V370" i="1"/>
  <c r="W370" i="1"/>
  <c r="V236" i="1"/>
  <c r="W236" i="1"/>
  <c r="V237" i="1"/>
  <c r="W237" i="1"/>
  <c r="V238" i="1"/>
  <c r="W238" i="1"/>
  <c r="V239" i="1"/>
  <c r="W239" i="1"/>
  <c r="V240" i="1"/>
  <c r="W240" i="1"/>
  <c r="V241" i="1"/>
  <c r="W241" i="1"/>
  <c r="V242" i="1"/>
  <c r="W242" i="1"/>
  <c r="V243" i="1"/>
  <c r="W243" i="1"/>
  <c r="V245" i="1"/>
  <c r="W245" i="1"/>
  <c r="V246" i="1"/>
  <c r="W246" i="1"/>
  <c r="V362" i="1"/>
  <c r="W362" i="1"/>
  <c r="V29" i="1"/>
  <c r="W29" i="1"/>
  <c r="V247" i="1"/>
  <c r="W247" i="1"/>
  <c r="V248" i="1"/>
  <c r="W248" i="1"/>
  <c r="V249" i="1"/>
  <c r="W249" i="1"/>
  <c r="V250" i="1"/>
  <c r="W250" i="1"/>
  <c r="V251" i="1"/>
  <c r="W251" i="1"/>
  <c r="V252" i="1"/>
  <c r="W252" i="1"/>
  <c r="V253" i="1"/>
  <c r="W253" i="1"/>
  <c r="V254" i="1"/>
  <c r="W254" i="1"/>
  <c r="V256" i="1"/>
  <c r="W256" i="1"/>
  <c r="V257" i="1"/>
  <c r="W257" i="1"/>
  <c r="V12" i="1"/>
  <c r="W12" i="1"/>
  <c r="V307" i="1"/>
  <c r="W307" i="1"/>
  <c r="V258" i="1"/>
  <c r="W258" i="1"/>
  <c r="V259" i="1"/>
  <c r="W259" i="1"/>
  <c r="V260" i="1"/>
  <c r="W260" i="1"/>
  <c r="V261" i="1"/>
  <c r="W261" i="1"/>
  <c r="V262" i="1"/>
  <c r="W262" i="1"/>
  <c r="V263" i="1"/>
  <c r="W263" i="1"/>
  <c r="V264" i="1"/>
  <c r="W264" i="1"/>
  <c r="V265" i="1"/>
  <c r="W265" i="1"/>
  <c r="V267" i="1"/>
  <c r="W267" i="1"/>
  <c r="V268" i="1"/>
  <c r="W268" i="1"/>
  <c r="V363" i="1"/>
  <c r="W363" i="1"/>
  <c r="V348" i="1"/>
  <c r="W348" i="1"/>
  <c r="V269" i="1"/>
  <c r="W269" i="1"/>
  <c r="V270" i="1"/>
  <c r="W270" i="1"/>
  <c r="V271" i="1"/>
  <c r="W271" i="1"/>
  <c r="V272" i="1"/>
  <c r="W272" i="1"/>
  <c r="V273" i="1"/>
  <c r="W273" i="1"/>
  <c r="V274" i="1"/>
  <c r="W274" i="1"/>
  <c r="V275" i="1"/>
  <c r="W275" i="1"/>
  <c r="V276" i="1"/>
  <c r="W276" i="1"/>
  <c r="V278" i="1"/>
  <c r="W278" i="1"/>
  <c r="V279" i="1"/>
  <c r="W279" i="1"/>
  <c r="V13" i="1"/>
  <c r="W13" i="1"/>
  <c r="V23" i="1"/>
  <c r="W23" i="1"/>
  <c r="V280" i="1"/>
  <c r="W280" i="1"/>
  <c r="V281" i="1"/>
  <c r="W281" i="1"/>
  <c r="V282" i="1"/>
  <c r="W282" i="1"/>
  <c r="V283" i="1"/>
  <c r="W283" i="1"/>
  <c r="V284" i="1"/>
  <c r="W284" i="1"/>
  <c r="V285" i="1"/>
  <c r="W285" i="1"/>
  <c r="V286" i="1"/>
  <c r="W286" i="1"/>
  <c r="V287" i="1"/>
  <c r="W287" i="1"/>
  <c r="V289" i="1"/>
  <c r="W289" i="1"/>
  <c r="V290" i="1"/>
  <c r="W290" i="1"/>
  <c r="V364" i="1"/>
  <c r="W364" i="1"/>
  <c r="V316" i="1"/>
  <c r="W316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300" i="1"/>
  <c r="W300" i="1"/>
  <c r="V33" i="1"/>
  <c r="W33" i="1"/>
  <c r="V14" i="1"/>
  <c r="W14" i="1"/>
  <c r="V371" i="1"/>
  <c r="W371" i="1"/>
  <c r="V44" i="1"/>
  <c r="W44" i="1"/>
  <c r="V47" i="1"/>
  <c r="W47" i="1"/>
  <c r="V48" i="1"/>
  <c r="W48" i="1"/>
  <c r="V49" i="1"/>
  <c r="W49" i="1"/>
  <c r="V50" i="1"/>
  <c r="W50" i="1"/>
  <c r="V51" i="1"/>
  <c r="W51" i="1"/>
  <c r="V52" i="1"/>
  <c r="W52" i="1"/>
  <c r="V53" i="1"/>
  <c r="W53" i="1"/>
  <c r="V34" i="1"/>
  <c r="W34" i="1"/>
  <c r="V35" i="1"/>
  <c r="W35" i="1"/>
  <c r="V365" i="1"/>
  <c r="W365" i="1"/>
  <c r="V30" i="1"/>
  <c r="W30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5" i="1"/>
  <c r="W45" i="1"/>
  <c r="V46" i="1"/>
  <c r="W46" i="1"/>
  <c r="V15" i="1"/>
  <c r="W15" i="1"/>
  <c r="V308" i="1"/>
  <c r="W308" i="1"/>
  <c r="W374" i="1"/>
  <c r="V374" i="1"/>
  <c r="P9" i="5"/>
  <c r="P65" i="5"/>
  <c r="P28" i="5"/>
  <c r="P59" i="5"/>
  <c r="P31" i="5"/>
  <c r="P42" i="5"/>
  <c r="P43" i="5"/>
  <c r="P37" i="5"/>
  <c r="P29" i="5"/>
  <c r="P34" i="5"/>
  <c r="P22" i="5"/>
  <c r="P49" i="5"/>
  <c r="P35" i="5"/>
  <c r="P63" i="5"/>
  <c r="P44" i="5"/>
  <c r="P21" i="5"/>
  <c r="P48" i="5"/>
  <c r="P26" i="5"/>
  <c r="P41" i="5"/>
  <c r="P33" i="5"/>
  <c r="P30" i="5"/>
  <c r="P67" i="5"/>
  <c r="P6" i="5"/>
  <c r="P27" i="5"/>
  <c r="P60" i="5"/>
  <c r="P24" i="5"/>
  <c r="P64" i="5"/>
  <c r="P52" i="5"/>
  <c r="P18" i="5"/>
  <c r="P53" i="5"/>
  <c r="P16" i="5"/>
  <c r="P7" i="5"/>
  <c r="P13" i="5"/>
  <c r="P17" i="5"/>
  <c r="P4" i="5"/>
  <c r="P47" i="5"/>
  <c r="P36" i="5"/>
  <c r="P38" i="5"/>
  <c r="P69" i="5"/>
  <c r="P19" i="5"/>
  <c r="P70" i="5"/>
  <c r="P51" i="5"/>
  <c r="P71" i="5"/>
  <c r="P12" i="5"/>
  <c r="P61" i="5"/>
  <c r="P50" i="5"/>
  <c r="P11" i="5"/>
  <c r="P56" i="5"/>
  <c r="P23" i="5"/>
  <c r="P58" i="5"/>
  <c r="P45" i="5"/>
  <c r="P10" i="5"/>
  <c r="P39" i="5"/>
  <c r="P15" i="5"/>
  <c r="P3" i="5"/>
  <c r="P5" i="5"/>
  <c r="P14" i="5"/>
  <c r="P46" i="5"/>
  <c r="P68" i="5"/>
  <c r="P62" i="5"/>
  <c r="P32" i="5"/>
  <c r="P25" i="5"/>
  <c r="P66" i="5"/>
  <c r="P40" i="5"/>
  <c r="P55" i="5"/>
  <c r="P54" i="5"/>
  <c r="P57" i="5"/>
  <c r="P8" i="5"/>
  <c r="P2" i="5"/>
  <c r="P20" i="5"/>
  <c r="U63" i="5"/>
  <c r="U6" i="5"/>
  <c r="U20" i="5"/>
  <c r="U18" i="5"/>
  <c r="U70" i="5"/>
  <c r="U26" i="5"/>
  <c r="U3" i="5"/>
  <c r="U65" i="5"/>
  <c r="U19" i="5"/>
  <c r="U28" i="5"/>
  <c r="U47" i="5"/>
  <c r="U15" i="5"/>
  <c r="U4" i="5"/>
  <c r="U51" i="5"/>
  <c r="U49" i="5"/>
  <c r="U42" i="5"/>
  <c r="U56" i="5"/>
  <c r="U59" i="5"/>
  <c r="U16" i="5"/>
  <c r="U31" i="5"/>
  <c r="U22" i="5"/>
  <c r="U29" i="5"/>
  <c r="U45" i="5"/>
  <c r="U32" i="5"/>
  <c r="U25" i="5"/>
  <c r="U37" i="5"/>
  <c r="U39" i="5"/>
  <c r="U5" i="5"/>
  <c r="U53" i="5"/>
  <c r="U41" i="5"/>
  <c r="U8" i="5"/>
  <c r="U33" i="5"/>
  <c r="U24" i="5"/>
  <c r="U46" i="5"/>
  <c r="U69" i="5"/>
  <c r="U43" i="5"/>
  <c r="U54" i="5"/>
  <c r="U17" i="5"/>
  <c r="U30" i="5"/>
  <c r="U10" i="5"/>
  <c r="U36" i="5"/>
  <c r="U58" i="5"/>
  <c r="U68" i="5"/>
  <c r="U62" i="5"/>
  <c r="U66" i="5"/>
  <c r="U21" i="5"/>
  <c r="U52" i="5"/>
  <c r="U57" i="5"/>
  <c r="U44" i="5"/>
  <c r="U64" i="5"/>
  <c r="U71" i="5"/>
  <c r="U12" i="5"/>
  <c r="U14" i="5"/>
  <c r="U48" i="5"/>
  <c r="U13" i="5"/>
  <c r="U40" i="5"/>
  <c r="U7" i="5"/>
  <c r="U9" i="5"/>
  <c r="U11" i="5"/>
  <c r="U61" i="5"/>
  <c r="U27" i="5"/>
  <c r="U55" i="5"/>
  <c r="U38" i="5"/>
  <c r="U60" i="5"/>
  <c r="U34" i="5"/>
  <c r="U23" i="5"/>
  <c r="U35" i="5"/>
  <c r="U67" i="5"/>
  <c r="U2" i="5"/>
  <c r="U50" i="5"/>
  <c r="K68" i="5"/>
  <c r="K56" i="5"/>
  <c r="K57" i="5"/>
  <c r="K21" i="5"/>
  <c r="K12" i="5"/>
  <c r="K7" i="5"/>
  <c r="K55" i="5"/>
  <c r="K17" i="5"/>
  <c r="K59" i="5"/>
  <c r="K29" i="5"/>
  <c r="K9" i="5"/>
  <c r="K33" i="5"/>
  <c r="K24" i="5"/>
  <c r="K61" i="5"/>
  <c r="K25" i="5"/>
  <c r="K3" i="5"/>
  <c r="K36" i="5"/>
  <c r="K16" i="5"/>
  <c r="K50" i="5"/>
  <c r="K39" i="5"/>
  <c r="K44" i="5"/>
  <c r="K4" i="5"/>
  <c r="K53" i="5"/>
  <c r="K70" i="5"/>
  <c r="K30" i="5"/>
  <c r="K27" i="5"/>
  <c r="K37" i="5"/>
  <c r="K45" i="5"/>
  <c r="K66" i="5"/>
  <c r="K6" i="5"/>
  <c r="K20" i="5"/>
  <c r="K52" i="5"/>
  <c r="K8" i="5"/>
  <c r="K14" i="5"/>
  <c r="K40" i="5"/>
  <c r="K19" i="5"/>
  <c r="K26" i="5"/>
  <c r="K15" i="5"/>
  <c r="K64" i="5"/>
  <c r="K32" i="5"/>
  <c r="K51" i="5"/>
  <c r="K65" i="5"/>
  <c r="K18" i="5"/>
  <c r="K58" i="5"/>
  <c r="K42" i="5"/>
  <c r="K31" i="5"/>
  <c r="K35" i="5"/>
  <c r="K69" i="5"/>
  <c r="K62" i="5"/>
  <c r="K63" i="5"/>
  <c r="K22" i="5"/>
  <c r="K48" i="5"/>
  <c r="K38" i="5"/>
  <c r="K47" i="5"/>
  <c r="K71" i="5"/>
  <c r="K60" i="5"/>
  <c r="K11" i="5"/>
  <c r="K28" i="5"/>
  <c r="K34" i="5"/>
  <c r="K13" i="5"/>
  <c r="K49" i="5"/>
  <c r="K46" i="5"/>
  <c r="K67" i="5"/>
  <c r="K43" i="5"/>
  <c r="K41" i="5"/>
  <c r="K23" i="5"/>
  <c r="K54" i="5"/>
  <c r="K10" i="5"/>
  <c r="K2" i="5"/>
  <c r="K5" i="5"/>
  <c r="R71" i="5"/>
  <c r="R56" i="5"/>
  <c r="R47" i="5"/>
  <c r="R62" i="5"/>
  <c r="R52" i="5"/>
  <c r="R8" i="5"/>
  <c r="R65" i="5"/>
  <c r="R9" i="5"/>
  <c r="R31" i="5"/>
  <c r="R70" i="5"/>
  <c r="R43" i="5"/>
  <c r="R23" i="5"/>
  <c r="R60" i="5"/>
  <c r="R57" i="5"/>
  <c r="R61" i="5"/>
  <c r="R26" i="5"/>
  <c r="R28" i="5"/>
  <c r="R29" i="5"/>
  <c r="R12" i="5"/>
  <c r="R68" i="5"/>
  <c r="R38" i="5"/>
  <c r="R4" i="5"/>
  <c r="R5" i="5"/>
  <c r="R37" i="5"/>
  <c r="R17" i="5"/>
  <c r="R64" i="5"/>
  <c r="R46" i="5"/>
  <c r="R19" i="5"/>
  <c r="R27" i="5"/>
  <c r="R42" i="5"/>
  <c r="R59" i="5"/>
  <c r="R11" i="5"/>
  <c r="R3" i="5"/>
  <c r="R10" i="5"/>
  <c r="R58" i="5"/>
  <c r="R30" i="5"/>
  <c r="R45" i="5"/>
  <c r="R16" i="5"/>
  <c r="R50" i="5"/>
  <c r="R7" i="5"/>
  <c r="R22" i="5"/>
  <c r="R36" i="5"/>
  <c r="R18" i="5"/>
  <c r="R63" i="5"/>
  <c r="R25" i="5"/>
  <c r="R51" i="5"/>
  <c r="R6" i="5"/>
  <c r="R35" i="5"/>
  <c r="R44" i="5"/>
  <c r="R53" i="5"/>
  <c r="R48" i="5"/>
  <c r="R40" i="5"/>
  <c r="R39" i="5"/>
  <c r="R41" i="5"/>
  <c r="R13" i="5"/>
  <c r="R15" i="5"/>
  <c r="R20" i="5"/>
  <c r="R69" i="5"/>
  <c r="R54" i="5"/>
  <c r="R49" i="5"/>
  <c r="R34" i="5"/>
  <c r="R33" i="5"/>
  <c r="R32" i="5"/>
  <c r="R66" i="5"/>
  <c r="R21" i="5"/>
  <c r="R55" i="5"/>
  <c r="R67" i="5"/>
  <c r="R14" i="5"/>
  <c r="R2" i="5"/>
  <c r="R24" i="5"/>
  <c r="M35" i="5"/>
  <c r="M40" i="5"/>
  <c r="M51" i="5"/>
  <c r="M66" i="5"/>
  <c r="M7" i="5"/>
  <c r="M68" i="5"/>
  <c r="M46" i="5"/>
  <c r="M14" i="5"/>
  <c r="M17" i="5"/>
  <c r="M4" i="5"/>
  <c r="M5" i="5"/>
  <c r="M53" i="5"/>
  <c r="M63" i="5"/>
  <c r="M45" i="5"/>
  <c r="M37" i="5"/>
  <c r="M47" i="5"/>
  <c r="M31" i="5"/>
  <c r="M19" i="5"/>
  <c r="M48" i="5"/>
  <c r="M57" i="5"/>
  <c r="M64" i="5"/>
  <c r="M36" i="5"/>
  <c r="M69" i="5"/>
  <c r="M42" i="5"/>
  <c r="M8" i="5"/>
  <c r="M20" i="5"/>
  <c r="M61" i="5"/>
  <c r="M60" i="5"/>
  <c r="M34" i="5"/>
  <c r="M59" i="5"/>
  <c r="M21" i="5"/>
  <c r="M67" i="5"/>
  <c r="M12" i="5"/>
  <c r="M62" i="5"/>
  <c r="M26" i="5"/>
  <c r="M10" i="5"/>
  <c r="M33" i="5"/>
  <c r="M38" i="5"/>
  <c r="M44" i="5"/>
  <c r="M71" i="5"/>
  <c r="M39" i="5"/>
  <c r="M49" i="5"/>
  <c r="M30" i="5"/>
  <c r="M3" i="5"/>
  <c r="M29" i="5"/>
  <c r="M15" i="5"/>
  <c r="M54" i="5"/>
  <c r="M56" i="5"/>
  <c r="M43" i="5"/>
  <c r="M16" i="5"/>
  <c r="M24" i="5"/>
  <c r="M41" i="5"/>
  <c r="M70" i="5"/>
  <c r="M27" i="5"/>
  <c r="M22" i="5"/>
  <c r="M6" i="5"/>
  <c r="M58" i="5"/>
  <c r="M50" i="5"/>
  <c r="M55" i="5"/>
  <c r="M18" i="5"/>
  <c r="M11" i="5"/>
  <c r="M52" i="5"/>
  <c r="M23" i="5"/>
  <c r="M9" i="5"/>
  <c r="M28" i="5"/>
  <c r="M65" i="5"/>
  <c r="M13" i="5"/>
  <c r="M25" i="5"/>
  <c r="M2" i="5"/>
  <c r="M32" i="5"/>
  <c r="K216" i="1"/>
  <c r="K142" i="1"/>
  <c r="K6" i="1"/>
  <c r="K224" i="1"/>
  <c r="K298" i="1"/>
  <c r="K35" i="1"/>
  <c r="K62" i="1"/>
  <c r="K57" i="1"/>
  <c r="K93" i="1"/>
  <c r="K249" i="1"/>
  <c r="K30" i="1"/>
  <c r="K341" i="1"/>
  <c r="K335" i="1"/>
  <c r="K268" i="1"/>
  <c r="K322" i="1"/>
  <c r="K267" i="1"/>
  <c r="K79" i="1"/>
  <c r="K160" i="1"/>
  <c r="K29" i="1"/>
  <c r="K53" i="1"/>
  <c r="K196" i="1"/>
  <c r="K312" i="1"/>
  <c r="K143" i="1"/>
  <c r="K334" i="1"/>
  <c r="K345" i="1"/>
  <c r="K361" i="1"/>
  <c r="K342" i="1"/>
  <c r="K323" i="1"/>
  <c r="K48" i="1"/>
  <c r="K252" i="1"/>
  <c r="K320" i="1"/>
  <c r="K52" i="1"/>
  <c r="K91" i="1"/>
  <c r="K233" i="1"/>
  <c r="K151" i="1"/>
  <c r="K296" i="1"/>
  <c r="K243" i="1"/>
  <c r="K183" i="1"/>
  <c r="K111" i="1"/>
  <c r="K273" i="1"/>
  <c r="K77" i="1"/>
  <c r="K282" i="1"/>
  <c r="K87" i="1"/>
  <c r="K115" i="1"/>
  <c r="K248" i="1"/>
  <c r="K97" i="1"/>
  <c r="K12" i="1"/>
  <c r="K67" i="1"/>
  <c r="K171" i="1"/>
  <c r="K371" i="1"/>
  <c r="K241" i="1"/>
  <c r="K214" i="1"/>
  <c r="K68" i="1"/>
  <c r="K338" i="1"/>
  <c r="K188" i="1"/>
  <c r="K19" i="1"/>
  <c r="K259" i="1"/>
  <c r="K132" i="1"/>
  <c r="K110" i="1"/>
  <c r="K15" i="1"/>
  <c r="K150" i="1"/>
  <c r="K40" i="1"/>
  <c r="K81" i="1"/>
  <c r="K219" i="1"/>
  <c r="K207" i="1"/>
  <c r="K123" i="1"/>
  <c r="K109" i="1"/>
  <c r="K329" i="1"/>
  <c r="K376" i="1"/>
  <c r="K286" i="1"/>
  <c r="K346" i="1"/>
  <c r="K41" i="1"/>
  <c r="K73" i="1"/>
  <c r="K128" i="1"/>
  <c r="K179" i="1"/>
  <c r="K56" i="1"/>
  <c r="K43" i="1"/>
  <c r="K199" i="1"/>
  <c r="K8" i="1"/>
  <c r="K348" i="1"/>
  <c r="K234" i="1"/>
  <c r="K177" i="1"/>
  <c r="K200" i="1"/>
  <c r="K148" i="1"/>
  <c r="K358" i="1"/>
  <c r="K76" i="1"/>
  <c r="K374" i="1"/>
  <c r="K152" i="1"/>
  <c r="K198" i="1"/>
  <c r="K114" i="1"/>
  <c r="K269" i="1"/>
  <c r="K21" i="1"/>
  <c r="K280" i="1"/>
  <c r="K319" i="1"/>
  <c r="K221" i="1"/>
  <c r="K172" i="1"/>
  <c r="K107" i="1"/>
  <c r="K84" i="1"/>
  <c r="K253" i="1"/>
  <c r="K96" i="1"/>
  <c r="K246" i="1"/>
  <c r="K263" i="1"/>
  <c r="K61" i="1"/>
  <c r="K3" i="1"/>
  <c r="K203" i="1"/>
  <c r="K245" i="1"/>
  <c r="K258" i="1"/>
  <c r="K230" i="1"/>
  <c r="K266" i="1"/>
  <c r="K185" i="1"/>
  <c r="K328" i="1"/>
  <c r="K78" i="1"/>
  <c r="K354" i="1"/>
  <c r="K168" i="1"/>
  <c r="K379" i="1"/>
  <c r="K75" i="1"/>
  <c r="K60" i="1"/>
  <c r="K297" i="1"/>
  <c r="K164" i="1"/>
  <c r="K370" i="1"/>
  <c r="K239" i="1"/>
  <c r="K347" i="1"/>
  <c r="K58" i="1"/>
  <c r="K92" i="1"/>
  <c r="K283" i="1"/>
  <c r="K321" i="1"/>
  <c r="K50" i="1"/>
  <c r="K101" i="1"/>
  <c r="K141" i="1"/>
  <c r="K136" i="1"/>
  <c r="K113" i="1"/>
  <c r="K326" i="1"/>
  <c r="K191" i="1"/>
  <c r="K129" i="1"/>
  <c r="K274" i="1"/>
  <c r="K74" i="1"/>
  <c r="K295" i="1"/>
  <c r="K287" i="1"/>
  <c r="K122" i="1"/>
  <c r="K325" i="1"/>
  <c r="K117" i="1"/>
  <c r="K336" i="1"/>
  <c r="K158" i="1"/>
  <c r="K184" i="1"/>
  <c r="K147" i="1"/>
  <c r="K45" i="1"/>
  <c r="K85" i="1"/>
  <c r="K316" i="1"/>
  <c r="K314" i="1"/>
  <c r="K292" i="1"/>
  <c r="K20" i="1"/>
  <c r="K14" i="1"/>
  <c r="K165" i="1"/>
  <c r="K63" i="1"/>
  <c r="K83" i="1"/>
  <c r="K190" i="1"/>
  <c r="K39" i="1"/>
  <c r="K215" i="1"/>
  <c r="K364" i="1"/>
  <c r="K89" i="1"/>
  <c r="K337" i="1"/>
  <c r="K144" i="1"/>
  <c r="K281" i="1"/>
  <c r="K308" i="1"/>
  <c r="K127" i="1"/>
  <c r="K38" i="1"/>
  <c r="K70" i="1"/>
  <c r="K315" i="1"/>
  <c r="K362" i="1"/>
  <c r="K28" i="1"/>
  <c r="K167" i="1"/>
  <c r="K235" i="1"/>
  <c r="K289" i="1"/>
  <c r="K149" i="1"/>
  <c r="K174" i="1"/>
  <c r="K26" i="1"/>
  <c r="K166" i="1"/>
  <c r="K175" i="1"/>
  <c r="K276" i="1"/>
  <c r="K186" i="1"/>
  <c r="K279" i="1"/>
  <c r="K213" i="1"/>
  <c r="K202" i="1"/>
  <c r="K22" i="1"/>
  <c r="K155" i="1"/>
  <c r="K261" i="1"/>
  <c r="K192" i="1"/>
  <c r="K201" i="1"/>
  <c r="K126" i="1"/>
  <c r="K33" i="1"/>
  <c r="K225" i="1"/>
  <c r="K256" i="1"/>
  <c r="K99" i="1"/>
  <c r="K181" i="1"/>
  <c r="K94" i="1"/>
  <c r="K159" i="1"/>
  <c r="K353" i="1"/>
  <c r="K247" i="1"/>
  <c r="K311" i="1"/>
  <c r="K265" i="1"/>
  <c r="K300" i="1"/>
  <c r="K236" i="1"/>
  <c r="K88" i="1"/>
  <c r="K195" i="1"/>
  <c r="K59" i="1"/>
  <c r="K161" i="1"/>
  <c r="K206" i="1"/>
  <c r="K9" i="1"/>
  <c r="K64" i="1"/>
  <c r="K108" i="1"/>
  <c r="K212" i="1"/>
  <c r="K112" i="1"/>
  <c r="K227" i="1"/>
  <c r="K242" i="1"/>
  <c r="K193" i="1"/>
  <c r="K352" i="1"/>
  <c r="K173" i="1"/>
  <c r="K138" i="1"/>
  <c r="K306" i="1"/>
  <c r="K349" i="1"/>
  <c r="K134" i="1"/>
  <c r="K260" i="1"/>
  <c r="K293" i="1"/>
  <c r="K305" i="1"/>
  <c r="K47" i="1"/>
  <c r="K357" i="1"/>
  <c r="K80" i="1"/>
  <c r="K135" i="1"/>
  <c r="K307" i="1"/>
  <c r="K121" i="1"/>
  <c r="K333" i="1"/>
  <c r="K139" i="1"/>
  <c r="K102" i="1"/>
  <c r="K220" i="1"/>
  <c r="K275" i="1"/>
  <c r="K16" i="1"/>
  <c r="K100" i="1"/>
  <c r="K211" i="1"/>
  <c r="K375" i="1"/>
  <c r="K119" i="1"/>
  <c r="K95" i="1"/>
  <c r="K105" i="1"/>
  <c r="K169" i="1"/>
  <c r="K238" i="1"/>
  <c r="K299" i="1"/>
  <c r="K34" i="1"/>
  <c r="K330" i="1"/>
  <c r="K272" i="1"/>
  <c r="K254" i="1"/>
  <c r="K218" i="1"/>
  <c r="K49" i="1"/>
  <c r="K10" i="1"/>
  <c r="K170" i="1"/>
  <c r="K251" i="1"/>
  <c r="K137" i="1"/>
  <c r="K209" i="1"/>
  <c r="K363" i="1"/>
  <c r="K72" i="1"/>
  <c r="K69" i="1"/>
  <c r="K204" i="1"/>
  <c r="K255" i="1"/>
  <c r="K153" i="1"/>
  <c r="K262" i="1"/>
  <c r="K182" i="1"/>
  <c r="K65" i="1"/>
  <c r="K313" i="1"/>
  <c r="K324" i="1"/>
  <c r="K82" i="1"/>
  <c r="K27" i="1"/>
  <c r="K302" i="1"/>
  <c r="K5" i="1"/>
  <c r="K332" i="1"/>
  <c r="K208" i="1"/>
  <c r="K331" i="1"/>
  <c r="K157" i="1"/>
  <c r="K133" i="1"/>
  <c r="K162" i="1"/>
  <c r="K250" i="1"/>
  <c r="K327" i="1"/>
  <c r="K86" i="1"/>
  <c r="K4" i="1"/>
  <c r="K365" i="1"/>
  <c r="K244" i="1"/>
  <c r="K229" i="1"/>
  <c r="K277" i="1"/>
  <c r="K131" i="1"/>
  <c r="K145" i="1"/>
  <c r="K257" i="1"/>
  <c r="K66" i="1"/>
  <c r="K120" i="1"/>
  <c r="K146" i="1"/>
  <c r="K368" i="1"/>
  <c r="K154" i="1"/>
  <c r="K210" i="1"/>
  <c r="K11" i="1"/>
  <c r="K71" i="1"/>
  <c r="K288" i="1"/>
  <c r="K355" i="1"/>
  <c r="K140" i="1"/>
  <c r="K7" i="1"/>
  <c r="K271" i="1"/>
  <c r="K13" i="1"/>
  <c r="K180" i="1"/>
  <c r="K116" i="1"/>
  <c r="K189" i="1"/>
  <c r="K197" i="1"/>
  <c r="K378" i="1"/>
  <c r="K217" i="1"/>
  <c r="K223" i="1"/>
  <c r="K36" i="1"/>
  <c r="K356" i="1"/>
  <c r="K51" i="1"/>
  <c r="K187" i="1"/>
  <c r="K340" i="1"/>
  <c r="K237" i="1"/>
  <c r="K369" i="1"/>
  <c r="K278" i="1"/>
  <c r="K290" i="1"/>
  <c r="K106" i="1"/>
  <c r="K291" i="1"/>
  <c r="K301" i="1"/>
  <c r="K294" i="1"/>
  <c r="K176" i="1"/>
  <c r="K130" i="1"/>
  <c r="K46" i="1"/>
  <c r="K103" i="1"/>
  <c r="K228" i="1"/>
  <c r="K285" i="1"/>
  <c r="K163" i="1"/>
  <c r="K339" i="1"/>
  <c r="K270" i="1"/>
  <c r="K377" i="1"/>
  <c r="K226" i="1"/>
  <c r="K23" i="1"/>
  <c r="K240" i="1"/>
  <c r="K156" i="1"/>
  <c r="K360" i="1"/>
  <c r="K205" i="1"/>
  <c r="K98" i="1"/>
  <c r="K264" i="1"/>
  <c r="K90" i="1"/>
  <c r="K104" i="1"/>
  <c r="K178" i="1"/>
  <c r="K194" i="1"/>
  <c r="K359" i="1"/>
  <c r="K37" i="1"/>
  <c r="K222" i="1"/>
  <c r="K44" i="1"/>
  <c r="K118" i="1"/>
  <c r="K42" i="1"/>
  <c r="K2" i="1"/>
  <c r="K284" i="1"/>
  <c r="M353" i="1"/>
  <c r="M149" i="1"/>
  <c r="M64" i="1"/>
  <c r="M251" i="1"/>
  <c r="M159" i="1"/>
  <c r="M193" i="1"/>
  <c r="M274" i="1"/>
  <c r="M316" i="1"/>
  <c r="M215" i="1"/>
  <c r="M368" i="1"/>
  <c r="M239" i="1"/>
  <c r="M28" i="1"/>
  <c r="M333" i="1"/>
  <c r="M68" i="1"/>
  <c r="M62" i="1"/>
  <c r="M352" i="1"/>
  <c r="M329" i="1"/>
  <c r="M11" i="1"/>
  <c r="M140" i="1"/>
  <c r="M143" i="1"/>
  <c r="M282" i="1"/>
  <c r="M9" i="1"/>
  <c r="M134" i="1"/>
  <c r="M39" i="1"/>
  <c r="M37" i="1"/>
  <c r="M130" i="1"/>
  <c r="M236" i="1"/>
  <c r="M95" i="1"/>
  <c r="M222" i="1"/>
  <c r="M6" i="1"/>
  <c r="M298" i="1"/>
  <c r="M188" i="1"/>
  <c r="M97" i="1"/>
  <c r="M287" i="1"/>
  <c r="M230" i="1"/>
  <c r="M10" i="1"/>
  <c r="M101" i="1"/>
  <c r="M81" i="1"/>
  <c r="M284" i="1"/>
  <c r="M275" i="1"/>
  <c r="M364" i="1"/>
  <c r="M161" i="1"/>
  <c r="M240" i="1"/>
  <c r="M297" i="1"/>
  <c r="M365" i="1"/>
  <c r="M208" i="1"/>
  <c r="M123" i="1"/>
  <c r="M30" i="1"/>
  <c r="M248" i="1"/>
  <c r="M204" i="1"/>
  <c r="M238" i="1"/>
  <c r="M315" i="1"/>
  <c r="M291" i="1"/>
  <c r="M12" i="1"/>
  <c r="M96" i="1"/>
  <c r="M163" i="1"/>
  <c r="M249" i="1"/>
  <c r="M191" i="1"/>
  <c r="M341" i="1"/>
  <c r="M197" i="1"/>
  <c r="M345" i="1"/>
  <c r="M100" i="1"/>
  <c r="M91" i="1"/>
  <c r="M67" i="1"/>
  <c r="M131" i="1"/>
  <c r="M176" i="1"/>
  <c r="M35" i="1"/>
  <c r="M202" i="1"/>
  <c r="M127" i="1"/>
  <c r="M172" i="1"/>
  <c r="M119" i="1"/>
  <c r="M210" i="1"/>
  <c r="M147" i="1"/>
  <c r="M82" i="1"/>
  <c r="M115" i="1"/>
  <c r="M255" i="1"/>
  <c r="M153" i="1"/>
  <c r="M270" i="1"/>
  <c r="M63" i="1"/>
  <c r="M294" i="1"/>
  <c r="M16" i="1"/>
  <c r="M145" i="1"/>
  <c r="M359" i="1"/>
  <c r="M89" i="1"/>
  <c r="M160" i="1"/>
  <c r="M379" i="1"/>
  <c r="M229" i="1"/>
  <c r="M169" i="1"/>
  <c r="M283" i="1"/>
  <c r="M235" i="1"/>
  <c r="M177" i="1"/>
  <c r="M348" i="1"/>
  <c r="M335" i="1"/>
  <c r="M313" i="1"/>
  <c r="M266" i="1"/>
  <c r="M184" i="1"/>
  <c r="M129" i="1"/>
  <c r="M307" i="1"/>
  <c r="M51" i="1"/>
  <c r="M330" i="1"/>
  <c r="M205" i="1"/>
  <c r="M165" i="1"/>
  <c r="M220" i="1"/>
  <c r="M250" i="1"/>
  <c r="M79" i="1"/>
  <c r="M155" i="1"/>
  <c r="M71" i="1"/>
  <c r="M128" i="1"/>
  <c r="M326" i="1"/>
  <c r="M264" i="1"/>
  <c r="M21" i="1"/>
  <c r="M242" i="1"/>
  <c r="M120" i="1"/>
  <c r="M65" i="1"/>
  <c r="M87" i="1"/>
  <c r="M369" i="1"/>
  <c r="M7" i="1"/>
  <c r="M70" i="1"/>
  <c r="M347" i="1"/>
  <c r="M34" i="1"/>
  <c r="M38" i="1"/>
  <c r="M26" i="1"/>
  <c r="M90" i="1"/>
  <c r="M355" i="1"/>
  <c r="M299" i="1"/>
  <c r="M254" i="1"/>
  <c r="M166" i="1"/>
  <c r="M92" i="1"/>
  <c r="M141" i="1"/>
  <c r="M22" i="1"/>
  <c r="M370" i="1"/>
  <c r="M139" i="1"/>
  <c r="M4" i="1"/>
  <c r="M56" i="1"/>
  <c r="M272" i="1"/>
  <c r="M13" i="1"/>
  <c r="M93" i="1"/>
  <c r="M296" i="1"/>
  <c r="M223" i="1"/>
  <c r="M164" i="1"/>
  <c r="M23" i="1"/>
  <c r="M233" i="1"/>
  <c r="M181" i="1"/>
  <c r="M224" i="1"/>
  <c r="M261" i="1"/>
  <c r="M44" i="1"/>
  <c r="M354" i="1"/>
  <c r="M286" i="1"/>
  <c r="M175" i="1"/>
  <c r="M41" i="1"/>
  <c r="M48" i="1"/>
  <c r="M337" i="1"/>
  <c r="M280" i="1"/>
  <c r="M103" i="1"/>
  <c r="M75" i="1"/>
  <c r="M214" i="1"/>
  <c r="M271" i="1"/>
  <c r="M83" i="1"/>
  <c r="M60" i="1"/>
  <c r="M252" i="1"/>
  <c r="M311" i="1"/>
  <c r="M179" i="1"/>
  <c r="M52" i="1"/>
  <c r="M150" i="1"/>
  <c r="M257" i="1"/>
  <c r="M189" i="1"/>
  <c r="M301" i="1"/>
  <c r="M269" i="1"/>
  <c r="M57" i="1"/>
  <c r="M76" i="1"/>
  <c r="M148" i="1"/>
  <c r="M47" i="1"/>
  <c r="M45" i="1"/>
  <c r="M277" i="1"/>
  <c r="M187" i="1"/>
  <c r="M102" i="1"/>
  <c r="M288" i="1"/>
  <c r="M151" i="1"/>
  <c r="M144" i="1"/>
  <c r="M19" i="1"/>
  <c r="M192" i="1"/>
  <c r="M29" i="1"/>
  <c r="M167" i="1"/>
  <c r="M340" i="1"/>
  <c r="M199" i="1"/>
  <c r="M42" i="1"/>
  <c r="M319" i="1"/>
  <c r="M278" i="1"/>
  <c r="M259" i="1"/>
  <c r="M377" i="1"/>
  <c r="M117" i="1"/>
  <c r="M328" i="1"/>
  <c r="M268" i="1"/>
  <c r="M221" i="1"/>
  <c r="M170" i="1"/>
  <c r="M182" i="1"/>
  <c r="M211" i="1"/>
  <c r="M36" i="1"/>
  <c r="M122" i="1"/>
  <c r="M196" i="1"/>
  <c r="M378" i="1"/>
  <c r="M99" i="1"/>
  <c r="M325" i="1"/>
  <c r="M94" i="1"/>
  <c r="M20" i="1"/>
  <c r="M218" i="1"/>
  <c r="M212" i="1"/>
  <c r="M243" i="1"/>
  <c r="M138" i="1"/>
  <c r="M3" i="1"/>
  <c r="M104" i="1"/>
  <c r="M246" i="1"/>
  <c r="M178" i="1"/>
  <c r="M88" i="1"/>
  <c r="M308" i="1"/>
  <c r="M290" i="1"/>
  <c r="M323" i="1"/>
  <c r="M225" i="1"/>
  <c r="M86" i="1"/>
  <c r="M371" i="1"/>
  <c r="M357" i="1"/>
  <c r="M346" i="1"/>
  <c r="M234" i="1"/>
  <c r="M174" i="1"/>
  <c r="M289" i="1"/>
  <c r="M49" i="1"/>
  <c r="M279" i="1"/>
  <c r="M162" i="1"/>
  <c r="M198" i="1"/>
  <c r="M59" i="1"/>
  <c r="M213" i="1"/>
  <c r="M194" i="1"/>
  <c r="M58" i="1"/>
  <c r="M376" i="1"/>
  <c r="M300" i="1"/>
  <c r="M305" i="1"/>
  <c r="M157" i="1"/>
  <c r="M180" i="1"/>
  <c r="M126" i="1"/>
  <c r="M85" i="1"/>
  <c r="M263" i="1"/>
  <c r="M78" i="1"/>
  <c r="M209" i="1"/>
  <c r="M258" i="1"/>
  <c r="M237" i="1"/>
  <c r="M77" i="1"/>
  <c r="M302" i="1"/>
  <c r="M256" i="1"/>
  <c r="M195" i="1"/>
  <c r="M156" i="1"/>
  <c r="M40" i="1"/>
  <c r="M362" i="1"/>
  <c r="M66" i="1"/>
  <c r="M363" i="1"/>
  <c r="M281" i="1"/>
  <c r="M306" i="1"/>
  <c r="M253" i="1"/>
  <c r="M113" i="1"/>
  <c r="M142" i="1"/>
  <c r="M105" i="1"/>
  <c r="M349" i="1"/>
  <c r="M61" i="1"/>
  <c r="M374" i="1"/>
  <c r="M262" i="1"/>
  <c r="M217" i="1"/>
  <c r="M360" i="1"/>
  <c r="M227" i="1"/>
  <c r="M5" i="1"/>
  <c r="M136" i="1"/>
  <c r="M375" i="1"/>
  <c r="M132" i="1"/>
  <c r="M110" i="1"/>
  <c r="M219" i="1"/>
  <c r="M228" i="1"/>
  <c r="M190" i="1"/>
  <c r="M273" i="1"/>
  <c r="M46" i="1"/>
  <c r="M14" i="1"/>
  <c r="M158" i="1"/>
  <c r="M74" i="1"/>
  <c r="M260" i="1"/>
  <c r="M137" i="1"/>
  <c r="M226" i="1"/>
  <c r="M276" i="1"/>
  <c r="M207" i="1"/>
  <c r="M133" i="1"/>
  <c r="M171" i="1"/>
  <c r="M98" i="1"/>
  <c r="M322" i="1"/>
  <c r="M295" i="1"/>
  <c r="M69" i="1"/>
  <c r="M293" i="1"/>
  <c r="M356" i="1"/>
  <c r="M80" i="1"/>
  <c r="M50" i="1"/>
  <c r="M116" i="1"/>
  <c r="M342" i="1"/>
  <c r="M106" i="1"/>
  <c r="M336" i="1"/>
  <c r="M152" i="1"/>
  <c r="M244" i="1"/>
  <c r="M331" i="1"/>
  <c r="M84" i="1"/>
  <c r="M183" i="1"/>
  <c r="M314" i="1"/>
  <c r="M267" i="1"/>
  <c r="M361" i="1"/>
  <c r="M200" i="1"/>
  <c r="M111" i="1"/>
  <c r="M146" i="1"/>
  <c r="M334" i="1"/>
  <c r="M112" i="1"/>
  <c r="M154" i="1"/>
  <c r="M245" i="1"/>
  <c r="M15" i="1"/>
  <c r="M121" i="1"/>
  <c r="M338" i="1"/>
  <c r="M185" i="1"/>
  <c r="M53" i="1"/>
  <c r="M327" i="1"/>
  <c r="M201" i="1"/>
  <c r="M285" i="1"/>
  <c r="M206" i="1"/>
  <c r="M109" i="1"/>
  <c r="M168" i="1"/>
  <c r="M247" i="1"/>
  <c r="M203" i="1"/>
  <c r="M173" i="1"/>
  <c r="M312" i="1"/>
  <c r="M324" i="1"/>
  <c r="M33" i="1"/>
  <c r="M27" i="1"/>
  <c r="M43" i="1"/>
  <c r="M72" i="1"/>
  <c r="M320" i="1"/>
  <c r="M339" i="1"/>
  <c r="M321" i="1"/>
  <c r="M118" i="1"/>
  <c r="M108" i="1"/>
  <c r="M8" i="1"/>
  <c r="M114" i="1"/>
  <c r="M241" i="1"/>
  <c r="M332" i="1"/>
  <c r="M358" i="1"/>
  <c r="M107" i="1"/>
  <c r="M73" i="1"/>
  <c r="M292" i="1"/>
  <c r="M135" i="1"/>
  <c r="M186" i="1"/>
  <c r="M265" i="1"/>
  <c r="M2" i="1"/>
  <c r="M216" i="1"/>
  <c r="P167" i="1"/>
  <c r="P242" i="1"/>
  <c r="P224" i="1"/>
  <c r="P324" i="1"/>
  <c r="P143" i="1"/>
  <c r="P349" i="1"/>
  <c r="P181" i="1"/>
  <c r="P42" i="1"/>
  <c r="P282" i="1"/>
  <c r="P360" i="1"/>
  <c r="P319" i="1"/>
  <c r="P339" i="1"/>
  <c r="P152" i="1"/>
  <c r="P290" i="1"/>
  <c r="P233" i="1"/>
  <c r="P73" i="1"/>
  <c r="P89" i="1"/>
  <c r="P368" i="1"/>
  <c r="P79" i="1"/>
  <c r="P91" i="1"/>
  <c r="P204" i="1"/>
  <c r="P35" i="1"/>
  <c r="P243" i="1"/>
  <c r="P331" i="1"/>
  <c r="P364" i="1"/>
  <c r="P130" i="1"/>
  <c r="P377" i="1"/>
  <c r="P38" i="1"/>
  <c r="P49" i="1"/>
  <c r="P109" i="1"/>
  <c r="P321" i="1"/>
  <c r="P27" i="1"/>
  <c r="P369" i="1"/>
  <c r="P10" i="1"/>
  <c r="P341" i="1"/>
  <c r="P345" i="1"/>
  <c r="P292" i="1"/>
  <c r="P284" i="1"/>
  <c r="P202" i="1"/>
  <c r="P311" i="1"/>
  <c r="P348" i="1"/>
  <c r="P136" i="1"/>
  <c r="P28" i="1"/>
  <c r="P159" i="1"/>
  <c r="P47" i="1"/>
  <c r="P250" i="1"/>
  <c r="P142" i="1"/>
  <c r="P44" i="1"/>
  <c r="P258" i="1"/>
  <c r="P173" i="1"/>
  <c r="P190" i="1"/>
  <c r="P268" i="1"/>
  <c r="P186" i="1"/>
  <c r="P33" i="1"/>
  <c r="P355" i="1"/>
  <c r="P169" i="1"/>
  <c r="P277" i="1"/>
  <c r="P276" i="1"/>
  <c r="P158" i="1"/>
  <c r="P248" i="1"/>
  <c r="P196" i="1"/>
  <c r="P340" i="1"/>
  <c r="P192" i="1"/>
  <c r="P330" i="1"/>
  <c r="P154" i="1"/>
  <c r="P26" i="1"/>
  <c r="P170" i="1"/>
  <c r="P176" i="1"/>
  <c r="P241" i="1"/>
  <c r="P147" i="1"/>
  <c r="P182" i="1"/>
  <c r="P21" i="1"/>
  <c r="P168" i="1"/>
  <c r="P119" i="1"/>
  <c r="P213" i="1"/>
  <c r="P374" i="1"/>
  <c r="P63" i="1"/>
  <c r="P273" i="1"/>
  <c r="P300" i="1"/>
  <c r="P254" i="1"/>
  <c r="P122" i="1"/>
  <c r="P285" i="1"/>
  <c r="P298" i="1"/>
  <c r="P8" i="1"/>
  <c r="P9" i="1"/>
  <c r="P293" i="1"/>
  <c r="P80" i="1"/>
  <c r="P280" i="1"/>
  <c r="P98" i="1"/>
  <c r="P197" i="1"/>
  <c r="P305" i="1"/>
  <c r="P58" i="1"/>
  <c r="P237" i="1"/>
  <c r="P230" i="1"/>
  <c r="P148" i="1"/>
  <c r="P359" i="1"/>
  <c r="P313" i="1"/>
  <c r="P306" i="1"/>
  <c r="P220" i="1"/>
  <c r="P207" i="1"/>
  <c r="P71" i="1"/>
  <c r="P39" i="1"/>
  <c r="P308" i="1"/>
  <c r="P164" i="1"/>
  <c r="P132" i="1"/>
  <c r="P157" i="1"/>
  <c r="P131" i="1"/>
  <c r="P85" i="1"/>
  <c r="P257" i="1"/>
  <c r="P103" i="1"/>
  <c r="P194" i="1"/>
  <c r="P180" i="1"/>
  <c r="P179" i="1"/>
  <c r="P82" i="1"/>
  <c r="P177" i="1"/>
  <c r="P16" i="1"/>
  <c r="P45" i="1"/>
  <c r="P283" i="1"/>
  <c r="P288" i="1"/>
  <c r="P120" i="1"/>
  <c r="P184" i="1"/>
  <c r="P287" i="1"/>
  <c r="P156" i="1"/>
  <c r="P354" i="1"/>
  <c r="P174" i="1"/>
  <c r="P239" i="1"/>
  <c r="P76" i="1"/>
  <c r="P90" i="1"/>
  <c r="P316" i="1"/>
  <c r="P256" i="1"/>
  <c r="P88" i="1"/>
  <c r="P139" i="1"/>
  <c r="P378" i="1"/>
  <c r="P208" i="1"/>
  <c r="P338" i="1"/>
  <c r="P223" i="1"/>
  <c r="P37" i="1"/>
  <c r="P198" i="1"/>
  <c r="P163" i="1"/>
  <c r="P116" i="1"/>
  <c r="P5" i="1"/>
  <c r="P337" i="1"/>
  <c r="P97" i="1"/>
  <c r="P12" i="1"/>
  <c r="P175" i="1"/>
  <c r="P111" i="1"/>
  <c r="P46" i="1"/>
  <c r="P102" i="1"/>
  <c r="P272" i="1"/>
  <c r="P299" i="1"/>
  <c r="P327" i="1"/>
  <c r="P81" i="1"/>
  <c r="P183" i="1"/>
  <c r="P328" i="1"/>
  <c r="P352" i="1"/>
  <c r="P365" i="1"/>
  <c r="P87" i="1"/>
  <c r="P23" i="1"/>
  <c r="P165" i="1"/>
  <c r="P6" i="1"/>
  <c r="P238" i="1"/>
  <c r="P70" i="1"/>
  <c r="P107" i="1"/>
  <c r="P312" i="1"/>
  <c r="P249" i="1"/>
  <c r="P206" i="1"/>
  <c r="P195" i="1"/>
  <c r="P264" i="1"/>
  <c r="P370" i="1"/>
  <c r="P4" i="1"/>
  <c r="P267" i="1"/>
  <c r="P155" i="1"/>
  <c r="P166" i="1"/>
  <c r="P138" i="1"/>
  <c r="P379" i="1"/>
  <c r="P101" i="1"/>
  <c r="P291" i="1"/>
  <c r="P162" i="1"/>
  <c r="P294" i="1"/>
  <c r="P263" i="1"/>
  <c r="P302" i="1"/>
  <c r="P222" i="1"/>
  <c r="P212" i="1"/>
  <c r="P137" i="1"/>
  <c r="P193" i="1"/>
  <c r="P72" i="1"/>
  <c r="P141" i="1"/>
  <c r="P275" i="1"/>
  <c r="P346" i="1"/>
  <c r="P128" i="1"/>
  <c r="P358" i="1"/>
  <c r="P201" i="1"/>
  <c r="P252" i="1"/>
  <c r="P108" i="1"/>
  <c r="P259" i="1"/>
  <c r="P262" i="1"/>
  <c r="P65" i="1"/>
  <c r="P57" i="1"/>
  <c r="P3" i="1"/>
  <c r="P353" i="1"/>
  <c r="P314" i="1"/>
  <c r="P246" i="1"/>
  <c r="P13" i="1"/>
  <c r="P95" i="1"/>
  <c r="P376" i="1"/>
  <c r="P78" i="1"/>
  <c r="P51" i="1"/>
  <c r="P93" i="1"/>
  <c r="P235" i="1"/>
  <c r="P203" i="1"/>
  <c r="P83" i="1"/>
  <c r="P11" i="1"/>
  <c r="P216" i="1"/>
  <c r="P295" i="1"/>
  <c r="P260" i="1"/>
  <c r="P371" i="1"/>
  <c r="P77" i="1"/>
  <c r="P217" i="1"/>
  <c r="P171" i="1"/>
  <c r="P251" i="1"/>
  <c r="P221" i="1"/>
  <c r="P43" i="1"/>
  <c r="P66" i="1"/>
  <c r="P274" i="1"/>
  <c r="P342" i="1"/>
  <c r="P323" i="1"/>
  <c r="P240" i="1"/>
  <c r="P362" i="1"/>
  <c r="P62" i="1"/>
  <c r="P15" i="1"/>
  <c r="P210" i="1"/>
  <c r="P151" i="1"/>
  <c r="P296" i="1"/>
  <c r="P20" i="1"/>
  <c r="P375" i="1"/>
  <c r="P185" i="1"/>
  <c r="P40" i="1"/>
  <c r="P100" i="1"/>
  <c r="P127" i="1"/>
  <c r="P361" i="1"/>
  <c r="P332" i="1"/>
  <c r="P115" i="1"/>
  <c r="P75" i="1"/>
  <c r="P14" i="1"/>
  <c r="P199" i="1"/>
  <c r="P53" i="1"/>
  <c r="P118" i="1"/>
  <c r="P226" i="1"/>
  <c r="P29" i="1"/>
  <c r="P99" i="1"/>
  <c r="P289" i="1"/>
  <c r="P150" i="1"/>
  <c r="P211" i="1"/>
  <c r="P315" i="1"/>
  <c r="P320" i="1"/>
  <c r="P329" i="1"/>
  <c r="P105" i="1"/>
  <c r="P68" i="1"/>
  <c r="P335" i="1"/>
  <c r="P96" i="1"/>
  <c r="P214" i="1"/>
  <c r="P347" i="1"/>
  <c r="P117" i="1"/>
  <c r="P64" i="1"/>
  <c r="P333" i="1"/>
  <c r="P41" i="1"/>
  <c r="P110" i="1"/>
  <c r="P60" i="1"/>
  <c r="P334" i="1"/>
  <c r="P278" i="1"/>
  <c r="P247" i="1"/>
  <c r="P36" i="1"/>
  <c r="P52" i="1"/>
  <c r="P255" i="1"/>
  <c r="P261" i="1"/>
  <c r="P92" i="1"/>
  <c r="P188" i="1"/>
  <c r="P160" i="1"/>
  <c r="P363" i="1"/>
  <c r="P48" i="1"/>
  <c r="P286" i="1"/>
  <c r="P297" i="1"/>
  <c r="P265" i="1"/>
  <c r="P307" i="1"/>
  <c r="P144" i="1"/>
  <c r="P236" i="1"/>
  <c r="P229" i="1"/>
  <c r="P279" i="1"/>
  <c r="P271" i="1"/>
  <c r="P326" i="1"/>
  <c r="P123" i="1"/>
  <c r="P270" i="1"/>
  <c r="P112" i="1"/>
  <c r="P129" i="1"/>
  <c r="P30" i="1"/>
  <c r="P149" i="1"/>
  <c r="P133" i="1"/>
  <c r="P357" i="1"/>
  <c r="P126" i="1"/>
  <c r="P50" i="1"/>
  <c r="P227" i="1"/>
  <c r="P178" i="1"/>
  <c r="P322" i="1"/>
  <c r="P106" i="1"/>
  <c r="P269" i="1"/>
  <c r="P189" i="1"/>
  <c r="P56" i="1"/>
  <c r="P74" i="1"/>
  <c r="P161" i="1"/>
  <c r="P19" i="1"/>
  <c r="P209" i="1"/>
  <c r="P145" i="1"/>
  <c r="P67" i="1"/>
  <c r="P86" i="1"/>
  <c r="P219" i="1"/>
  <c r="P59" i="1"/>
  <c r="P140" i="1"/>
  <c r="P121" i="1"/>
  <c r="P172" i="1"/>
  <c r="P34" i="1"/>
  <c r="P134" i="1"/>
  <c r="P200" i="1"/>
  <c r="P104" i="1"/>
  <c r="P7" i="1"/>
  <c r="P146" i="1"/>
  <c r="P301" i="1"/>
  <c r="P245" i="1"/>
  <c r="P356" i="1"/>
  <c r="P153" i="1"/>
  <c r="P22" i="1"/>
  <c r="P205" i="1"/>
  <c r="P336" i="1"/>
  <c r="P218" i="1"/>
  <c r="P114" i="1"/>
  <c r="P69" i="1"/>
  <c r="P325" i="1"/>
  <c r="P281" i="1"/>
  <c r="P266" i="1"/>
  <c r="P135" i="1"/>
  <c r="P228" i="1"/>
  <c r="P61" i="1"/>
  <c r="P244" i="1"/>
  <c r="P94" i="1"/>
  <c r="P191" i="1"/>
  <c r="P215" i="1"/>
  <c r="P187" i="1"/>
  <c r="P225" i="1"/>
  <c r="P84" i="1"/>
  <c r="P234" i="1"/>
  <c r="P113" i="1"/>
  <c r="P2" i="1"/>
  <c r="P253" i="1"/>
  <c r="R43" i="1"/>
  <c r="R96" i="1"/>
  <c r="R175" i="1"/>
  <c r="R230" i="1"/>
  <c r="R58" i="1"/>
  <c r="R176" i="1"/>
  <c r="R120" i="1"/>
  <c r="R283" i="1"/>
  <c r="R146" i="1"/>
  <c r="R92" i="1"/>
  <c r="R22" i="1"/>
  <c r="R70" i="1"/>
  <c r="R45" i="1"/>
  <c r="R103" i="1"/>
  <c r="R123" i="1"/>
  <c r="R51" i="1"/>
  <c r="R89" i="1"/>
  <c r="R289" i="1"/>
  <c r="R107" i="1"/>
  <c r="R44" i="1"/>
  <c r="R115" i="1"/>
  <c r="R253" i="1"/>
  <c r="R187" i="1"/>
  <c r="R335" i="1"/>
  <c r="R199" i="1"/>
  <c r="R62" i="1"/>
  <c r="R282" i="1"/>
  <c r="R90" i="1"/>
  <c r="R244" i="1"/>
  <c r="R102" i="1"/>
  <c r="R207" i="1"/>
  <c r="R226" i="1"/>
  <c r="R316" i="1"/>
  <c r="R379" i="1"/>
  <c r="R364" i="1"/>
  <c r="R110" i="1"/>
  <c r="R353" i="1"/>
  <c r="R64" i="1"/>
  <c r="R325" i="1"/>
  <c r="R121" i="1"/>
  <c r="R286" i="1"/>
  <c r="R290" i="1"/>
  <c r="R255" i="1"/>
  <c r="R375" i="1"/>
  <c r="R126" i="1"/>
  <c r="R349" i="1"/>
  <c r="R370" i="1"/>
  <c r="R204" i="1"/>
  <c r="R284" i="1"/>
  <c r="R275" i="1"/>
  <c r="R52" i="1"/>
  <c r="R100" i="1"/>
  <c r="R59" i="1"/>
  <c r="R233" i="1"/>
  <c r="R225" i="1"/>
  <c r="R116" i="1"/>
  <c r="R118" i="1"/>
  <c r="R12" i="1"/>
  <c r="R331" i="1"/>
  <c r="R60" i="1"/>
  <c r="R88" i="1"/>
  <c r="R312" i="1"/>
  <c r="R128" i="1"/>
  <c r="R15" i="1"/>
  <c r="R3" i="1"/>
  <c r="R117" i="1"/>
  <c r="R170" i="1"/>
  <c r="R183" i="1"/>
  <c r="R87" i="1"/>
  <c r="R37" i="1"/>
  <c r="R145" i="1"/>
  <c r="R356" i="1"/>
  <c r="R264" i="1"/>
  <c r="R354" i="1"/>
  <c r="R154" i="1"/>
  <c r="R291" i="1"/>
  <c r="R151" i="1"/>
  <c r="R83" i="1"/>
  <c r="R72" i="1"/>
  <c r="R184" i="1"/>
  <c r="R228" i="1"/>
  <c r="R347" i="1"/>
  <c r="R298" i="1"/>
  <c r="R28" i="1"/>
  <c r="R378" i="1"/>
  <c r="R273" i="1"/>
  <c r="R82" i="1"/>
  <c r="R336" i="1"/>
  <c r="R35" i="1"/>
  <c r="R36" i="1"/>
  <c r="R248" i="1"/>
  <c r="R239" i="1"/>
  <c r="R287" i="1"/>
  <c r="R186" i="1"/>
  <c r="R42" i="1"/>
  <c r="R56" i="1"/>
  <c r="R293" i="1"/>
  <c r="R241" i="1"/>
  <c r="R294" i="1"/>
  <c r="R271" i="1"/>
  <c r="R98" i="1"/>
  <c r="R314" i="1"/>
  <c r="R254" i="1"/>
  <c r="R345" i="1"/>
  <c r="R311" i="1"/>
  <c r="R39" i="1"/>
  <c r="R68" i="1"/>
  <c r="R243" i="1"/>
  <c r="R189" i="1"/>
  <c r="R203" i="1"/>
  <c r="R224" i="1"/>
  <c r="R130" i="1"/>
  <c r="R111" i="1"/>
  <c r="R197" i="1"/>
  <c r="R306" i="1"/>
  <c r="R109" i="1"/>
  <c r="R307" i="1"/>
  <c r="R79" i="1"/>
  <c r="R329" i="1"/>
  <c r="R363" i="1"/>
  <c r="R152" i="1"/>
  <c r="R4" i="1"/>
  <c r="R352" i="1"/>
  <c r="R5" i="1"/>
  <c r="R122" i="1"/>
  <c r="R302" i="1"/>
  <c r="R251" i="1"/>
  <c r="R136" i="1"/>
  <c r="R161" i="1"/>
  <c r="R48" i="1"/>
  <c r="R242" i="1"/>
  <c r="R108" i="1"/>
  <c r="R85" i="1"/>
  <c r="R305" i="1"/>
  <c r="R180" i="1"/>
  <c r="R191" i="1"/>
  <c r="R213" i="1"/>
  <c r="R247" i="1"/>
  <c r="R333" i="1"/>
  <c r="R277" i="1"/>
  <c r="R173" i="1"/>
  <c r="R256" i="1"/>
  <c r="R157" i="1"/>
  <c r="R234" i="1"/>
  <c r="R313" i="1"/>
  <c r="R220" i="1"/>
  <c r="R20" i="1"/>
  <c r="R210" i="1"/>
  <c r="R171" i="1"/>
  <c r="R295" i="1"/>
  <c r="R214" i="1"/>
  <c r="R355" i="1"/>
  <c r="R328" i="1"/>
  <c r="R368" i="1"/>
  <c r="R278" i="1"/>
  <c r="R348" i="1"/>
  <c r="R143" i="1"/>
  <c r="R41" i="1"/>
  <c r="R357" i="1"/>
  <c r="R246" i="1"/>
  <c r="R104" i="1"/>
  <c r="R33" i="1"/>
  <c r="R196" i="1"/>
  <c r="R182" i="1"/>
  <c r="R269" i="1"/>
  <c r="R80" i="1"/>
  <c r="R359" i="1"/>
  <c r="R158" i="1"/>
  <c r="R369" i="1"/>
  <c r="R177" i="1"/>
  <c r="R167" i="1"/>
  <c r="R376" i="1"/>
  <c r="R69" i="1"/>
  <c r="R285" i="1"/>
  <c r="R11" i="1"/>
  <c r="R160" i="1"/>
  <c r="R181" i="1"/>
  <c r="R315" i="1"/>
  <c r="R185" i="1"/>
  <c r="R276" i="1"/>
  <c r="R149" i="1"/>
  <c r="R292" i="1"/>
  <c r="R260" i="1"/>
  <c r="R10" i="1"/>
  <c r="R339" i="1"/>
  <c r="R299" i="1"/>
  <c r="R361" i="1"/>
  <c r="R371" i="1"/>
  <c r="R296" i="1"/>
  <c r="R49" i="1"/>
  <c r="R200" i="1"/>
  <c r="R265" i="1"/>
  <c r="R266" i="1"/>
  <c r="R227" i="1"/>
  <c r="R147" i="1"/>
  <c r="R19" i="1"/>
  <c r="R338" i="1"/>
  <c r="R6" i="1"/>
  <c r="R148" i="1"/>
  <c r="R209" i="1"/>
  <c r="R236" i="1"/>
  <c r="R21" i="1"/>
  <c r="R201" i="1"/>
  <c r="R235" i="1"/>
  <c r="R23" i="1"/>
  <c r="R274" i="1"/>
  <c r="R300" i="1"/>
  <c r="R194" i="1"/>
  <c r="R162" i="1"/>
  <c r="R71" i="1"/>
  <c r="R374" i="1"/>
  <c r="R221" i="1"/>
  <c r="R319" i="1"/>
  <c r="R14" i="1"/>
  <c r="R193" i="1"/>
  <c r="R169" i="1"/>
  <c r="R216" i="1"/>
  <c r="R178" i="1"/>
  <c r="R334" i="1"/>
  <c r="R16" i="1"/>
  <c r="R101" i="1"/>
  <c r="R268" i="1"/>
  <c r="R127" i="1"/>
  <c r="R192" i="1"/>
  <c r="R66" i="1"/>
  <c r="R288" i="1"/>
  <c r="R261" i="1"/>
  <c r="R250" i="1"/>
  <c r="R9" i="1"/>
  <c r="R198" i="1"/>
  <c r="R237" i="1"/>
  <c r="R57" i="1"/>
  <c r="R267" i="1"/>
  <c r="R272" i="1"/>
  <c r="R362" i="1"/>
  <c r="R13" i="1"/>
  <c r="R215" i="1"/>
  <c r="R99" i="1"/>
  <c r="R211" i="1"/>
  <c r="R38" i="1"/>
  <c r="R229" i="1"/>
  <c r="R53" i="1"/>
  <c r="R144" i="1"/>
  <c r="R257" i="1"/>
  <c r="R168" i="1"/>
  <c r="R245" i="1"/>
  <c r="R208" i="1"/>
  <c r="R337" i="1"/>
  <c r="R377" i="1"/>
  <c r="R75" i="1"/>
  <c r="R202" i="1"/>
  <c r="R218" i="1"/>
  <c r="R223" i="1"/>
  <c r="R150" i="1"/>
  <c r="R91" i="1"/>
  <c r="R47" i="1"/>
  <c r="R297" i="1"/>
  <c r="R280" i="1"/>
  <c r="R308" i="1"/>
  <c r="R134" i="1"/>
  <c r="R153" i="1"/>
  <c r="R360" i="1"/>
  <c r="R29" i="1"/>
  <c r="R73" i="1"/>
  <c r="R113" i="1"/>
  <c r="R93" i="1"/>
  <c r="R132" i="1"/>
  <c r="R141" i="1"/>
  <c r="R238" i="1"/>
  <c r="R112" i="1"/>
  <c r="R86" i="1"/>
  <c r="R8" i="1"/>
  <c r="R279" i="1"/>
  <c r="R61" i="1"/>
  <c r="R142" i="1"/>
  <c r="R222" i="1"/>
  <c r="R139" i="1"/>
  <c r="R119" i="1"/>
  <c r="R217" i="1"/>
  <c r="R301" i="1"/>
  <c r="R323" i="1"/>
  <c r="R67" i="1"/>
  <c r="R74" i="1"/>
  <c r="R324" i="1"/>
  <c r="R163" i="1"/>
  <c r="R140" i="1"/>
  <c r="R332" i="1"/>
  <c r="R129" i="1"/>
  <c r="R258" i="1"/>
  <c r="R240" i="1"/>
  <c r="R365" i="1"/>
  <c r="R94" i="1"/>
  <c r="R7" i="1"/>
  <c r="R81" i="1"/>
  <c r="R159" i="1"/>
  <c r="R46" i="1"/>
  <c r="R95" i="1"/>
  <c r="R188" i="1"/>
  <c r="R340" i="1"/>
  <c r="R322" i="1"/>
  <c r="R195" i="1"/>
  <c r="R281" i="1"/>
  <c r="R330" i="1"/>
  <c r="R63" i="1"/>
  <c r="R76" i="1"/>
  <c r="R326" i="1"/>
  <c r="R133" i="1"/>
  <c r="R262" i="1"/>
  <c r="R40" i="1"/>
  <c r="R106" i="1"/>
  <c r="R327" i="1"/>
  <c r="R97" i="1"/>
  <c r="R164" i="1"/>
  <c r="R252" i="1"/>
  <c r="R155" i="1"/>
  <c r="R26" i="1"/>
  <c r="R190" i="1"/>
  <c r="R114" i="1"/>
  <c r="R30" i="1"/>
  <c r="R205" i="1"/>
  <c r="R179" i="1"/>
  <c r="R27" i="1"/>
  <c r="R358" i="1"/>
  <c r="R346" i="1"/>
  <c r="R165" i="1"/>
  <c r="R172" i="1"/>
  <c r="R249" i="1"/>
  <c r="R77" i="1"/>
  <c r="R320" i="1"/>
  <c r="R84" i="1"/>
  <c r="R166" i="1"/>
  <c r="R50" i="1"/>
  <c r="R270" i="1"/>
  <c r="R206" i="1"/>
  <c r="R78" i="1"/>
  <c r="R156" i="1"/>
  <c r="R137" i="1"/>
  <c r="R321" i="1"/>
  <c r="R341" i="1"/>
  <c r="R131" i="1"/>
  <c r="R65" i="1"/>
  <c r="R105" i="1"/>
  <c r="R212" i="1"/>
  <c r="R174" i="1"/>
  <c r="R138" i="1"/>
  <c r="R259" i="1"/>
  <c r="R342" i="1"/>
  <c r="R219" i="1"/>
  <c r="R263" i="1"/>
  <c r="R34" i="1"/>
  <c r="R2" i="1"/>
  <c r="R135" i="1"/>
  <c r="U147" i="1"/>
  <c r="U161" i="1"/>
  <c r="U16" i="1"/>
  <c r="U111" i="1"/>
  <c r="U342" i="1"/>
  <c r="U56" i="1"/>
  <c r="U53" i="1"/>
  <c r="U348" i="1"/>
  <c r="U109" i="1"/>
  <c r="U158" i="1"/>
  <c r="U353" i="1"/>
  <c r="U362" i="1"/>
  <c r="U159" i="1"/>
  <c r="U138" i="1"/>
  <c r="U82" i="1"/>
  <c r="U329" i="1"/>
  <c r="U266" i="1"/>
  <c r="U136" i="1"/>
  <c r="U146" i="1"/>
  <c r="U323" i="1"/>
  <c r="U214" i="1"/>
  <c r="U316" i="1"/>
  <c r="U12" i="1"/>
  <c r="U220" i="1"/>
  <c r="U299" i="1"/>
  <c r="U91" i="1"/>
  <c r="U5" i="1"/>
  <c r="U213" i="1"/>
  <c r="U294" i="1"/>
  <c r="U340" i="1"/>
  <c r="U72" i="1"/>
  <c r="U229" i="1"/>
  <c r="U204" i="1"/>
  <c r="U369" i="1"/>
  <c r="U64" i="1"/>
  <c r="U278" i="1"/>
  <c r="U47" i="1"/>
  <c r="U92" i="1"/>
  <c r="U271" i="1"/>
  <c r="U195" i="1"/>
  <c r="U357" i="1"/>
  <c r="U140" i="1"/>
  <c r="U276" i="1"/>
  <c r="U105" i="1"/>
  <c r="U248" i="1"/>
  <c r="U363" i="1"/>
  <c r="U296" i="1"/>
  <c r="U130" i="1"/>
  <c r="U302" i="1"/>
  <c r="U40" i="1"/>
  <c r="U118" i="1"/>
  <c r="U184" i="1"/>
  <c r="U34" i="1"/>
  <c r="U224" i="1"/>
  <c r="U305" i="1"/>
  <c r="U76" i="1"/>
  <c r="U77" i="1"/>
  <c r="U260" i="1"/>
  <c r="U239" i="1"/>
  <c r="U102" i="1"/>
  <c r="U80" i="1"/>
  <c r="U368" i="1"/>
  <c r="U193" i="1"/>
  <c r="U129" i="1"/>
  <c r="U8" i="1"/>
  <c r="U258" i="1"/>
  <c r="U6" i="1"/>
  <c r="U325" i="1"/>
  <c r="U326" i="1"/>
  <c r="U15" i="1"/>
  <c r="U361" i="1"/>
  <c r="U314" i="1"/>
  <c r="U282" i="1"/>
  <c r="U300" i="1"/>
  <c r="U139" i="1"/>
  <c r="U324" i="1"/>
  <c r="U10" i="1"/>
  <c r="U327" i="1"/>
  <c r="U126" i="1"/>
  <c r="U270" i="1"/>
  <c r="U133" i="1"/>
  <c r="U206" i="1"/>
  <c r="U112" i="1"/>
  <c r="U322" i="1"/>
  <c r="U75" i="1"/>
  <c r="U287" i="1"/>
  <c r="U110" i="1"/>
  <c r="U370" i="1"/>
  <c r="U19" i="1"/>
  <c r="U307" i="1"/>
  <c r="U122" i="1"/>
  <c r="U377" i="1"/>
  <c r="U167" i="1"/>
  <c r="U347" i="1"/>
  <c r="U43" i="1"/>
  <c r="U177" i="1"/>
  <c r="U378" i="1"/>
  <c r="U281" i="1"/>
  <c r="U113" i="1"/>
  <c r="U21" i="1"/>
  <c r="U100" i="1"/>
  <c r="U185" i="1"/>
  <c r="U194" i="1"/>
  <c r="U265" i="1"/>
  <c r="U335" i="1"/>
  <c r="U199" i="1"/>
  <c r="U209" i="1"/>
  <c r="U240" i="1"/>
  <c r="U222" i="1"/>
  <c r="U63" i="1"/>
  <c r="U46" i="1"/>
  <c r="U292" i="1"/>
  <c r="U121" i="1"/>
  <c r="U285" i="1"/>
  <c r="U275" i="1"/>
  <c r="U198" i="1"/>
  <c r="U88" i="1"/>
  <c r="U256" i="1"/>
  <c r="U151" i="1"/>
  <c r="U50" i="1"/>
  <c r="U79" i="1"/>
  <c r="U257" i="1"/>
  <c r="U379" i="1"/>
  <c r="U152" i="1"/>
  <c r="U99" i="1"/>
  <c r="U223" i="1"/>
  <c r="U228" i="1"/>
  <c r="U89" i="1"/>
  <c r="U238" i="1"/>
  <c r="U96" i="1"/>
  <c r="U128" i="1"/>
  <c r="U330" i="1"/>
  <c r="U180" i="1"/>
  <c r="U338" i="1"/>
  <c r="U94" i="1"/>
  <c r="U234" i="1"/>
  <c r="U117" i="1"/>
  <c r="U336" i="1"/>
  <c r="U73" i="1"/>
  <c r="U345" i="1"/>
  <c r="U14" i="1"/>
  <c r="U28" i="1"/>
  <c r="U81" i="1"/>
  <c r="U263" i="1"/>
  <c r="U277" i="1"/>
  <c r="U3" i="1"/>
  <c r="U205" i="1"/>
  <c r="U67" i="1"/>
  <c r="U60" i="1"/>
  <c r="U246" i="1"/>
  <c r="U320" i="1"/>
  <c r="U346" i="1"/>
  <c r="U264" i="1"/>
  <c r="U22" i="1"/>
  <c r="U354" i="1"/>
  <c r="U156" i="1"/>
  <c r="U252" i="1"/>
  <c r="U207" i="1"/>
  <c r="U203" i="1"/>
  <c r="U164" i="1"/>
  <c r="U217" i="1"/>
  <c r="U166" i="1"/>
  <c r="U192" i="1"/>
  <c r="U186" i="1"/>
  <c r="U61" i="1"/>
  <c r="U172" i="1"/>
  <c r="U272" i="1"/>
  <c r="U42" i="1"/>
  <c r="U7" i="1"/>
  <c r="U268" i="1"/>
  <c r="U297" i="1"/>
  <c r="U236" i="1"/>
  <c r="U216" i="1"/>
  <c r="U243" i="1"/>
  <c r="U11" i="1"/>
  <c r="U175" i="1"/>
  <c r="U51" i="1"/>
  <c r="U52" i="1"/>
  <c r="U295" i="1"/>
  <c r="U33" i="1"/>
  <c r="U283" i="1"/>
  <c r="U313" i="1"/>
  <c r="U201" i="1"/>
  <c r="U308" i="1"/>
  <c r="U261" i="1"/>
  <c r="U83" i="1"/>
  <c r="U245" i="1"/>
  <c r="U69" i="1"/>
  <c r="U127" i="1"/>
  <c r="U249" i="1"/>
  <c r="U242" i="1"/>
  <c r="U237" i="1"/>
  <c r="U4" i="1"/>
  <c r="U35" i="1"/>
  <c r="U334" i="1"/>
  <c r="U74" i="1"/>
  <c r="U250" i="1"/>
  <c r="U30" i="1"/>
  <c r="U78" i="1"/>
  <c r="U39" i="1"/>
  <c r="U274" i="1"/>
  <c r="U162" i="1"/>
  <c r="U202" i="1"/>
  <c r="U208" i="1"/>
  <c r="U218" i="1"/>
  <c r="U103" i="1"/>
  <c r="U221" i="1"/>
  <c r="U356" i="1"/>
  <c r="U244" i="1"/>
  <c r="U57" i="1"/>
  <c r="U259" i="1"/>
  <c r="U59" i="1"/>
  <c r="U131" i="1"/>
  <c r="U143" i="1"/>
  <c r="U375" i="1"/>
  <c r="U280" i="1"/>
  <c r="U219" i="1"/>
  <c r="U154" i="1"/>
  <c r="U210" i="1"/>
  <c r="U106" i="1"/>
  <c r="U312" i="1"/>
  <c r="U254" i="1"/>
  <c r="U183" i="1"/>
  <c r="U182" i="1"/>
  <c r="U288" i="1"/>
  <c r="U279" i="1"/>
  <c r="U358" i="1"/>
  <c r="U104" i="1"/>
  <c r="U97" i="1"/>
  <c r="U155" i="1"/>
  <c r="U135" i="1"/>
  <c r="U371" i="1"/>
  <c r="U197" i="1"/>
  <c r="U84" i="1"/>
  <c r="U215" i="1"/>
  <c r="U120" i="1"/>
  <c r="U115" i="1"/>
  <c r="U68" i="1"/>
  <c r="U188" i="1"/>
  <c r="U286" i="1"/>
  <c r="U267" i="1"/>
  <c r="U134" i="1"/>
  <c r="U189" i="1"/>
  <c r="U119" i="1"/>
  <c r="U49" i="1"/>
  <c r="U374" i="1"/>
  <c r="U247" i="1"/>
  <c r="U62" i="1"/>
  <c r="U36" i="1"/>
  <c r="U137" i="1"/>
  <c r="U38" i="1"/>
  <c r="U141" i="1"/>
  <c r="U360" i="1"/>
  <c r="U107" i="1"/>
  <c r="U58" i="1"/>
  <c r="U101" i="1"/>
  <c r="U262" i="1"/>
  <c r="U26" i="1"/>
  <c r="U157" i="1"/>
  <c r="U233" i="1"/>
  <c r="U289" i="1"/>
  <c r="U145" i="1"/>
  <c r="U93" i="1"/>
  <c r="U211" i="1"/>
  <c r="U144" i="1"/>
  <c r="U20" i="1"/>
  <c r="U170" i="1"/>
  <c r="U311" i="1"/>
  <c r="U191" i="1"/>
  <c r="U163" i="1"/>
  <c r="U269" i="1"/>
  <c r="U71" i="1"/>
  <c r="U227" i="1"/>
  <c r="U90" i="1"/>
  <c r="U376" i="1"/>
  <c r="U149" i="1"/>
  <c r="U87" i="1"/>
  <c r="U23" i="1"/>
  <c r="U291" i="1"/>
  <c r="U45" i="1"/>
  <c r="U153" i="1"/>
  <c r="U150" i="1"/>
  <c r="U48" i="1"/>
  <c r="U200" i="1"/>
  <c r="U333" i="1"/>
  <c r="U255" i="1"/>
  <c r="U364" i="1"/>
  <c r="U349" i="1"/>
  <c r="U160" i="1"/>
  <c r="U332" i="1"/>
  <c r="U241" i="1"/>
  <c r="U173" i="1"/>
  <c r="U321" i="1"/>
  <c r="U169" i="1"/>
  <c r="U13" i="1"/>
  <c r="U37" i="1"/>
  <c r="U98" i="1"/>
  <c r="U132" i="1"/>
  <c r="U337" i="1"/>
  <c r="U179" i="1"/>
  <c r="U251" i="1"/>
  <c r="U365" i="1"/>
  <c r="U123" i="1"/>
  <c r="U212" i="1"/>
  <c r="U66" i="1"/>
  <c r="U315" i="1"/>
  <c r="U284" i="1"/>
  <c r="U86" i="1"/>
  <c r="U298" i="1"/>
  <c r="U171" i="1"/>
  <c r="U306" i="1"/>
  <c r="U9" i="1"/>
  <c r="U165" i="1"/>
  <c r="U359" i="1"/>
  <c r="U187" i="1"/>
  <c r="U41" i="1"/>
  <c r="U168" i="1"/>
  <c r="U174" i="1"/>
  <c r="U148" i="1"/>
  <c r="U352" i="1"/>
  <c r="U178" i="1"/>
  <c r="U142" i="1"/>
  <c r="U230" i="1"/>
  <c r="U290" i="1"/>
  <c r="U328" i="1"/>
  <c r="U196" i="1"/>
  <c r="U27" i="1"/>
  <c r="U95" i="1"/>
  <c r="U341" i="1"/>
  <c r="U190" i="1"/>
  <c r="U85" i="1"/>
  <c r="U226" i="1"/>
  <c r="U114" i="1"/>
  <c r="U176" i="1"/>
  <c r="U293" i="1"/>
  <c r="U273" i="1"/>
  <c r="U253" i="1"/>
  <c r="U29" i="1"/>
  <c r="U65" i="1"/>
  <c r="U70" i="1"/>
  <c r="U301" i="1"/>
  <c r="U108" i="1"/>
  <c r="U319" i="1"/>
  <c r="U44" i="1"/>
  <c r="U225" i="1"/>
  <c r="U355" i="1"/>
  <c r="U235" i="1"/>
  <c r="U116" i="1"/>
  <c r="U331" i="1"/>
  <c r="U339" i="1"/>
  <c r="U2" i="1"/>
  <c r="U181" i="1"/>
  <c r="R10" i="2"/>
  <c r="R22" i="2"/>
  <c r="R11" i="2"/>
  <c r="R18" i="2"/>
  <c r="R21" i="2"/>
  <c r="R19" i="2"/>
  <c r="R16" i="2"/>
  <c r="R15" i="2"/>
  <c r="R20" i="2"/>
  <c r="R8" i="2"/>
  <c r="R14" i="2"/>
  <c r="R3" i="2"/>
  <c r="R4" i="2"/>
  <c r="R5" i="2"/>
  <c r="R9" i="2"/>
  <c r="R6" i="2"/>
  <c r="R12" i="2"/>
  <c r="R7" i="2"/>
  <c r="R13" i="2"/>
  <c r="R2" i="2"/>
  <c r="R17" i="2"/>
  <c r="M4" i="2"/>
  <c r="M16" i="2"/>
  <c r="M6" i="2"/>
  <c r="M12" i="2"/>
  <c r="M5" i="2"/>
  <c r="M14" i="2"/>
  <c r="M8" i="2"/>
  <c r="M22" i="2"/>
  <c r="M20" i="2"/>
  <c r="M3" i="2"/>
  <c r="M9" i="2"/>
  <c r="M17" i="2"/>
  <c r="M7" i="2"/>
  <c r="M13" i="2"/>
  <c r="M19" i="2"/>
  <c r="M15" i="2"/>
  <c r="M18" i="2"/>
  <c r="M21" i="2"/>
  <c r="M11" i="2"/>
  <c r="M2" i="2"/>
  <c r="M10" i="2"/>
  <c r="P14" i="2"/>
  <c r="P10" i="2"/>
  <c r="P3" i="2"/>
  <c r="P5" i="2"/>
  <c r="P6" i="2"/>
  <c r="P12" i="2"/>
  <c r="P4" i="2"/>
  <c r="P22" i="2"/>
  <c r="P19" i="2"/>
  <c r="P9" i="2"/>
  <c r="P8" i="2"/>
  <c r="P7" i="2"/>
  <c r="P21" i="2"/>
  <c r="P20" i="2"/>
  <c r="P17" i="2"/>
  <c r="P11" i="2"/>
  <c r="P18" i="2"/>
  <c r="P13" i="2"/>
  <c r="P15" i="2"/>
  <c r="P2" i="2"/>
  <c r="P16" i="2"/>
  <c r="U18" i="2"/>
  <c r="U11" i="2"/>
  <c r="U19" i="2"/>
  <c r="U3" i="2"/>
  <c r="U12" i="2"/>
  <c r="U16" i="2"/>
  <c r="U14" i="2"/>
  <c r="U4" i="2"/>
  <c r="U15" i="2"/>
  <c r="U20" i="2"/>
  <c r="U9" i="2"/>
  <c r="U8" i="2"/>
  <c r="U21" i="2"/>
  <c r="U10" i="2"/>
  <c r="U22" i="2"/>
  <c r="U17" i="2"/>
  <c r="U13" i="2"/>
  <c r="U5" i="2"/>
  <c r="U6" i="2"/>
  <c r="U2" i="2"/>
  <c r="U7" i="2"/>
  <c r="K19" i="2"/>
  <c r="K8" i="2"/>
  <c r="K12" i="2"/>
  <c r="K13" i="2"/>
  <c r="K18" i="2"/>
  <c r="K6" i="2"/>
  <c r="K14" i="2"/>
  <c r="K4" i="2"/>
  <c r="K15" i="2"/>
  <c r="K20" i="2"/>
  <c r="K9" i="2"/>
  <c r="K5" i="2"/>
  <c r="K17" i="2"/>
  <c r="K11" i="2"/>
  <c r="K10" i="2"/>
  <c r="K16" i="2"/>
  <c r="K7" i="2"/>
  <c r="K22" i="2"/>
  <c r="K21" i="2"/>
  <c r="K2" i="2"/>
  <c r="K3" i="2"/>
  <c r="M55" i="3"/>
  <c r="M48" i="3"/>
  <c r="M57" i="3"/>
  <c r="M3" i="3"/>
  <c r="M53" i="3"/>
  <c r="M27" i="3"/>
  <c r="M47" i="3"/>
  <c r="M52" i="3"/>
  <c r="M68" i="3"/>
  <c r="M51" i="3"/>
  <c r="M34" i="3"/>
  <c r="M24" i="3"/>
  <c r="M25" i="3"/>
  <c r="M23" i="3"/>
  <c r="M29" i="3"/>
  <c r="M40" i="3"/>
  <c r="M4" i="3"/>
  <c r="M38" i="3"/>
  <c r="M5" i="3"/>
  <c r="M28" i="3"/>
  <c r="M35" i="3"/>
  <c r="M26" i="3"/>
  <c r="M50" i="3"/>
  <c r="M49" i="3"/>
  <c r="M66" i="3"/>
  <c r="M65" i="3"/>
  <c r="M14" i="3"/>
  <c r="M12" i="3"/>
  <c r="M69" i="3"/>
  <c r="M39" i="3"/>
  <c r="M16" i="3"/>
  <c r="M63" i="3"/>
  <c r="M11" i="3"/>
  <c r="M18" i="3"/>
  <c r="M9" i="3"/>
  <c r="M33" i="3"/>
  <c r="M37" i="3"/>
  <c r="M46" i="3"/>
  <c r="M10" i="3"/>
  <c r="M31" i="3"/>
  <c r="M6" i="3"/>
  <c r="M20" i="3"/>
  <c r="M32" i="3"/>
  <c r="M42" i="3"/>
  <c r="M61" i="3"/>
  <c r="M45" i="3"/>
  <c r="M58" i="3"/>
  <c r="M67" i="3"/>
  <c r="M44" i="3"/>
  <c r="M8" i="3"/>
  <c r="M22" i="3"/>
  <c r="M64" i="3"/>
  <c r="M19" i="3"/>
  <c r="M13" i="3"/>
  <c r="M36" i="3"/>
  <c r="M60" i="3"/>
  <c r="M7" i="3"/>
  <c r="M41" i="3"/>
  <c r="M59" i="3"/>
  <c r="M30" i="3"/>
  <c r="M21" i="3"/>
  <c r="M17" i="3"/>
  <c r="M62" i="3"/>
  <c r="M56" i="3"/>
  <c r="M15" i="3"/>
  <c r="M43" i="3"/>
  <c r="M2" i="3"/>
  <c r="M54" i="3"/>
  <c r="R12" i="3"/>
  <c r="R5" i="3"/>
  <c r="R24" i="3"/>
  <c r="R6" i="3"/>
  <c r="R35" i="3"/>
  <c r="R29" i="3"/>
  <c r="R36" i="3"/>
  <c r="R51" i="3"/>
  <c r="R42" i="3"/>
  <c r="R53" i="3"/>
  <c r="R13" i="3"/>
  <c r="R41" i="3"/>
  <c r="R56" i="3"/>
  <c r="R14" i="3"/>
  <c r="R15" i="3"/>
  <c r="R10" i="3"/>
  <c r="R11" i="3"/>
  <c r="R17" i="3"/>
  <c r="R4" i="3"/>
  <c r="R38" i="3"/>
  <c r="R26" i="3"/>
  <c r="R33" i="3"/>
  <c r="R68" i="3"/>
  <c r="R67" i="3"/>
  <c r="R66" i="3"/>
  <c r="R30" i="3"/>
  <c r="R9" i="3"/>
  <c r="R55" i="3"/>
  <c r="R49" i="3"/>
  <c r="R7" i="3"/>
  <c r="R39" i="3"/>
  <c r="R31" i="3"/>
  <c r="R46" i="3"/>
  <c r="R64" i="3"/>
  <c r="R43" i="3"/>
  <c r="R23" i="3"/>
  <c r="R25" i="3"/>
  <c r="R47" i="3"/>
  <c r="R8" i="3"/>
  <c r="R34" i="3"/>
  <c r="R52" i="3"/>
  <c r="R57" i="3"/>
  <c r="R54" i="3"/>
  <c r="R50" i="3"/>
  <c r="R61" i="3"/>
  <c r="R27" i="3"/>
  <c r="R59" i="3"/>
  <c r="R60" i="3"/>
  <c r="R19" i="3"/>
  <c r="R44" i="3"/>
  <c r="R37" i="3"/>
  <c r="R21" i="3"/>
  <c r="R40" i="3"/>
  <c r="R22" i="3"/>
  <c r="R3" i="3"/>
  <c r="R32" i="3"/>
  <c r="R48" i="3"/>
  <c r="R63" i="3"/>
  <c r="R45" i="3"/>
  <c r="R16" i="3"/>
  <c r="R20" i="3"/>
  <c r="R18" i="3"/>
  <c r="R58" i="3"/>
  <c r="R69" i="3"/>
  <c r="R62" i="3"/>
  <c r="R28" i="3"/>
  <c r="R2" i="3"/>
  <c r="R65" i="3"/>
  <c r="K18" i="3"/>
  <c r="K16" i="3"/>
  <c r="K31" i="3"/>
  <c r="K24" i="3"/>
  <c r="K33" i="3"/>
  <c r="K9" i="3"/>
  <c r="K47" i="3"/>
  <c r="K7" i="3"/>
  <c r="K44" i="3"/>
  <c r="K60" i="3"/>
  <c r="K62" i="3"/>
  <c r="K54" i="3"/>
  <c r="K5" i="3"/>
  <c r="K61" i="3"/>
  <c r="K21" i="3"/>
  <c r="K66" i="3"/>
  <c r="K65" i="3"/>
  <c r="K4" i="3"/>
  <c r="K52" i="3"/>
  <c r="K36" i="3"/>
  <c r="K10" i="3"/>
  <c r="K55" i="3"/>
  <c r="K29" i="3"/>
  <c r="K38" i="3"/>
  <c r="K30" i="3"/>
  <c r="K14" i="3"/>
  <c r="K12" i="3"/>
  <c r="K22" i="3"/>
  <c r="K39" i="3"/>
  <c r="K58" i="3"/>
  <c r="K46" i="3"/>
  <c r="K23" i="3"/>
  <c r="K19" i="3"/>
  <c r="K56" i="3"/>
  <c r="K6" i="3"/>
  <c r="K68" i="3"/>
  <c r="K59" i="3"/>
  <c r="K37" i="3"/>
  <c r="K57" i="3"/>
  <c r="K3" i="3"/>
  <c r="K13" i="3"/>
  <c r="K53" i="3"/>
  <c r="K20" i="3"/>
  <c r="K15" i="3"/>
  <c r="K27" i="3"/>
  <c r="K64" i="3"/>
  <c r="K69" i="3"/>
  <c r="K25" i="3"/>
  <c r="K34" i="3"/>
  <c r="K42" i="3"/>
  <c r="K28" i="3"/>
  <c r="K48" i="3"/>
  <c r="K8" i="3"/>
  <c r="K26" i="3"/>
  <c r="K11" i="3"/>
  <c r="K50" i="3"/>
  <c r="K35" i="3"/>
  <c r="K51" i="3"/>
  <c r="K63" i="3"/>
  <c r="K67" i="3"/>
  <c r="K40" i="3"/>
  <c r="K43" i="3"/>
  <c r="K32" i="3"/>
  <c r="K41" i="3"/>
  <c r="K17" i="3"/>
  <c r="K49" i="3"/>
  <c r="K2" i="3"/>
  <c r="K45" i="3"/>
  <c r="U64" i="3"/>
  <c r="U49" i="3"/>
  <c r="U14" i="3"/>
  <c r="U12" i="3"/>
  <c r="U20" i="3"/>
  <c r="U57" i="3"/>
  <c r="U54" i="3"/>
  <c r="U27" i="3"/>
  <c r="U22" i="3"/>
  <c r="U28" i="3"/>
  <c r="U55" i="3"/>
  <c r="U24" i="3"/>
  <c r="U19" i="3"/>
  <c r="U40" i="3"/>
  <c r="U6" i="3"/>
  <c r="U69" i="3"/>
  <c r="U34" i="3"/>
  <c r="U17" i="3"/>
  <c r="U5" i="3"/>
  <c r="U65" i="3"/>
  <c r="U66" i="3"/>
  <c r="U58" i="3"/>
  <c r="U13" i="3"/>
  <c r="U18" i="3"/>
  <c r="U16" i="3"/>
  <c r="U7" i="3"/>
  <c r="U30" i="3"/>
  <c r="U62" i="3"/>
  <c r="U11" i="3"/>
  <c r="U63" i="3"/>
  <c r="U61" i="3"/>
  <c r="U44" i="3"/>
  <c r="U59" i="3"/>
  <c r="U35" i="3"/>
  <c r="U23" i="3"/>
  <c r="U32" i="3"/>
  <c r="U45" i="3"/>
  <c r="U21" i="3"/>
  <c r="U31" i="3"/>
  <c r="U9" i="3"/>
  <c r="U51" i="3"/>
  <c r="U29" i="3"/>
  <c r="U39" i="3"/>
  <c r="U33" i="3"/>
  <c r="U60" i="3"/>
  <c r="U43" i="3"/>
  <c r="U52" i="3"/>
  <c r="U48" i="3"/>
  <c r="U8" i="3"/>
  <c r="U68" i="3"/>
  <c r="U42" i="3"/>
  <c r="U46" i="3"/>
  <c r="U47" i="3"/>
  <c r="U10" i="3"/>
  <c r="U41" i="3"/>
  <c r="U25" i="3"/>
  <c r="U67" i="3"/>
  <c r="U15" i="3"/>
  <c r="U38" i="3"/>
  <c r="U50" i="3"/>
  <c r="U3" i="3"/>
  <c r="U4" i="3"/>
  <c r="U37" i="3"/>
  <c r="U36" i="3"/>
  <c r="U26" i="3"/>
  <c r="U53" i="3"/>
  <c r="U2" i="3"/>
  <c r="U56" i="3"/>
  <c r="P26" i="3"/>
  <c r="P5" i="3"/>
  <c r="P23" i="3"/>
  <c r="P4" i="3"/>
  <c r="P19" i="3"/>
  <c r="P52" i="3"/>
  <c r="P61" i="3"/>
  <c r="P20" i="3"/>
  <c r="P65" i="3"/>
  <c r="P43" i="3"/>
  <c r="P64" i="3"/>
  <c r="P40" i="3"/>
  <c r="P30" i="3"/>
  <c r="P36" i="3"/>
  <c r="P68" i="3"/>
  <c r="P49" i="3"/>
  <c r="P16" i="3"/>
  <c r="P7" i="3"/>
  <c r="P22" i="3"/>
  <c r="P69" i="3"/>
  <c r="P25" i="3"/>
  <c r="P54" i="3"/>
  <c r="P47" i="3"/>
  <c r="P41" i="3"/>
  <c r="P28" i="3"/>
  <c r="P42" i="3"/>
  <c r="P66" i="3"/>
  <c r="P21" i="3"/>
  <c r="P63" i="3"/>
  <c r="P24" i="3"/>
  <c r="P17" i="3"/>
  <c r="P6" i="3"/>
  <c r="P13" i="3"/>
  <c r="P10" i="3"/>
  <c r="P57" i="3"/>
  <c r="P46" i="3"/>
  <c r="P9" i="3"/>
  <c r="P18" i="3"/>
  <c r="P39" i="3"/>
  <c r="P67" i="3"/>
  <c r="P35" i="3"/>
  <c r="P33" i="3"/>
  <c r="P56" i="3"/>
  <c r="P55" i="3"/>
  <c r="P8" i="3"/>
  <c r="P12" i="3"/>
  <c r="P37" i="3"/>
  <c r="P15" i="3"/>
  <c r="P48" i="3"/>
  <c r="P45" i="3"/>
  <c r="P51" i="3"/>
  <c r="P50" i="3"/>
  <c r="P44" i="3"/>
  <c r="P59" i="3"/>
  <c r="P11" i="3"/>
  <c r="P58" i="3"/>
  <c r="P32" i="3"/>
  <c r="P34" i="3"/>
  <c r="P29" i="3"/>
  <c r="P3" i="3"/>
  <c r="P27" i="3"/>
  <c r="P14" i="3"/>
  <c r="P62" i="3"/>
  <c r="P60" i="3"/>
  <c r="P38" i="3"/>
  <c r="P53" i="3"/>
  <c r="P2" i="3"/>
  <c r="P31" i="3"/>
  <c r="M13" i="4"/>
  <c r="M69" i="4"/>
  <c r="M93" i="4"/>
  <c r="M85" i="4"/>
  <c r="M67" i="4"/>
  <c r="M56" i="4"/>
  <c r="M59" i="4"/>
  <c r="M34" i="4"/>
  <c r="M51" i="4"/>
  <c r="M75" i="4"/>
  <c r="M20" i="4"/>
  <c r="M94" i="4"/>
  <c r="M68" i="4"/>
  <c r="M39" i="4"/>
  <c r="M28" i="4"/>
  <c r="M42" i="4"/>
  <c r="M45" i="4"/>
  <c r="M100" i="4"/>
  <c r="M30" i="4"/>
  <c r="M62" i="4"/>
  <c r="M5" i="4"/>
  <c r="M32" i="4"/>
  <c r="M6" i="4"/>
  <c r="M25" i="4"/>
  <c r="M41" i="4"/>
  <c r="M53" i="4"/>
  <c r="M99" i="4"/>
  <c r="M19" i="4"/>
  <c r="M38" i="4"/>
  <c r="M92" i="4"/>
  <c r="M63" i="4"/>
  <c r="M52" i="4"/>
  <c r="M81" i="4"/>
  <c r="M103" i="4"/>
  <c r="M33" i="4"/>
  <c r="M65" i="4"/>
  <c r="M22" i="4"/>
  <c r="M87" i="4"/>
  <c r="M23" i="4"/>
  <c r="M97" i="4"/>
  <c r="M4" i="4"/>
  <c r="M14" i="4"/>
  <c r="M104" i="4"/>
  <c r="M36" i="4"/>
  <c r="M105" i="4"/>
  <c r="M12" i="4"/>
  <c r="M17" i="4"/>
  <c r="M48" i="4"/>
  <c r="M60" i="4"/>
  <c r="M16" i="4"/>
  <c r="M64" i="4"/>
  <c r="M102" i="4"/>
  <c r="M24" i="4"/>
  <c r="M70" i="4"/>
  <c r="M91" i="4"/>
  <c r="M82" i="4"/>
  <c r="M86" i="4"/>
  <c r="M55" i="4"/>
  <c r="M73" i="4"/>
  <c r="M27" i="4"/>
  <c r="M54" i="4"/>
  <c r="M50" i="4"/>
  <c r="M72" i="4"/>
  <c r="M49" i="4"/>
  <c r="M46" i="4"/>
  <c r="M83" i="4"/>
  <c r="M31" i="4"/>
  <c r="M101" i="4"/>
  <c r="M35" i="4"/>
  <c r="M8" i="4"/>
  <c r="M90" i="4"/>
  <c r="M9" i="4"/>
  <c r="M71" i="4"/>
  <c r="M10" i="4"/>
  <c r="M96" i="4"/>
  <c r="M95" i="4"/>
  <c r="M26" i="4"/>
  <c r="M7" i="4"/>
  <c r="M77" i="4"/>
  <c r="M88" i="4"/>
  <c r="M11" i="4"/>
  <c r="M21" i="4"/>
  <c r="M74" i="4"/>
  <c r="M79" i="4"/>
  <c r="M57" i="4"/>
  <c r="M89" i="4"/>
  <c r="M66" i="4"/>
  <c r="M98" i="4"/>
  <c r="M37" i="4"/>
  <c r="M80" i="4"/>
  <c r="M61" i="4"/>
  <c r="M44" i="4"/>
  <c r="M84" i="4"/>
  <c r="M15" i="4"/>
  <c r="M3" i="4"/>
  <c r="M18" i="4"/>
  <c r="M43" i="4"/>
  <c r="M29" i="4"/>
  <c r="M58" i="4"/>
  <c r="M47" i="4"/>
  <c r="M78" i="4"/>
  <c r="M76" i="4"/>
  <c r="M2" i="4"/>
  <c r="M40" i="4"/>
  <c r="R42" i="4"/>
  <c r="R59" i="4"/>
  <c r="R100" i="4"/>
  <c r="R103" i="4"/>
  <c r="R51" i="4"/>
  <c r="R63" i="4"/>
  <c r="R80" i="4"/>
  <c r="R17" i="4"/>
  <c r="R77" i="4"/>
  <c r="R4" i="4"/>
  <c r="R94" i="4"/>
  <c r="R74" i="4"/>
  <c r="R35" i="4"/>
  <c r="R90" i="4"/>
  <c r="R89" i="4"/>
  <c r="R75" i="4"/>
  <c r="R60" i="4"/>
  <c r="R25" i="4"/>
  <c r="R58" i="4"/>
  <c r="R44" i="4"/>
  <c r="R76" i="4"/>
  <c r="R53" i="4"/>
  <c r="R47" i="4"/>
  <c r="R48" i="4"/>
  <c r="R49" i="4"/>
  <c r="R5" i="4"/>
  <c r="R34" i="4"/>
  <c r="R36" i="4"/>
  <c r="R24" i="4"/>
  <c r="R27" i="4"/>
  <c r="R50" i="4"/>
  <c r="R102" i="4"/>
  <c r="R97" i="4"/>
  <c r="R70" i="4"/>
  <c r="R87" i="4"/>
  <c r="R72" i="4"/>
  <c r="R64" i="4"/>
  <c r="R21" i="4"/>
  <c r="R40" i="4"/>
  <c r="R104" i="4"/>
  <c r="R101" i="4"/>
  <c r="R46" i="4"/>
  <c r="R69" i="4"/>
  <c r="R6" i="4"/>
  <c r="R16" i="4"/>
  <c r="R30" i="4"/>
  <c r="R15" i="4"/>
  <c r="R85" i="4"/>
  <c r="R18" i="4"/>
  <c r="R65" i="4"/>
  <c r="R88" i="4"/>
  <c r="R12" i="4"/>
  <c r="R22" i="4"/>
  <c r="R26" i="4"/>
  <c r="R68" i="4"/>
  <c r="R23" i="4"/>
  <c r="R91" i="4"/>
  <c r="R67" i="4"/>
  <c r="R3" i="4"/>
  <c r="R19" i="4"/>
  <c r="R61" i="4"/>
  <c r="R37" i="4"/>
  <c r="R84" i="4"/>
  <c r="R8" i="4"/>
  <c r="R28" i="4"/>
  <c r="R29" i="4"/>
  <c r="R14" i="4"/>
  <c r="R56" i="4"/>
  <c r="R73" i="4"/>
  <c r="R41" i="4"/>
  <c r="R13" i="4"/>
  <c r="R54" i="4"/>
  <c r="R79" i="4"/>
  <c r="R99" i="4"/>
  <c r="R38" i="4"/>
  <c r="R45" i="4"/>
  <c r="R10" i="4"/>
  <c r="R81" i="4"/>
  <c r="R31" i="4"/>
  <c r="R92" i="4"/>
  <c r="R83" i="4"/>
  <c r="R96" i="4"/>
  <c r="R20" i="4"/>
  <c r="R43" i="4"/>
  <c r="R11" i="4"/>
  <c r="R98" i="4"/>
  <c r="R66" i="4"/>
  <c r="R105" i="4"/>
  <c r="R95" i="4"/>
  <c r="R62" i="4"/>
  <c r="R52" i="4"/>
  <c r="R9" i="4"/>
  <c r="R93" i="4"/>
  <c r="R55" i="4"/>
  <c r="R39" i="4"/>
  <c r="R86" i="4"/>
  <c r="R32" i="4"/>
  <c r="R82" i="4"/>
  <c r="R33" i="4"/>
  <c r="R78" i="4"/>
  <c r="R7" i="4"/>
  <c r="R57" i="4"/>
  <c r="R2" i="4"/>
  <c r="R71" i="4"/>
  <c r="K32" i="4"/>
  <c r="K56" i="4"/>
  <c r="K58" i="4"/>
  <c r="K61" i="4"/>
  <c r="K84" i="4"/>
  <c r="K64" i="4"/>
  <c r="K99" i="4"/>
  <c r="K102" i="4"/>
  <c r="K105" i="4"/>
  <c r="K22" i="4"/>
  <c r="K21" i="4"/>
  <c r="K88" i="4"/>
  <c r="K98" i="4"/>
  <c r="K74" i="4"/>
  <c r="K53" i="4"/>
  <c r="K78" i="4"/>
  <c r="K47" i="4"/>
  <c r="K28" i="4"/>
  <c r="K96" i="4"/>
  <c r="K72" i="4"/>
  <c r="K27" i="4"/>
  <c r="K66" i="4"/>
  <c r="K81" i="4"/>
  <c r="K9" i="4"/>
  <c r="K34" i="4"/>
  <c r="K29" i="4"/>
  <c r="K62" i="4"/>
  <c r="K50" i="4"/>
  <c r="K31" i="4"/>
  <c r="K13" i="4"/>
  <c r="K16" i="4"/>
  <c r="K12" i="4"/>
  <c r="K97" i="4"/>
  <c r="K14" i="4"/>
  <c r="K100" i="4"/>
  <c r="K104" i="4"/>
  <c r="K70" i="4"/>
  <c r="K25" i="4"/>
  <c r="K20" i="4"/>
  <c r="K37" i="4"/>
  <c r="K89" i="4"/>
  <c r="K76" i="4"/>
  <c r="K95" i="4"/>
  <c r="K90" i="4"/>
  <c r="K39" i="4"/>
  <c r="K86" i="4"/>
  <c r="K48" i="4"/>
  <c r="K38" i="4"/>
  <c r="K65" i="4"/>
  <c r="K8" i="4"/>
  <c r="K55" i="4"/>
  <c r="K23" i="4"/>
  <c r="K30" i="4"/>
  <c r="K83" i="4"/>
  <c r="K71" i="4"/>
  <c r="K7" i="4"/>
  <c r="K51" i="4"/>
  <c r="K40" i="4"/>
  <c r="K11" i="4"/>
  <c r="K69" i="4"/>
  <c r="K3" i="4"/>
  <c r="K93" i="4"/>
  <c r="K80" i="4"/>
  <c r="K6" i="4"/>
  <c r="K19" i="4"/>
  <c r="K4" i="4"/>
  <c r="K18" i="4"/>
  <c r="K85" i="4"/>
  <c r="K42" i="4"/>
  <c r="K101" i="4"/>
  <c r="K36" i="4"/>
  <c r="K91" i="4"/>
  <c r="K41" i="4"/>
  <c r="K15" i="4"/>
  <c r="K68" i="4"/>
  <c r="K63" i="4"/>
  <c r="K59" i="4"/>
  <c r="K73" i="4"/>
  <c r="K67" i="4"/>
  <c r="K45" i="4"/>
  <c r="K26" i="4"/>
  <c r="K52" i="4"/>
  <c r="K24" i="4"/>
  <c r="K5" i="4"/>
  <c r="K103" i="4"/>
  <c r="K82" i="4"/>
  <c r="K92" i="4"/>
  <c r="K94" i="4"/>
  <c r="K35" i="4"/>
  <c r="K43" i="4"/>
  <c r="K77" i="4"/>
  <c r="K17" i="4"/>
  <c r="K60" i="4"/>
  <c r="K54" i="4"/>
  <c r="K10" i="4"/>
  <c r="K44" i="4"/>
  <c r="K79" i="4"/>
  <c r="K33" i="4"/>
  <c r="K75" i="4"/>
  <c r="K87" i="4"/>
  <c r="K46" i="4"/>
  <c r="K49" i="4"/>
  <c r="K2" i="4"/>
  <c r="K57" i="4"/>
  <c r="U33" i="4"/>
  <c r="U57" i="4"/>
  <c r="U101" i="4"/>
  <c r="U4" i="4"/>
  <c r="U92" i="4"/>
  <c r="U40" i="4"/>
  <c r="U37" i="4"/>
  <c r="U9" i="4"/>
  <c r="U10" i="4"/>
  <c r="U51" i="4"/>
  <c r="U42" i="4"/>
  <c r="U78" i="4"/>
  <c r="U71" i="4"/>
  <c r="U20" i="4"/>
  <c r="U29" i="4"/>
  <c r="U35" i="4"/>
  <c r="U63" i="4"/>
  <c r="U21" i="4"/>
  <c r="U11" i="4"/>
  <c r="U19" i="4"/>
  <c r="U52" i="4"/>
  <c r="U105" i="4"/>
  <c r="U49" i="4"/>
  <c r="U91" i="4"/>
  <c r="U7" i="4"/>
  <c r="U6" i="4"/>
  <c r="U12" i="4"/>
  <c r="U61" i="4"/>
  <c r="U89" i="4"/>
  <c r="U43" i="4"/>
  <c r="U34" i="4"/>
  <c r="U76" i="4"/>
  <c r="U38" i="4"/>
  <c r="U23" i="4"/>
  <c r="U104" i="4"/>
  <c r="U44" i="4"/>
  <c r="U62" i="4"/>
  <c r="U88" i="4"/>
  <c r="U90" i="4"/>
  <c r="U72" i="4"/>
  <c r="U80" i="4"/>
  <c r="U39" i="4"/>
  <c r="U69" i="4"/>
  <c r="U15" i="4"/>
  <c r="U8" i="4"/>
  <c r="U93" i="4"/>
  <c r="U55" i="4"/>
  <c r="U31" i="4"/>
  <c r="U32" i="4"/>
  <c r="U95" i="4"/>
  <c r="U102" i="4"/>
  <c r="U48" i="4"/>
  <c r="U73" i="4"/>
  <c r="U16" i="4"/>
  <c r="U17" i="4"/>
  <c r="U100" i="4"/>
  <c r="U26" i="4"/>
  <c r="U25" i="4"/>
  <c r="U70" i="4"/>
  <c r="U74" i="4"/>
  <c r="U53" i="4"/>
  <c r="U50" i="4"/>
  <c r="U41" i="4"/>
  <c r="U67" i="4"/>
  <c r="U18" i="4"/>
  <c r="U28" i="4"/>
  <c r="U103" i="4"/>
  <c r="U60" i="4"/>
  <c r="U99" i="4"/>
  <c r="U85" i="4"/>
  <c r="U84" i="4"/>
  <c r="U54" i="4"/>
  <c r="U66" i="4"/>
  <c r="U56" i="4"/>
  <c r="U98" i="4"/>
  <c r="U82" i="4"/>
  <c r="U68" i="4"/>
  <c r="U86" i="4"/>
  <c r="U45" i="4"/>
  <c r="U77" i="4"/>
  <c r="U64" i="4"/>
  <c r="U58" i="4"/>
  <c r="U14" i="4"/>
  <c r="U47" i="4"/>
  <c r="U5" i="4"/>
  <c r="U24" i="4"/>
  <c r="U79" i="4"/>
  <c r="U46" i="4"/>
  <c r="U96" i="4"/>
  <c r="U94" i="4"/>
  <c r="U3" i="4"/>
  <c r="U59" i="4"/>
  <c r="U75" i="4"/>
  <c r="U36" i="4"/>
  <c r="U27" i="4"/>
  <c r="U65" i="4"/>
  <c r="U13" i="4"/>
  <c r="U30" i="4"/>
  <c r="U97" i="4"/>
  <c r="U87" i="4"/>
  <c r="U22" i="4"/>
  <c r="U83" i="4"/>
  <c r="U2" i="4"/>
  <c r="U81" i="4"/>
  <c r="P80" i="4"/>
  <c r="P81" i="4"/>
  <c r="P75" i="4"/>
  <c r="P14" i="4"/>
  <c r="P28" i="4"/>
  <c r="P89" i="4"/>
  <c r="P98" i="4"/>
  <c r="P94" i="4"/>
  <c r="P44" i="4"/>
  <c r="P5" i="4"/>
  <c r="P69" i="4"/>
  <c r="P55" i="4"/>
  <c r="P33" i="4"/>
  <c r="P12" i="4"/>
  <c r="P50" i="4"/>
  <c r="P58" i="4"/>
  <c r="P18" i="4"/>
  <c r="P78" i="4"/>
  <c r="P99" i="4"/>
  <c r="P72" i="4"/>
  <c r="P97" i="4"/>
  <c r="P95" i="4"/>
  <c r="P66" i="4"/>
  <c r="P84" i="4"/>
  <c r="P53" i="4"/>
  <c r="P10" i="4"/>
  <c r="P26" i="4"/>
  <c r="P76" i="4"/>
  <c r="P25" i="4"/>
  <c r="P43" i="4"/>
  <c r="P42" i="4"/>
  <c r="P65" i="4"/>
  <c r="P49" i="4"/>
  <c r="P37" i="4"/>
  <c r="P36" i="4"/>
  <c r="P20" i="4"/>
  <c r="P7" i="4"/>
  <c r="P86" i="4"/>
  <c r="P85" i="4"/>
  <c r="P101" i="4"/>
  <c r="P23" i="4"/>
  <c r="P103" i="4"/>
  <c r="P70" i="4"/>
  <c r="P79" i="4"/>
  <c r="P31" i="4"/>
  <c r="P74" i="4"/>
  <c r="P47" i="4"/>
  <c r="P39" i="4"/>
  <c r="P67" i="4"/>
  <c r="P40" i="4"/>
  <c r="P100" i="4"/>
  <c r="P34" i="4"/>
  <c r="P60" i="4"/>
  <c r="P91" i="4"/>
  <c r="P77" i="4"/>
  <c r="P29" i="4"/>
  <c r="P63" i="4"/>
  <c r="P6" i="4"/>
  <c r="P71" i="4"/>
  <c r="P4" i="4"/>
  <c r="P96" i="4"/>
  <c r="P51" i="4"/>
  <c r="P48" i="4"/>
  <c r="P92" i="4"/>
  <c r="P30" i="4"/>
  <c r="P46" i="4"/>
  <c r="P83" i="4"/>
  <c r="P73" i="4"/>
  <c r="P61" i="4"/>
  <c r="P52" i="4"/>
  <c r="P27" i="4"/>
  <c r="P82" i="4"/>
  <c r="P104" i="4"/>
  <c r="P38" i="4"/>
  <c r="P62" i="4"/>
  <c r="P21" i="4"/>
  <c r="P56" i="4"/>
  <c r="P17" i="4"/>
  <c r="P35" i="4"/>
  <c r="P15" i="4"/>
  <c r="P93" i="4"/>
  <c r="P102" i="4"/>
  <c r="P13" i="4"/>
  <c r="P68" i="4"/>
  <c r="P9" i="4"/>
  <c r="P8" i="4"/>
  <c r="P41" i="4"/>
  <c r="P57" i="4"/>
  <c r="P64" i="4"/>
  <c r="P45" i="4"/>
  <c r="P105" i="4"/>
  <c r="P19" i="4"/>
  <c r="P54" i="4"/>
  <c r="P90" i="4"/>
  <c r="P88" i="4"/>
  <c r="P32" i="4"/>
  <c r="P16" i="4"/>
  <c r="P3" i="4"/>
  <c r="P87" i="4"/>
  <c r="P24" i="4"/>
  <c r="P11" i="4"/>
  <c r="P59" i="4"/>
  <c r="P2" i="4"/>
  <c r="P22" i="4"/>
</calcChain>
</file>

<file path=xl/sharedStrings.xml><?xml version="1.0" encoding="utf-8"?>
<sst xmlns="http://schemas.openxmlformats.org/spreadsheetml/2006/main" count="3481" uniqueCount="1121">
  <si>
    <t>Source file</t>
  </si>
  <si>
    <t>DateTime</t>
  </si>
  <si>
    <t>Comments</t>
  </si>
  <si>
    <t>Final207_235</t>
  </si>
  <si>
    <t>Final207_235_Int2SE</t>
  </si>
  <si>
    <t>Final206_238</t>
  </si>
  <si>
    <t>Final206_238_Int2SE</t>
  </si>
  <si>
    <t>ErrorCorrelation_6_38vs7_35</t>
  </si>
  <si>
    <t>Final238_206</t>
  </si>
  <si>
    <t>Final238_206_Int2SE</t>
  </si>
  <si>
    <t>Final207_206</t>
  </si>
  <si>
    <t>Final207_206_Int2SE</t>
  </si>
  <si>
    <t>ErrorCorrelation_38_6vs7_6</t>
  </si>
  <si>
    <t>Final208_232</t>
  </si>
  <si>
    <t>Final208_232_Int2SE</t>
  </si>
  <si>
    <t>Final206_208</t>
  </si>
  <si>
    <t>Final206_208_Int2SE</t>
  </si>
  <si>
    <t>FinalAge207_235</t>
  </si>
  <si>
    <t>FinalAge207_235_Int2SE</t>
  </si>
  <si>
    <t>FinalAge206_238</t>
  </si>
  <si>
    <t>FinalAge206_238_Int2SE</t>
  </si>
  <si>
    <t>FinalAge208_232</t>
  </si>
  <si>
    <t>FinalAge208_232_Int2SE</t>
  </si>
  <si>
    <t>FinalAge207_206</t>
  </si>
  <si>
    <t>FinalAge207_206_Int2SE</t>
  </si>
  <si>
    <t>Th232_H2_CPS</t>
  </si>
  <si>
    <t>Th232_H2_CPS_Int2SE</t>
  </si>
  <si>
    <t>Pb208_IC0_CPS</t>
  </si>
  <si>
    <t>Pb208_IC0_CPS_Int2SE</t>
  </si>
  <si>
    <t>Pb207_IC1_CPS</t>
  </si>
  <si>
    <t>Pb207_IC1_CPS_Int2SE</t>
  </si>
  <si>
    <t>Pb206_IC2_CPS</t>
  </si>
  <si>
    <t>Pb206_IC2_CPS_Int2SE</t>
  </si>
  <si>
    <t>Pb204_IC3_CPS</t>
  </si>
  <si>
    <t>Pb204_IC3_CPS_Int2SE</t>
  </si>
  <si>
    <t>U238_ExH_CPS</t>
  </si>
  <si>
    <t>U238_ExH_CPS_Int2SE</t>
  </si>
  <si>
    <t>Output_1_1</t>
  </si>
  <si>
    <t>Macdonald EAS S &amp; NG run8</t>
  </si>
  <si>
    <t>16/09/2020 (4) 09:02:53.16</t>
  </si>
  <si>
    <t>Start_A8</t>
  </si>
  <si>
    <t>Output_1_2</t>
  </si>
  <si>
    <t>16/09/2020 (4) 09:03:58.67</t>
  </si>
  <si>
    <t>Start_B8</t>
  </si>
  <si>
    <t>Output_1_3</t>
  </si>
  <si>
    <t>16/09/2020 (4) 09:04:37.51</t>
  </si>
  <si>
    <t>Start_C8</t>
  </si>
  <si>
    <t>Output_1_4</t>
  </si>
  <si>
    <t>16/09/2020 (4) 09:05:16.39</t>
  </si>
  <si>
    <t>Start_D8</t>
  </si>
  <si>
    <t>Output_1_5</t>
  </si>
  <si>
    <t>16/09/2020 (4) 09:05:56.32</t>
  </si>
  <si>
    <t>Start_E8</t>
  </si>
  <si>
    <t>Output_1_6</t>
  </si>
  <si>
    <t>16/09/2020 (4) 09:06:36.04</t>
  </si>
  <si>
    <t>Start_F8</t>
  </si>
  <si>
    <t>Output_1_7</t>
  </si>
  <si>
    <t>16/09/2020 (4) 09:07:21.19</t>
  </si>
  <si>
    <t>NG_95RW09_S_29</t>
  </si>
  <si>
    <t>Output_1_8</t>
  </si>
  <si>
    <t>16/09/2020 (4) 09:08:00.41</t>
  </si>
  <si>
    <t>NG_95RW09_S_30</t>
  </si>
  <si>
    <t>Output_1_9</t>
  </si>
  <si>
    <t>16/09/2020 (4) 09:08:39.73</t>
  </si>
  <si>
    <t>NG_95RW09_S_32</t>
  </si>
  <si>
    <t>Output_1_10</t>
  </si>
  <si>
    <t>16/09/2020 (4) 09:09:19.35</t>
  </si>
  <si>
    <t>NG_95RW09_S_33</t>
  </si>
  <si>
    <t>Output_1_11</t>
  </si>
  <si>
    <t>16/09/2020 (4) 09:09:58.32</t>
  </si>
  <si>
    <t>NG_95RW09_S_34</t>
  </si>
  <si>
    <t>Output_1_12</t>
  </si>
  <si>
    <t>16/09/2020 (4) 09:10:37.29</t>
  </si>
  <si>
    <t>NG_95RW09_S_35</t>
  </si>
  <si>
    <t>Output_1_13</t>
  </si>
  <si>
    <t>16/09/2020 (4) 09:11:16.43</t>
  </si>
  <si>
    <t>NG_95RW09_S_36</t>
  </si>
  <si>
    <t>Output_1_14</t>
  </si>
  <si>
    <t>16/09/2020 (4) 09:11:55.21</t>
  </si>
  <si>
    <t>NG_95RW09_S_37</t>
  </si>
  <si>
    <t>Output_1_15</t>
  </si>
  <si>
    <t>16/09/2020 (4) 09:12:33.80</t>
  </si>
  <si>
    <t>NG_95RW09_S_38</t>
  </si>
  <si>
    <t>Output_1_16</t>
  </si>
  <si>
    <t>16/09/2020 (4) 09:13:19.95</t>
  </si>
  <si>
    <t>91500-39</t>
  </si>
  <si>
    <t>Output_1_17</t>
  </si>
  <si>
    <t>16/09/2020 (4) 09:13:59.60</t>
  </si>
  <si>
    <t>9435-13</t>
  </si>
  <si>
    <t>Output_1_18</t>
  </si>
  <si>
    <t>16/09/2020 (4) 09:14:45.41</t>
  </si>
  <si>
    <t>NG_95RW09_S_39</t>
  </si>
  <si>
    <t>Output_1_19</t>
  </si>
  <si>
    <t>16/09/2020 (4) 09:15:24.10</t>
  </si>
  <si>
    <t>NG_95RW09_S_40</t>
  </si>
  <si>
    <t>Output_1_20</t>
  </si>
  <si>
    <t>16/09/2020 (4) 09:16:03.40</t>
  </si>
  <si>
    <t>NG_95RW09_S_41</t>
  </si>
  <si>
    <t>Output_1_21</t>
  </si>
  <si>
    <t>16/09/2020 (4) 09:16:42.13</t>
  </si>
  <si>
    <t>NG_95RW09_S_42</t>
  </si>
  <si>
    <t>Output_1_22</t>
  </si>
  <si>
    <t>16/09/2020 (4) 09:17:21.16</t>
  </si>
  <si>
    <t>NG_95RW09_S_43</t>
  </si>
  <si>
    <t>Output_1_23</t>
  </si>
  <si>
    <t>16/09/2020 (4) 09:18:00.20</t>
  </si>
  <si>
    <t>NG_95RW09_S_44</t>
  </si>
  <si>
    <t>Output_1_24</t>
  </si>
  <si>
    <t>16/09/2020 (4) 09:18:39.04</t>
  </si>
  <si>
    <t>NG_95RW09_S_45</t>
  </si>
  <si>
    <t>Output_1_25</t>
  </si>
  <si>
    <t>16/09/2020 (4) 09:19:18.02</t>
  </si>
  <si>
    <t>NG_95RW09_S_46</t>
  </si>
  <si>
    <t>Output_1_26</t>
  </si>
  <si>
    <t>16/09/2020 (4) 09:19:56.75</t>
  </si>
  <si>
    <t>NG_95RW09_S_47</t>
  </si>
  <si>
    <t>Output_1_27</t>
  </si>
  <si>
    <t>16/09/2020 (4) 09:20:36.23</t>
  </si>
  <si>
    <t>NG_95RW09_S_48</t>
  </si>
  <si>
    <t>Output_1_28</t>
  </si>
  <si>
    <t>16/09/2020 (4) 09:21:22.05</t>
  </si>
  <si>
    <t>Ples-39</t>
  </si>
  <si>
    <t>Output_1_29</t>
  </si>
  <si>
    <t>16/09/2020 (4) 09:22:01.69</t>
  </si>
  <si>
    <t>GJ1-13</t>
  </si>
  <si>
    <t>Output_1_30</t>
  </si>
  <si>
    <t>16/09/2020 (4) 09:22:47.91</t>
  </si>
  <si>
    <t>NG_95RW09_S_49</t>
  </si>
  <si>
    <t>Output_1_31</t>
  </si>
  <si>
    <t>16/09/2020 (4) 09:23:26.71</t>
  </si>
  <si>
    <t>NG_95RW09_S_50</t>
  </si>
  <si>
    <t>Output_1_32</t>
  </si>
  <si>
    <t>16/09/2020 (4) 09:24:05.34</t>
  </si>
  <si>
    <t>NG_95RW09_S_51</t>
  </si>
  <si>
    <t>Output_1_33</t>
  </si>
  <si>
    <t>16/09/2020 (4) 09:24:44.07</t>
  </si>
  <si>
    <t>NG_95RW09_S_52</t>
  </si>
  <si>
    <t>Output_1_34</t>
  </si>
  <si>
    <t>16/09/2020 (4) 09:25:22.55</t>
  </si>
  <si>
    <t>NG_95RW09_S_53</t>
  </si>
  <si>
    <t>Output_1_35</t>
  </si>
  <si>
    <t>16/09/2020 (4) 09:26:07.92</t>
  </si>
  <si>
    <t>DV_F2003-3_L_1</t>
  </si>
  <si>
    <t>Output_1_36</t>
  </si>
  <si>
    <t>16/09/2020 (4) 09:26:46.95</t>
  </si>
  <si>
    <t>DV_F2003-3_L_2</t>
  </si>
  <si>
    <t>Output_1_37</t>
  </si>
  <si>
    <t>16/09/2020 (4) 09:27:26.33</t>
  </si>
  <si>
    <t>DV_F2003-3_L_3</t>
  </si>
  <si>
    <t>Output_1_38</t>
  </si>
  <si>
    <t>16/09/2020 (4) 09:28:05.12</t>
  </si>
  <si>
    <t>DV_F2003-3_L_4</t>
  </si>
  <si>
    <t>Output_1_39</t>
  </si>
  <si>
    <t>16/09/2020 (4) 09:28:44.58</t>
  </si>
  <si>
    <t>DV_F2003-3_L_5</t>
  </si>
  <si>
    <t>Output_1_40</t>
  </si>
  <si>
    <t>16/09/2020 (4) 09:29:32.27</t>
  </si>
  <si>
    <t>OG-13</t>
  </si>
  <si>
    <t>Output_1_41</t>
  </si>
  <si>
    <t>16/09/2020 (4) 09:30:11.66</t>
  </si>
  <si>
    <t>91500-40</t>
  </si>
  <si>
    <t>Output_1_42</t>
  </si>
  <si>
    <t>16/09/2020 (4) 09:30:58.61</t>
  </si>
  <si>
    <t>DV_F2003-3_L_6</t>
  </si>
  <si>
    <t>Output_1_43</t>
  </si>
  <si>
    <t>16/09/2020 (4) 09:31:37.43</t>
  </si>
  <si>
    <t>DV_F2003-3_L_7</t>
  </si>
  <si>
    <t>Output_1_44</t>
  </si>
  <si>
    <t>16/09/2020 (4) 09:32:16.57</t>
  </si>
  <si>
    <t>DV_F2003-3_L_8</t>
  </si>
  <si>
    <t>Output_1_45</t>
  </si>
  <si>
    <t>16/09/2020 (4) 09:32:56.25</t>
  </si>
  <si>
    <t>DV_F2003-3_L_9</t>
  </si>
  <si>
    <t>Output_1_46</t>
  </si>
  <si>
    <t>16/09/2020 (4) 09:33:35.20</t>
  </si>
  <si>
    <t>DV_F2003-3_L_10</t>
  </si>
  <si>
    <t>Output_1_47</t>
  </si>
  <si>
    <t>16/09/2020 (4) 09:34:14.15</t>
  </si>
  <si>
    <t>DV_F2003-3_L_11</t>
  </si>
  <si>
    <t>Output_1_48</t>
  </si>
  <si>
    <t>16/09/2020 (4) 09:34:52.98</t>
  </si>
  <si>
    <t>DV_F2003-3_L_12</t>
  </si>
  <si>
    <t>Output_1_49</t>
  </si>
  <si>
    <t>16/09/2020 (4) 09:35:32.39</t>
  </si>
  <si>
    <t>DV_F2003-3_L_13</t>
  </si>
  <si>
    <t>Output_1_50</t>
  </si>
  <si>
    <t>16/09/2020 (4) 09:36:11.34</t>
  </si>
  <si>
    <t>DV_F2003-3_L_14</t>
  </si>
  <si>
    <t>Output_1_51</t>
  </si>
  <si>
    <t>16/09/2020 (4) 09:36:50.51</t>
  </si>
  <si>
    <t>DV_F2003-3_L_15</t>
  </si>
  <si>
    <t>Output_1_52</t>
  </si>
  <si>
    <t>16/09/2020 (4) 09:37:37.45</t>
  </si>
  <si>
    <t>9435-14</t>
  </si>
  <si>
    <t>Output_1_53</t>
  </si>
  <si>
    <t>16/09/2020 (4) 09:38:17.36</t>
  </si>
  <si>
    <t>Ples-40</t>
  </si>
  <si>
    <t>Output_1_54</t>
  </si>
  <si>
    <t>16/09/2020 (4) 09:39:05.02</t>
  </si>
  <si>
    <t>DV_F2003-3_L_16</t>
  </si>
  <si>
    <t>Output_1_55</t>
  </si>
  <si>
    <t>16/09/2020 (4) 09:39:45.06</t>
  </si>
  <si>
    <t>DV_F2003-3_L_17</t>
  </si>
  <si>
    <t>Output_1_56</t>
  </si>
  <si>
    <t>16/09/2020 (4) 09:40:24.24</t>
  </si>
  <si>
    <t>DV_F2003-3_L_18</t>
  </si>
  <si>
    <t>Output_1_57</t>
  </si>
  <si>
    <t>16/09/2020 (4) 09:41:03.13</t>
  </si>
  <si>
    <t>DV_F2003-3_L_19</t>
  </si>
  <si>
    <t>Output_1_58</t>
  </si>
  <si>
    <t>16/09/2020 (4) 09:41:42.34</t>
  </si>
  <si>
    <t>DV_F2003-3_L_20</t>
  </si>
  <si>
    <t>Output_1_59</t>
  </si>
  <si>
    <t>16/09/2020 (4) 09:42:21.52</t>
  </si>
  <si>
    <t>DV_F2003-3_L_21</t>
  </si>
  <si>
    <t>Output_1_60</t>
  </si>
  <si>
    <t>16/09/2020 (4) 09:43:00.86</t>
  </si>
  <si>
    <t>DV_F2003-3_L_22</t>
  </si>
  <si>
    <t>Output_1_61</t>
  </si>
  <si>
    <t>16/09/2020 (4) 09:43:39.60</t>
  </si>
  <si>
    <t>DV_F2003-3_L_23</t>
  </si>
  <si>
    <t>Output_1_62</t>
  </si>
  <si>
    <t>16/09/2020 (4) 09:44:18.57</t>
  </si>
  <si>
    <t>DV_F2003-3_L_24</t>
  </si>
  <si>
    <t>Output_1_63</t>
  </si>
  <si>
    <t>16/09/2020 (4) 09:44:58.03</t>
  </si>
  <si>
    <t>DV_F2003-3_L_25</t>
  </si>
  <si>
    <t>Output_1_64</t>
  </si>
  <si>
    <t>16/09/2020 (4) 09:45:45.32</t>
  </si>
  <si>
    <t>GJ1-14</t>
  </si>
  <si>
    <t>Output_1_65</t>
  </si>
  <si>
    <t>16/09/2020 (4) 09:46:25.14</t>
  </si>
  <si>
    <t>91500-41</t>
  </si>
  <si>
    <t>Output_1_66</t>
  </si>
  <si>
    <t>16/09/2020 (4) 09:47:12.38</t>
  </si>
  <si>
    <t>DV_F2003-3_L_26</t>
  </si>
  <si>
    <t>Output_1_67</t>
  </si>
  <si>
    <t>16/09/2020 (4) 09:47:51.24</t>
  </si>
  <si>
    <t>DV_F2003-3_L_27</t>
  </si>
  <si>
    <t>Output_1_68</t>
  </si>
  <si>
    <t>16/09/2020 (4) 09:48:30.53</t>
  </si>
  <si>
    <t>DV_F2003-3_L_28</t>
  </si>
  <si>
    <t>Output_1_69</t>
  </si>
  <si>
    <t>16/09/2020 (4) 09:49:09.79</t>
  </si>
  <si>
    <t>DV_F2003-3_L_29</t>
  </si>
  <si>
    <t>Output_1_70</t>
  </si>
  <si>
    <t>16/09/2020 (4) 09:49:48.73</t>
  </si>
  <si>
    <t>DV_F2003-3_L_30</t>
  </si>
  <si>
    <t>Output_1_71</t>
  </si>
  <si>
    <t>16/09/2020 (4) 09:50:27.73</t>
  </si>
  <si>
    <t>DV_F2003-3_L_31</t>
  </si>
  <si>
    <t>Output_1_72</t>
  </si>
  <si>
    <t>16/09/2020 (4) 09:51:07.14</t>
  </si>
  <si>
    <t>DV_F2003-3_L_32</t>
  </si>
  <si>
    <t>Output_1_73</t>
  </si>
  <si>
    <t>16/09/2020 (4) 09:51:46.18</t>
  </si>
  <si>
    <t>DV_F2003-3_L_33</t>
  </si>
  <si>
    <t>Output_1_74</t>
  </si>
  <si>
    <t>16/09/2020 (4) 09:52:25.32</t>
  </si>
  <si>
    <t>DV_F2003-3_L_34</t>
  </si>
  <si>
    <t>Output_1_75</t>
  </si>
  <si>
    <t>16/09/2020 (4) 09:53:04.41</t>
  </si>
  <si>
    <t>DV_F2003-3_L_35</t>
  </si>
  <si>
    <t>Output_1_76</t>
  </si>
  <si>
    <t>16/09/2020 (4) 09:53:51.05</t>
  </si>
  <si>
    <t>R33-14</t>
  </si>
  <si>
    <t>Output_1_77</t>
  </si>
  <si>
    <t>16/09/2020 (4) 09:54:31.73</t>
  </si>
  <si>
    <t>Ples-41</t>
  </si>
  <si>
    <t>Output_1_78</t>
  </si>
  <si>
    <t>16/09/2020 (4) 09:55:19.14</t>
  </si>
  <si>
    <t>DV_F2003-3_L_36</t>
  </si>
  <si>
    <t>Output_1_79</t>
  </si>
  <si>
    <t>16/09/2020 (4) 09:55:57.88</t>
  </si>
  <si>
    <t>DV_F2003-3_L_37</t>
  </si>
  <si>
    <t>Output_1_80</t>
  </si>
  <si>
    <t>16/09/2020 (4) 09:56:36.52</t>
  </si>
  <si>
    <t>DV_F2003-3_L_38</t>
  </si>
  <si>
    <t>Output_1_81</t>
  </si>
  <si>
    <t>16/09/2020 (4) 09:57:16.58</t>
  </si>
  <si>
    <t>DV_F2003-3_L_39</t>
  </si>
  <si>
    <t>Output_1_82</t>
  </si>
  <si>
    <t>16/09/2020 (4) 09:57:55.78</t>
  </si>
  <si>
    <t>DV_F2003-3_L_40</t>
  </si>
  <si>
    <t>Output_1_83</t>
  </si>
  <si>
    <t>16/09/2020 (4) 09:58:35.14</t>
  </si>
  <si>
    <t>DV_F2003-3_L_41</t>
  </si>
  <si>
    <t>Output_1_84</t>
  </si>
  <si>
    <t>16/09/2020 (4) 09:59:14.13</t>
  </si>
  <si>
    <t>DV_F2003-3_L_42</t>
  </si>
  <si>
    <t>Output_1_85</t>
  </si>
  <si>
    <t>16/09/2020 (4) 09:59:53.20</t>
  </si>
  <si>
    <t>DV_F2003-3_L_43</t>
  </si>
  <si>
    <t>Output_1_86</t>
  </si>
  <si>
    <t>16/09/2020 (4) 10:00:32.47</t>
  </si>
  <si>
    <t>DV_F2003-3_L_44</t>
  </si>
  <si>
    <t>Output_1_87</t>
  </si>
  <si>
    <t>16/09/2020 (4) 10:01:11.28</t>
  </si>
  <si>
    <t>DV_F2003-3_L_45</t>
  </si>
  <si>
    <t>Output_1_88</t>
  </si>
  <si>
    <t>16/09/2020 (4) 10:01:58.88</t>
  </si>
  <si>
    <t>AusZ-14</t>
  </si>
  <si>
    <t>Output_1_89</t>
  </si>
  <si>
    <t>16/09/2020 (4) 10:02:38.87</t>
  </si>
  <si>
    <t>91500-42</t>
  </si>
  <si>
    <t>Output_1_90</t>
  </si>
  <si>
    <t>16/09/2020 (4) 10:03:25.97</t>
  </si>
  <si>
    <t>DV_F2003-3_L_46</t>
  </si>
  <si>
    <t>Output_1_91</t>
  </si>
  <si>
    <t>16/09/2020 (4) 10:04:05.42</t>
  </si>
  <si>
    <t>DV_F2003-3_L_47</t>
  </si>
  <si>
    <t>Output_1_92</t>
  </si>
  <si>
    <t>16/09/2020 (4) 10:04:44.42</t>
  </si>
  <si>
    <t>DV_F2003-3_L_48</t>
  </si>
  <si>
    <t>Output_1_93</t>
  </si>
  <si>
    <t>16/09/2020 (4) 10:05:23.76</t>
  </si>
  <si>
    <t>DV_F2003-3_L_49</t>
  </si>
  <si>
    <t>Output_1_94</t>
  </si>
  <si>
    <t>16/09/2020 (4) 10:06:02.86</t>
  </si>
  <si>
    <t>DV_F2003-3_L_50</t>
  </si>
  <si>
    <t>Output_1_95</t>
  </si>
  <si>
    <t>16/09/2020 (4) 10:06:42.22</t>
  </si>
  <si>
    <t>DV_F2003-3_L_51</t>
  </si>
  <si>
    <t>Output_1_96</t>
  </si>
  <si>
    <t>16/09/2020 (4) 10:07:21.17</t>
  </si>
  <si>
    <t>DV_F2003-3_L_52</t>
  </si>
  <si>
    <t>Output_1_97</t>
  </si>
  <si>
    <t>16/09/2020 (4) 10:07:59.97</t>
  </si>
  <si>
    <t>DV_F2003-3_L_53</t>
  </si>
  <si>
    <t>Output_1_98</t>
  </si>
  <si>
    <t>16/09/2020 (4) 10:08:39.25</t>
  </si>
  <si>
    <t>DV_F2003-3_L_54</t>
  </si>
  <si>
    <t>Output_1_99</t>
  </si>
  <si>
    <t>16/09/2020 (4) 10:09:18.09</t>
  </si>
  <si>
    <t>DV_F2003-3_L_55</t>
  </si>
  <si>
    <t>Output_1_100</t>
  </si>
  <si>
    <t>16/09/2020 (4) 10:10:04.51</t>
  </si>
  <si>
    <t>FC-14</t>
  </si>
  <si>
    <t>no value</t>
  </si>
  <si>
    <t>NAN</t>
  </si>
  <si>
    <t>NaN</t>
  </si>
  <si>
    <t>Output_1_101</t>
  </si>
  <si>
    <t>16/09/2020 (4) 10:10:44.88</t>
  </si>
  <si>
    <t>Ples-42</t>
  </si>
  <si>
    <t>Output_1_102</t>
  </si>
  <si>
    <t>16/09/2020 (4) 10:11:32.34</t>
  </si>
  <si>
    <t>DV_F2003-3_L_56</t>
  </si>
  <si>
    <t>Output_1_103</t>
  </si>
  <si>
    <t>16/09/2020 (4) 10:12:11.26</t>
  </si>
  <si>
    <t>DV_F2003-3_L_57</t>
  </si>
  <si>
    <t>Output_1_104</t>
  </si>
  <si>
    <t>16/09/2020 (4) 10:12:50.52</t>
  </si>
  <si>
    <t>DV_F2003-3_L_58</t>
  </si>
  <si>
    <t>Output_1_105</t>
  </si>
  <si>
    <t>16/09/2020 (4) 10:13:29.43</t>
  </si>
  <si>
    <t>DV_F2003-3_L_59</t>
  </si>
  <si>
    <t>Output_1_106</t>
  </si>
  <si>
    <t>16/09/2020 (4) 10:14:08.35</t>
  </si>
  <si>
    <t>DV_F2003-3_L_60</t>
  </si>
  <si>
    <t>Output_1_107</t>
  </si>
  <si>
    <t>16/09/2020 (4) 10:14:47.65</t>
  </si>
  <si>
    <t>DV_F2003-3_L_61</t>
  </si>
  <si>
    <t>Output_1_108</t>
  </si>
  <si>
    <t>16/09/2020 (4) 10:15:27.47</t>
  </si>
  <si>
    <t>DV_F2003-3_L_62</t>
  </si>
  <si>
    <t>Output_1_109</t>
  </si>
  <si>
    <t>16/09/2020 (4) 10:16:06.43</t>
  </si>
  <si>
    <t>DV_F2003-3_L_63</t>
  </si>
  <si>
    <t>Output_1_110</t>
  </si>
  <si>
    <t>16/09/2020 (4) 10:16:45.16</t>
  </si>
  <si>
    <t>DV_F2003-3_L_64</t>
  </si>
  <si>
    <t>Output_1_111</t>
  </si>
  <si>
    <t>16/09/2020 (4) 10:17:24.70</t>
  </si>
  <si>
    <t>DV_F2003-3_L_65</t>
  </si>
  <si>
    <t>Output_1_112</t>
  </si>
  <si>
    <t>16/09/2020 (4) 10:18:11.59</t>
  </si>
  <si>
    <t>OG-14</t>
  </si>
  <si>
    <t>Output_1_113</t>
  </si>
  <si>
    <t>16/09/2020 (4) 10:18:51.16</t>
  </si>
  <si>
    <t>91500-43</t>
  </si>
  <si>
    <t>Output_1_114</t>
  </si>
  <si>
    <t>16/09/2020 (4) 10:19:38.29</t>
  </si>
  <si>
    <t>DV_F2003-3_L_66</t>
  </si>
  <si>
    <t>Output_1_115</t>
  </si>
  <si>
    <t>16/09/2020 (4) 10:20:17.32</t>
  </si>
  <si>
    <t>DV_F2003-3_L_67</t>
  </si>
  <si>
    <t>Output_1_116</t>
  </si>
  <si>
    <t>16/09/2020 (4) 10:20:56.43</t>
  </si>
  <si>
    <t>DV_F2003-3_L_68</t>
  </si>
  <si>
    <t>Output_1_117</t>
  </si>
  <si>
    <t>16/09/2020 (4) 10:21:36.05</t>
  </si>
  <si>
    <t>DV_F2005-275_L_1</t>
  </si>
  <si>
    <t>Output_1_118</t>
  </si>
  <si>
    <t>16/09/2020 (4) 10:22:14.46</t>
  </si>
  <si>
    <t>DV_F2005-275_L_2</t>
  </si>
  <si>
    <t>Output_1_119</t>
  </si>
  <si>
    <t>16/09/2020 (4) 10:22:53.00</t>
  </si>
  <si>
    <t>DV_F2005-275_L_3</t>
  </si>
  <si>
    <t>Output_1_120</t>
  </si>
  <si>
    <t>16/09/2020 (4) 10:23:31.66</t>
  </si>
  <si>
    <t>DV_F2005-275_L_4</t>
  </si>
  <si>
    <t>Output_1_121</t>
  </si>
  <si>
    <t>16/09/2020 (4) 10:24:10.40</t>
  </si>
  <si>
    <t>DV_F2005-275_L_5</t>
  </si>
  <si>
    <t>Output_1_122</t>
  </si>
  <si>
    <t>16/09/2020 (4) 10:24:49.24</t>
  </si>
  <si>
    <t>DV_F2005-275_L_6</t>
  </si>
  <si>
    <t>Output_1_123</t>
  </si>
  <si>
    <t>16/09/2020 (4) 10:25:28.28</t>
  </si>
  <si>
    <t>DV_F2005-275_L_7</t>
  </si>
  <si>
    <t>Output_1_124</t>
  </si>
  <si>
    <t>16/09/2020 (4) 10:26:15.49</t>
  </si>
  <si>
    <t>9435-15</t>
  </si>
  <si>
    <t>Output_1_125</t>
  </si>
  <si>
    <t>16/09/2020 (4) 10:26:54.91</t>
  </si>
  <si>
    <t>91500-60</t>
  </si>
  <si>
    <t>Output_1_126</t>
  </si>
  <si>
    <t>16/09/2020 (4) 10:27:42.40</t>
  </si>
  <si>
    <t>DV_F2005-275_L_8</t>
  </si>
  <si>
    <t>Output_1_127</t>
  </si>
  <si>
    <t>16/09/2020 (4) 10:28:21.63</t>
  </si>
  <si>
    <t>DV_F2005-275_L_9</t>
  </si>
  <si>
    <t>Output_1_128</t>
  </si>
  <si>
    <t>16/09/2020 (4) 10:29:00.57</t>
  </si>
  <si>
    <t>DV_F2005-275_L_10</t>
  </si>
  <si>
    <t>Output_1_129</t>
  </si>
  <si>
    <t>16/09/2020 (4) 10:29:39.16</t>
  </si>
  <si>
    <t>DV_F2005-275_L_11</t>
  </si>
  <si>
    <t>Output_1_130</t>
  </si>
  <si>
    <t>16/09/2020 (4) 10:30:18.01</t>
  </si>
  <si>
    <t>DV_F2005-275_L_12</t>
  </si>
  <si>
    <t>Output_1_131</t>
  </si>
  <si>
    <t>16/09/2020 (4) 10:30:56.91</t>
  </si>
  <si>
    <t>DV_F2005-275_L_13</t>
  </si>
  <si>
    <t>Output_1_132</t>
  </si>
  <si>
    <t>16/09/2020 (4) 10:31:35.99</t>
  </si>
  <si>
    <t>DV_F2005-275_L_14</t>
  </si>
  <si>
    <t>Output_1_133</t>
  </si>
  <si>
    <t>16/09/2020 (4) 10:32:14.91</t>
  </si>
  <si>
    <t>DV_F2005-275_L_15</t>
  </si>
  <si>
    <t>Output_1_134</t>
  </si>
  <si>
    <t>16/09/2020 (4) 10:32:53.45</t>
  </si>
  <si>
    <t>DV_F2005-275_L_16</t>
  </si>
  <si>
    <t>Output_1_135</t>
  </si>
  <si>
    <t>16/09/2020 (4) 10:33:31.97</t>
  </si>
  <si>
    <t>DV_F2005-275_L_17</t>
  </si>
  <si>
    <t>Output_1_136</t>
  </si>
  <si>
    <t>16/09/2020 (4) 10:34:19.96</t>
  </si>
  <si>
    <t>Ples-29</t>
  </si>
  <si>
    <t>Output_1_137</t>
  </si>
  <si>
    <t>16/09/2020 (4) 10:34:59.01</t>
  </si>
  <si>
    <t>AusZ-100</t>
  </si>
  <si>
    <t>Output_1_138</t>
  </si>
  <si>
    <t>16/09/2020 (4) 10:35:46.95</t>
  </si>
  <si>
    <t>DV_F2005-275_L_18</t>
  </si>
  <si>
    <t>Output_1_139</t>
  </si>
  <si>
    <t>16/09/2020 (4) 10:36:26.31</t>
  </si>
  <si>
    <t>DV_F2005-275_L_19</t>
  </si>
  <si>
    <t>Output_1_140</t>
  </si>
  <si>
    <t>16/09/2020 (4) 10:37:04.98</t>
  </si>
  <si>
    <t>DV_F2005-275_L_20</t>
  </si>
  <si>
    <t>Output_1_141</t>
  </si>
  <si>
    <t>16/09/2020 (4) 10:37:43.49</t>
  </si>
  <si>
    <t>DV_F2005-275_L_21</t>
  </si>
  <si>
    <t>Output_1_142</t>
  </si>
  <si>
    <t>16/09/2020 (4) 10:38:22.11</t>
  </si>
  <si>
    <t>DV_F2005-275_L_22</t>
  </si>
  <si>
    <t>Output_1_143</t>
  </si>
  <si>
    <t>16/09/2020 (4) 10:39:00.66</t>
  </si>
  <si>
    <t>DV_F2005-275_L_23</t>
  </si>
  <si>
    <t>Output_1_144</t>
  </si>
  <si>
    <t>16/09/2020 (4) 10:39:39.40</t>
  </si>
  <si>
    <t>DV_F2005-275_L_24</t>
  </si>
  <si>
    <t>Output_1_145</t>
  </si>
  <si>
    <t>16/09/2020 (4) 10:40:18.45</t>
  </si>
  <si>
    <t>DV_F2005-275_L_25</t>
  </si>
  <si>
    <t>Output_1_146</t>
  </si>
  <si>
    <t>16/09/2020 (4) 10:40:57.30</t>
  </si>
  <si>
    <t>DV_F2005-275_L_26</t>
  </si>
  <si>
    <t>Output_1_147</t>
  </si>
  <si>
    <t>16/09/2020 (4) 10:41:36.47</t>
  </si>
  <si>
    <t>DV_F2005-275_L_27</t>
  </si>
  <si>
    <t>Output_1_148</t>
  </si>
  <si>
    <t>16/09/2020 (4) 10:42:24.18</t>
  </si>
  <si>
    <t>Ples100</t>
  </si>
  <si>
    <t>Output_1_149</t>
  </si>
  <si>
    <t>16/09/2020 (4) 10:43:03.97</t>
  </si>
  <si>
    <t>GJ1-100</t>
  </si>
  <si>
    <t>Output_1_150</t>
  </si>
  <si>
    <t>16/09/2020 (4) 10:43:51.67</t>
  </si>
  <si>
    <t>DV_F2005-275_L_28</t>
  </si>
  <si>
    <t>Output_1_151</t>
  </si>
  <si>
    <t>16/09/2020 (4) 10:44:30.19</t>
  </si>
  <si>
    <t>DV_F2005-275_L_29</t>
  </si>
  <si>
    <t>Output_1_152</t>
  </si>
  <si>
    <t>16/09/2020 (4) 10:45:09.34</t>
  </si>
  <si>
    <t>DV_F2005-275_L_30</t>
  </si>
  <si>
    <t>Output_1_153</t>
  </si>
  <si>
    <t>16/09/2020 (4) 10:45:48.01</t>
  </si>
  <si>
    <t>DV_F2005-275_L_31</t>
  </si>
  <si>
    <t>Output_1_154</t>
  </si>
  <si>
    <t>16/09/2020 (4) 10:46:26.73</t>
  </si>
  <si>
    <t>DV_F2005-275_L_32</t>
  </si>
  <si>
    <t>Output_1_155</t>
  </si>
  <si>
    <t>16/09/2020 (4) 10:47:05.96</t>
  </si>
  <si>
    <t>DV_F2005-275_L_33</t>
  </si>
  <si>
    <t>Output_1_156</t>
  </si>
  <si>
    <t>16/09/2020 (4) 10:47:44.72</t>
  </si>
  <si>
    <t>DV_F2005-275_L_34</t>
  </si>
  <si>
    <t>Output_1_157</t>
  </si>
  <si>
    <t>16/09/2020 (4) 10:48:23.99</t>
  </si>
  <si>
    <t>DV_F2005-275_L_35</t>
  </si>
  <si>
    <t>Output_1_158</t>
  </si>
  <si>
    <t>16/09/2020 (4) 10:49:02.97</t>
  </si>
  <si>
    <t>DV_F2005-275_L_36</t>
  </si>
  <si>
    <t>Output_1_159</t>
  </si>
  <si>
    <t>16/09/2020 (4) 10:49:50.38</t>
  </si>
  <si>
    <t>OG-19</t>
  </si>
  <si>
    <t>Output_1_160</t>
  </si>
  <si>
    <t>16/09/2020 (4) 10:50:29.42</t>
  </si>
  <si>
    <t>91500-101</t>
  </si>
  <si>
    <t>Output_1_161</t>
  </si>
  <si>
    <t>16/09/2020 (4) 10:51:17.03</t>
  </si>
  <si>
    <t>DV_F2005-275_L_38</t>
  </si>
  <si>
    <t>Output_1_162</t>
  </si>
  <si>
    <t>16/09/2020 (4) 10:51:56.23</t>
  </si>
  <si>
    <t>DV_F2005-275_L_39</t>
  </si>
  <si>
    <t>Output_1_163</t>
  </si>
  <si>
    <t>16/09/2020 (4) 10:52:35.58</t>
  </si>
  <si>
    <t>DV_F2005-275_L_40</t>
  </si>
  <si>
    <t>Output_1_164</t>
  </si>
  <si>
    <t>16/09/2020 (4) 10:53:14.68</t>
  </si>
  <si>
    <t>DV_F2005-275_L_41</t>
  </si>
  <si>
    <t>Output_1_165</t>
  </si>
  <si>
    <t>16/09/2020 (4) 10:53:53.82</t>
  </si>
  <si>
    <t>DV_F2005-275_L_42</t>
  </si>
  <si>
    <t>Output_1_166</t>
  </si>
  <si>
    <t>16/09/2020 (4) 10:54:34.38</t>
  </si>
  <si>
    <t>DV_F2005-275_L_43</t>
  </si>
  <si>
    <t>Output_1_167</t>
  </si>
  <si>
    <t>16/09/2020 (4) 10:55:13.58</t>
  </si>
  <si>
    <t>DV_F2005-275_L_44</t>
  </si>
  <si>
    <t>Output_1_168</t>
  </si>
  <si>
    <t>16/09/2020 (4) 10:55:52.48</t>
  </si>
  <si>
    <t>DV_F2005-275_L_45</t>
  </si>
  <si>
    <t>Output_1_169</t>
  </si>
  <si>
    <t>16/09/2020 (4) 10:56:31.27</t>
  </si>
  <si>
    <t>DV_F2005-275_L_46</t>
  </si>
  <si>
    <t>Output_1_170</t>
  </si>
  <si>
    <t>16/09/2020 (4) 10:57:10.08</t>
  </si>
  <si>
    <t>DV_F2005-275_L_47</t>
  </si>
  <si>
    <t>Output_1_171</t>
  </si>
  <si>
    <t>16/09/2020 (4) 10:57:57.84</t>
  </si>
  <si>
    <t>Ples-43</t>
  </si>
  <si>
    <t>Output_1_172</t>
  </si>
  <si>
    <t>16/09/2020 (4) 10:58:37.47</t>
  </si>
  <si>
    <t>GJ1-15</t>
  </si>
  <si>
    <t>Output_1_173</t>
  </si>
  <si>
    <t>16/09/2020 (4) 10:59:25.04</t>
  </si>
  <si>
    <t>DV_F2005-275_L_48</t>
  </si>
  <si>
    <t>Output_1_174</t>
  </si>
  <si>
    <t>16/09/2020 (4) 11:00:04.02</t>
  </si>
  <si>
    <t>DV_F2005-275_L_49</t>
  </si>
  <si>
    <t>Output_1_175</t>
  </si>
  <si>
    <t>16/09/2020 (4) 11:00:43.05</t>
  </si>
  <si>
    <t>DV_F2005-275_L_50</t>
  </si>
  <si>
    <t>Output_1_176</t>
  </si>
  <si>
    <t>16/09/2020 (4) 11:01:22.08</t>
  </si>
  <si>
    <t>DV_F2005-275_L_51</t>
  </si>
  <si>
    <t>Output_1_177</t>
  </si>
  <si>
    <t>16/09/2020 (4) 11:02:00.78</t>
  </si>
  <si>
    <t>DV_F2005-275_L_52</t>
  </si>
  <si>
    <t>Output_1_178</t>
  </si>
  <si>
    <t>16/09/2020 (4) 11:02:39.51</t>
  </si>
  <si>
    <t>DV_F2005-275_L_53</t>
  </si>
  <si>
    <t>Output_1_179</t>
  </si>
  <si>
    <t>16/09/2020 (4) 11:03:18.77</t>
  </si>
  <si>
    <t>DV_F2005-275_L_54</t>
  </si>
  <si>
    <t>Output_1_180</t>
  </si>
  <si>
    <t>16/09/2020 (4) 11:03:57.58</t>
  </si>
  <si>
    <t>DV_F2005-275_L_55</t>
  </si>
  <si>
    <t>Output_1_181</t>
  </si>
  <si>
    <t>16/09/2020 (4) 11:04:36.31</t>
  </si>
  <si>
    <t>DV_F2005-275_L_56</t>
  </si>
  <si>
    <t>Output_1_182</t>
  </si>
  <si>
    <t>16/09/2020 (4) 11:05:15.58</t>
  </si>
  <si>
    <t>DV_F2005-275_L_57</t>
  </si>
  <si>
    <t>Output_1_183</t>
  </si>
  <si>
    <t>16/09/2020 (4) 11:06:03.35</t>
  </si>
  <si>
    <t>91500-44</t>
  </si>
  <si>
    <t>Output_1_184</t>
  </si>
  <si>
    <t>16/09/2020 (4) 11:06:43.15</t>
  </si>
  <si>
    <t>R33-15</t>
  </si>
  <si>
    <t>Output_1_185</t>
  </si>
  <si>
    <t>16/09/2020 (4) 11:07:29.92</t>
  </si>
  <si>
    <t>DV_F2005-275_L_58</t>
  </si>
  <si>
    <t>Output_1_186</t>
  </si>
  <si>
    <t>16/09/2020 (4) 11:08:08.48</t>
  </si>
  <si>
    <t>DV_F2005-275_L_59</t>
  </si>
  <si>
    <t>Output_1_187</t>
  </si>
  <si>
    <t>16/09/2020 (4) 11:08:47.38</t>
  </si>
  <si>
    <t>DV_F2005-275_L_60</t>
  </si>
  <si>
    <t>Output_1_188</t>
  </si>
  <si>
    <t>16/09/2020 (4) 11:09:26.06</t>
  </si>
  <si>
    <t>DV_F2005-275_L_61</t>
  </si>
  <si>
    <t>Output_1_189</t>
  </si>
  <si>
    <t>16/09/2020 (4) 11:10:04.83</t>
  </si>
  <si>
    <t>DV_F2005-275_L_62</t>
  </si>
  <si>
    <t>Output_1_190</t>
  </si>
  <si>
    <t>16/09/2020 (4) 11:10:43.47</t>
  </si>
  <si>
    <t>DV_F2005-275_L_63</t>
  </si>
  <si>
    <t>Output_1_191</t>
  </si>
  <si>
    <t>16/09/2020 (4) 11:11:22.40</t>
  </si>
  <si>
    <t>DV_F2005-275_L_64</t>
  </si>
  <si>
    <t>Output_1_192</t>
  </si>
  <si>
    <t>16/09/2020 (4) 11:12:01.63</t>
  </si>
  <si>
    <t>DV_F2005-275_L_65</t>
  </si>
  <si>
    <t>Output_1_193</t>
  </si>
  <si>
    <t>16/09/2020 (4) 11:12:40.53</t>
  </si>
  <si>
    <t>DV_F2005-275_L_66</t>
  </si>
  <si>
    <t>Output_1_194</t>
  </si>
  <si>
    <t>16/09/2020 (4) 11:13:19.15</t>
  </si>
  <si>
    <t>DV_F2005-275_L_67</t>
  </si>
  <si>
    <t>Output_1_195</t>
  </si>
  <si>
    <t>16/09/2020 (4) 11:14:06.56</t>
  </si>
  <si>
    <t>Ples-44</t>
  </si>
  <si>
    <t>Output_1_196</t>
  </si>
  <si>
    <t>16/09/2020 (4) 11:14:45.89</t>
  </si>
  <si>
    <t>AusZ-15</t>
  </si>
  <si>
    <t>Output_1_197</t>
  </si>
  <si>
    <t>16/09/2020 (4) 11:15:33.71</t>
  </si>
  <si>
    <t>DV_F2005-275_L_68</t>
  </si>
  <si>
    <t>Output_1_198</t>
  </si>
  <si>
    <t>16/09/2020 (4) 11:16:12.96</t>
  </si>
  <si>
    <t>DV_F2005-275_L_69</t>
  </si>
  <si>
    <t>Output_1_199</t>
  </si>
  <si>
    <t>16/09/2020 (4) 11:16:51.90</t>
  </si>
  <si>
    <t>DV_F2005-275_L_70</t>
  </si>
  <si>
    <t>Output_1_200</t>
  </si>
  <si>
    <t>16/09/2020 (4) 11:17:30.81</t>
  </si>
  <si>
    <t>DV_F2005-275_L_71</t>
  </si>
  <si>
    <t>Output_1_201</t>
  </si>
  <si>
    <t>16/09/2020 (4) 11:18:09.75</t>
  </si>
  <si>
    <t>DV_F2005-275_L_72</t>
  </si>
  <si>
    <t>Output_1_202</t>
  </si>
  <si>
    <t>16/09/2020 (4) 11:18:48.34</t>
  </si>
  <si>
    <t>DV_F2005-275_L_73</t>
  </si>
  <si>
    <t>Output_1_203</t>
  </si>
  <si>
    <t>16/09/2020 (4) 11:19:27.16</t>
  </si>
  <si>
    <t>DV_F2005-275_L_74</t>
  </si>
  <si>
    <t>Output_1_204</t>
  </si>
  <si>
    <t>16/09/2020 (4) 11:20:06.55</t>
  </si>
  <si>
    <t>DV_F2005-275_L_75</t>
  </si>
  <si>
    <t>Output_1_205</t>
  </si>
  <si>
    <t>16/09/2020 (4) 11:20:45.69</t>
  </si>
  <si>
    <t>DV_F2005-275_L_76</t>
  </si>
  <si>
    <t>Output_1_206</t>
  </si>
  <si>
    <t>16/09/2020 (4) 11:21:24.71</t>
  </si>
  <si>
    <t>DV_F2005-275_L_77</t>
  </si>
  <si>
    <t>Output_1_207</t>
  </si>
  <si>
    <t>16/09/2020 (4) 11:22:12.44</t>
  </si>
  <si>
    <t>91500-45</t>
  </si>
  <si>
    <t>Output_1_208</t>
  </si>
  <si>
    <t>16/09/2020 (4) 11:22:52.08</t>
  </si>
  <si>
    <t>FC-15</t>
  </si>
  <si>
    <t>Output_1_209</t>
  </si>
  <si>
    <t>16/09/2020 (4) 11:23:39.27</t>
  </si>
  <si>
    <t>DV_F2005-275_L_78</t>
  </si>
  <si>
    <t>Output_1_210</t>
  </si>
  <si>
    <t>16/09/2020 (4) 11:24:18.20</t>
  </si>
  <si>
    <t>DV_F2005-275_L_79</t>
  </si>
  <si>
    <t>Output_1_211</t>
  </si>
  <si>
    <t>16/09/2020 (4) 11:24:58.68</t>
  </si>
  <si>
    <t>DV_F2005-275_L_80</t>
  </si>
  <si>
    <t>Output_1_212</t>
  </si>
  <si>
    <t>16/09/2020 (4) 11:25:37.72</t>
  </si>
  <si>
    <t>DV_F2005-275_L_81</t>
  </si>
  <si>
    <t>Output_1_213</t>
  </si>
  <si>
    <t>16/09/2020 (4) 11:26:16.69</t>
  </si>
  <si>
    <t>DV_F2005-275_L_82</t>
  </si>
  <si>
    <t>Output_1_214</t>
  </si>
  <si>
    <t>16/09/2020 (4) 11:26:55.44</t>
  </si>
  <si>
    <t>DV_F2005-275_L_83</t>
  </si>
  <si>
    <t>Output_1_215</t>
  </si>
  <si>
    <t>16/09/2020 (4) 11:27:34.12</t>
  </si>
  <si>
    <t>DV_F2005-275_L_84</t>
  </si>
  <si>
    <t>Output_1_216</t>
  </si>
  <si>
    <t>16/09/2020 (4) 11:28:12.86</t>
  </si>
  <si>
    <t>DV_F2005-275_L_85</t>
  </si>
  <si>
    <t>Output_1_217</t>
  </si>
  <si>
    <t>16/09/2020 (4) 11:28:51.76</t>
  </si>
  <si>
    <t>DV_F2005-275_L_86</t>
  </si>
  <si>
    <t>Output_1_218</t>
  </si>
  <si>
    <t>16/09/2020 (4) 11:29:31.10</t>
  </si>
  <si>
    <t>DV_F2005-275_L_87</t>
  </si>
  <si>
    <t>Output_1_219</t>
  </si>
  <si>
    <t>16/09/2020 (4) 11:30:19.26</t>
  </si>
  <si>
    <t>Ples-45</t>
  </si>
  <si>
    <t>Output_1_220</t>
  </si>
  <si>
    <t>16/09/2020 (4) 11:30:59.68</t>
  </si>
  <si>
    <t>OG-15</t>
  </si>
  <si>
    <t>Output_1_221</t>
  </si>
  <si>
    <t>16/09/2020 (4) 11:31:47.01</t>
  </si>
  <si>
    <t>DV_F2005-275_L_88</t>
  </si>
  <si>
    <t>Output_1_222</t>
  </si>
  <si>
    <t>16/09/2020 (4) 11:32:26.20</t>
  </si>
  <si>
    <t>DV_F2005-275_L_89</t>
  </si>
  <si>
    <t>Output_1_223</t>
  </si>
  <si>
    <t>16/09/2020 (4) 11:33:05.11</t>
  </si>
  <si>
    <t>DV_F2005-275_L_90</t>
  </si>
  <si>
    <t>Output_1_224</t>
  </si>
  <si>
    <t>16/09/2020 (4) 11:33:43.89</t>
  </si>
  <si>
    <t>DV_F2005-275_L_91</t>
  </si>
  <si>
    <t>Output_1_225</t>
  </si>
  <si>
    <t>16/09/2020 (4) 11:34:23.18</t>
  </si>
  <si>
    <t>DV_F2005-275_L_92</t>
  </si>
  <si>
    <t>Output_1_226</t>
  </si>
  <si>
    <t>16/09/2020 (4) 11:35:02.03</t>
  </si>
  <si>
    <t>DV_F2005-275_L_93</t>
  </si>
  <si>
    <t>Output_1_227</t>
  </si>
  <si>
    <t>16/09/2020 (4) 11:35:41.06</t>
  </si>
  <si>
    <t>DV_F2005-275_L_94</t>
  </si>
  <si>
    <t>Output_1_228</t>
  </si>
  <si>
    <t>16/09/2020 (4) 11:36:20.02</t>
  </si>
  <si>
    <t>DV_F2005-275_L_95</t>
  </si>
  <si>
    <t>Output_1_229</t>
  </si>
  <si>
    <t>16/09/2020 (4) 11:36:59.36</t>
  </si>
  <si>
    <t>DV_F2005-275_L_96</t>
  </si>
  <si>
    <t>Output_1_230</t>
  </si>
  <si>
    <t>16/09/2020 (4) 11:37:38.26</t>
  </si>
  <si>
    <t>DV_F2005-275_L_97</t>
  </si>
  <si>
    <t>Output_1_231</t>
  </si>
  <si>
    <t>16/09/2020 (4) 11:38:25.52</t>
  </si>
  <si>
    <t>91500-46</t>
  </si>
  <si>
    <t>Output_1_232</t>
  </si>
  <si>
    <t>16/09/2020 (4) 11:39:04.77</t>
  </si>
  <si>
    <t>9435-16</t>
  </si>
  <si>
    <t>Output_1_233</t>
  </si>
  <si>
    <t>16/09/2020 (4) 11:39:52.03</t>
  </si>
  <si>
    <t>DV_F2005-275_L_98</t>
  </si>
  <si>
    <t>Output_1_234</t>
  </si>
  <si>
    <t>16/09/2020 (4) 11:40:30.83</t>
  </si>
  <si>
    <t>DV_F2005-275_L_99</t>
  </si>
  <si>
    <t>Output_1_235</t>
  </si>
  <si>
    <t>16/09/2020 (4) 11:41:09.66</t>
  </si>
  <si>
    <t>DV_F2005-275_L_100</t>
  </si>
  <si>
    <t>Output_1_236</t>
  </si>
  <si>
    <t>16/09/2020 (4) 11:41:49.14</t>
  </si>
  <si>
    <t>DV_F2005-275_L_101</t>
  </si>
  <si>
    <t>Output_1_237</t>
  </si>
  <si>
    <t>16/09/2020 (4) 11:42:28.26</t>
  </si>
  <si>
    <t>DV_F2005-275_L_102</t>
  </si>
  <si>
    <t>Output_1_238</t>
  </si>
  <si>
    <t>16/09/2020 (4) 11:43:07.21</t>
  </si>
  <si>
    <t>DV_F2005-275_L_103</t>
  </si>
  <si>
    <t>Output_1_239</t>
  </si>
  <si>
    <t>16/09/2020 (4) 11:43:46.29</t>
  </si>
  <si>
    <t>DV_F2005-275_L_104</t>
  </si>
  <si>
    <t>Output_1_240</t>
  </si>
  <si>
    <t>16/09/2020 (4) 11:44:25.29</t>
  </si>
  <si>
    <t>DV_F2005-275_L_105</t>
  </si>
  <si>
    <t>Output_1_241</t>
  </si>
  <si>
    <t>16/09/2020 (4) 11:45:04.64</t>
  </si>
  <si>
    <t>DV_F2005-275_L_106</t>
  </si>
  <si>
    <t>Output_1_242</t>
  </si>
  <si>
    <t>16/09/2020 (4) 11:45:46.60</t>
  </si>
  <si>
    <t>DV_F2020-2_L_1</t>
  </si>
  <si>
    <t>Output_1_243</t>
  </si>
  <si>
    <t>16/09/2020 (4) 11:46:33.46</t>
  </si>
  <si>
    <t>Ples-46</t>
  </si>
  <si>
    <t>Output_1_244</t>
  </si>
  <si>
    <t>16/09/2020 (4) 11:47:12.82</t>
  </si>
  <si>
    <t>GJ1-16</t>
  </si>
  <si>
    <t>Output_1_245</t>
  </si>
  <si>
    <t>16/09/2020 (4) 11:47:59.80</t>
  </si>
  <si>
    <t>DV_F2020-2_L_2</t>
  </si>
  <si>
    <t>Output_1_246</t>
  </si>
  <si>
    <t>16/09/2020 (4) 11:48:39.61</t>
  </si>
  <si>
    <t>DV_F2020-2_L_3</t>
  </si>
  <si>
    <t>Output_1_247</t>
  </si>
  <si>
    <t>16/09/2020 (4) 11:49:18.43</t>
  </si>
  <si>
    <t>DV_F2020-2_L_4</t>
  </si>
  <si>
    <t>Output_1_248</t>
  </si>
  <si>
    <t>16/09/2020 (4) 11:49:57.66</t>
  </si>
  <si>
    <t>DV_F2020-2_L_5</t>
  </si>
  <si>
    <t>Output_1_249</t>
  </si>
  <si>
    <t>16/09/2020 (4) 11:50:36.59</t>
  </si>
  <si>
    <t>DV_F2020-2_L_6</t>
  </si>
  <si>
    <t>Output_1_250</t>
  </si>
  <si>
    <t>16/09/2020 (4) 11:51:15.52</t>
  </si>
  <si>
    <t>DV_F2020-2_L_7</t>
  </si>
  <si>
    <t>Output_1_251</t>
  </si>
  <si>
    <t>16/09/2020 (4) 11:51:54.73</t>
  </si>
  <si>
    <t>DV_F2020-2_L_8</t>
  </si>
  <si>
    <t>Output_1_252</t>
  </si>
  <si>
    <t>16/09/2020 (4) 11:52:37.49</t>
  </si>
  <si>
    <t>DV_F2020-2_L_9</t>
  </si>
  <si>
    <t>Output_1_253</t>
  </si>
  <si>
    <t>16/09/2020 (4) 11:53:13.23</t>
  </si>
  <si>
    <t>DV_F2020-2_L_10</t>
  </si>
  <si>
    <t>Output_1_254</t>
  </si>
  <si>
    <t>16/09/2020 (4) 11:53:52.70</t>
  </si>
  <si>
    <t>DV_F2020-2_L_11</t>
  </si>
  <si>
    <t>Output_1_255</t>
  </si>
  <si>
    <t>16/09/2020 (4) 11:54:39.33</t>
  </si>
  <si>
    <t>91500-47</t>
  </si>
  <si>
    <t>Output_1_256</t>
  </si>
  <si>
    <t>16/09/2020 (4) 11:55:19.17</t>
  </si>
  <si>
    <t>R33-16</t>
  </si>
  <si>
    <t>Output_1_257</t>
  </si>
  <si>
    <t>16/09/2020 (4) 11:56:04.73</t>
  </si>
  <si>
    <t>DV_F2020-2_L_12</t>
  </si>
  <si>
    <t>Output_1_258</t>
  </si>
  <si>
    <t>16/09/2020 (4) 11:56:44.07</t>
  </si>
  <si>
    <t>DV_F2020-2_L_13</t>
  </si>
  <si>
    <t>Output_1_259</t>
  </si>
  <si>
    <t>16/09/2020 (4) 11:57:22.86</t>
  </si>
  <si>
    <t>DV_F2020-2_L_14</t>
  </si>
  <si>
    <t>Output_1_260</t>
  </si>
  <si>
    <t>16/09/2020 (4) 11:58:02.41</t>
  </si>
  <si>
    <t>DV_F2020-2_L_15</t>
  </si>
  <si>
    <t>Output_1_261</t>
  </si>
  <si>
    <t>16/09/2020 (4) 11:58:41.74</t>
  </si>
  <si>
    <t>DV_F2020-2_L_16</t>
  </si>
  <si>
    <t>Output_1_262</t>
  </si>
  <si>
    <t>16/09/2020 (4) 11:59:20.73</t>
  </si>
  <si>
    <t>DV_F2020-2_L_17</t>
  </si>
  <si>
    <t>Output_1_263</t>
  </si>
  <si>
    <t>16/09/2020 (4) 12:00:00.25</t>
  </si>
  <si>
    <t>DV_F2020-2_L_18</t>
  </si>
  <si>
    <t>Output_1_264</t>
  </si>
  <si>
    <t>16/09/2020 (4) 12:00:39.57</t>
  </si>
  <si>
    <t>DV_F2020-2_L_19</t>
  </si>
  <si>
    <t>Output_1_265</t>
  </si>
  <si>
    <t>16/09/2020 (4) 12:01:19.90</t>
  </si>
  <si>
    <t>DV_F2020-2_L_20</t>
  </si>
  <si>
    <t>Output_1_266</t>
  </si>
  <si>
    <t>16/09/2020 (4) 12:01:59.23</t>
  </si>
  <si>
    <t>DV_F2020-2_L_21</t>
  </si>
  <si>
    <t>Output_1_267</t>
  </si>
  <si>
    <t>16/09/2020 (4) 12:02:45.98</t>
  </si>
  <si>
    <t>Ples-47</t>
  </si>
  <si>
    <t>Output_1_268</t>
  </si>
  <si>
    <t>16/09/2020 (4) 12:03:25.04</t>
  </si>
  <si>
    <t>AusZ-16</t>
  </si>
  <si>
    <t>Output_1_269</t>
  </si>
  <si>
    <t>16/09/2020 (4) 12:04:12.09</t>
  </si>
  <si>
    <t>DV_F2020-2_L_22</t>
  </si>
  <si>
    <t>Output_1_270</t>
  </si>
  <si>
    <t>16/09/2020 (4) 12:04:51.23</t>
  </si>
  <si>
    <t>DV_F2020-2_L_23</t>
  </si>
  <si>
    <t>Output_1_271</t>
  </si>
  <si>
    <t>16/09/2020 (4) 12:05:30.46</t>
  </si>
  <si>
    <t>DV_F2020-2_L_24</t>
  </si>
  <si>
    <t>Output_1_272</t>
  </si>
  <si>
    <t>16/09/2020 (4) 12:06:09.37</t>
  </si>
  <si>
    <t>DV_F2020-2_L_25</t>
  </si>
  <si>
    <t>Output_1_273</t>
  </si>
  <si>
    <t>16/09/2020 (4) 12:06:48.35</t>
  </si>
  <si>
    <t>DV_F2020-2_L_26</t>
  </si>
  <si>
    <t>Output_1_274</t>
  </si>
  <si>
    <t>16/09/2020 (4) 12:07:27.16</t>
  </si>
  <si>
    <t>DV_F2020-2_L_27</t>
  </si>
  <si>
    <t>Output_1_275</t>
  </si>
  <si>
    <t>16/09/2020 (4) 12:08:06.01</t>
  </si>
  <si>
    <t>DV_F2020-2_L_28</t>
  </si>
  <si>
    <t>Output_1_276</t>
  </si>
  <si>
    <t>16/09/2020 (4) 12:08:45.67</t>
  </si>
  <si>
    <t>DV_F2020-2_L_29</t>
  </si>
  <si>
    <t>Output_1_277</t>
  </si>
  <si>
    <t>16/09/2020 (4) 12:09:25.02</t>
  </si>
  <si>
    <t>DV_F2020-2_L_30</t>
  </si>
  <si>
    <t>Output_1_278</t>
  </si>
  <si>
    <t>16/09/2020 (4) 12:10:04.36</t>
  </si>
  <si>
    <t>DV_F2020-2_L_31</t>
  </si>
  <si>
    <t>Output_1_279</t>
  </si>
  <si>
    <t>16/09/2020 (4) 12:10:50.69</t>
  </si>
  <si>
    <t>91500-48</t>
  </si>
  <si>
    <t>Output_1_280</t>
  </si>
  <si>
    <t>16/09/2020 (4) 12:11:30.20</t>
  </si>
  <si>
    <t>FC-16</t>
  </si>
  <si>
    <t>Output_1_281</t>
  </si>
  <si>
    <t>16/09/2020 (4) 12:12:15.95</t>
  </si>
  <si>
    <t>DV_F2020-2_L_32</t>
  </si>
  <si>
    <t>Output_1_282</t>
  </si>
  <si>
    <t>16/09/2020 (4) 12:12:54.77</t>
  </si>
  <si>
    <t>DV_F2020-2_L_33</t>
  </si>
  <si>
    <t>Output_1_283</t>
  </si>
  <si>
    <t>16/09/2020 (4) 12:13:34.02</t>
  </si>
  <si>
    <t>DV_F2020-2_L_34</t>
  </si>
  <si>
    <t>Output_1_284</t>
  </si>
  <si>
    <t>16/09/2020 (4) 12:14:13.17</t>
  </si>
  <si>
    <t>DV_F2020-2_L_35</t>
  </si>
  <si>
    <t>Output_1_285</t>
  </si>
  <si>
    <t>16/09/2020 (4) 12:14:52.54</t>
  </si>
  <si>
    <t>DV_F2020-2_L_36</t>
  </si>
  <si>
    <t>Output_1_286</t>
  </si>
  <si>
    <t>16/09/2020 (4) 12:15:31.59</t>
  </si>
  <si>
    <t>DV_F2020-2_L_37</t>
  </si>
  <si>
    <t>Output_1_287</t>
  </si>
  <si>
    <t>16/09/2020 (4) 12:16:10.76</t>
  </si>
  <si>
    <t>DV_F2020-2_L_38</t>
  </si>
  <si>
    <t>Output_1_288</t>
  </si>
  <si>
    <t>16/09/2020 (4) 12:16:51.17</t>
  </si>
  <si>
    <t>DV_F2020-2_L_39</t>
  </si>
  <si>
    <t>Output_1_289</t>
  </si>
  <si>
    <t>16/09/2020 (4) 12:17:30.19</t>
  </si>
  <si>
    <t>DV_F2020-2_L_40</t>
  </si>
  <si>
    <t>Output_1_290</t>
  </si>
  <si>
    <t>16/09/2020 (4) 12:18:08.93</t>
  </si>
  <si>
    <t>DV_F2020-2_L_41</t>
  </si>
  <si>
    <t>Output_1_291</t>
  </si>
  <si>
    <t>16/09/2020 (4) 12:18:55.95</t>
  </si>
  <si>
    <t>Ples-48</t>
  </si>
  <si>
    <t>Output_1_292</t>
  </si>
  <si>
    <t>16/09/2020 (4) 12:19:36.30</t>
  </si>
  <si>
    <t>OG-16</t>
  </si>
  <si>
    <t>Output_1_293</t>
  </si>
  <si>
    <t>16/09/2020 (4) 12:20:21.96</t>
  </si>
  <si>
    <t>DV_F2020-2_L_42</t>
  </si>
  <si>
    <t>Output_1_294</t>
  </si>
  <si>
    <t>16/09/2020 (4) 12:21:01.08</t>
  </si>
  <si>
    <t>DV_F2020-2_L_43</t>
  </si>
  <si>
    <t>Output_1_295</t>
  </si>
  <si>
    <t>16/09/2020 (4) 12:21:39.95</t>
  </si>
  <si>
    <t>DV_F2020-2_L_44</t>
  </si>
  <si>
    <t>Output_1_296</t>
  </si>
  <si>
    <t>16/09/2020 (4) 12:22:19.20</t>
  </si>
  <si>
    <t>DV_F2020-2_L_45</t>
  </si>
  <si>
    <t>Output_1_297</t>
  </si>
  <si>
    <t>16/09/2020 (4) 12:22:58.03</t>
  </si>
  <si>
    <t>DV_F2020-2_L_46</t>
  </si>
  <si>
    <t>Output_1_298</t>
  </si>
  <si>
    <t>16/09/2020 (4) 12:23:37.17</t>
  </si>
  <si>
    <t>DV_F2020-2_L_47</t>
  </si>
  <si>
    <t>Output_1_299</t>
  </si>
  <si>
    <t>16/09/2020 (4) 12:24:15.99</t>
  </si>
  <si>
    <t>DV_F2020-2_L_48</t>
  </si>
  <si>
    <t>Output_1_300</t>
  </si>
  <si>
    <t>16/09/2020 (4) 12:24:54.92</t>
  </si>
  <si>
    <t>DV_F2020-2_L_49</t>
  </si>
  <si>
    <t>Output_1_301</t>
  </si>
  <si>
    <t>16/09/2020 (4) 12:25:33.89</t>
  </si>
  <si>
    <t>DV_F2020-2_L_50</t>
  </si>
  <si>
    <t>Output_1_302</t>
  </si>
  <si>
    <t>16/09/2020 (4) 12:26:12.79</t>
  </si>
  <si>
    <t>DV_F2020-2_L_51</t>
  </si>
  <si>
    <t>Output_1_303</t>
  </si>
  <si>
    <t>16/09/2020 (4) 12:26:59.01</t>
  </si>
  <si>
    <t>91500-49</t>
  </si>
  <si>
    <t>Output_1_304</t>
  </si>
  <si>
    <t>16/09/2020 (4) 12:27:38.22</t>
  </si>
  <si>
    <t>9435-17</t>
  </si>
  <si>
    <t>Output_1_305</t>
  </si>
  <si>
    <t>16/09/2020 (4) 12:28:24.39</t>
  </si>
  <si>
    <t>DV_F2020-2_L_52</t>
  </si>
  <si>
    <t>Output_1_306</t>
  </si>
  <si>
    <t>16/09/2020 (4) 12:29:03.60</t>
  </si>
  <si>
    <t>DV_F2020-2_L_53</t>
  </si>
  <si>
    <t>Output_1_307</t>
  </si>
  <si>
    <t>16/09/2020 (4) 12:29:43.04</t>
  </si>
  <si>
    <t>DV_F2020-2_L_54</t>
  </si>
  <si>
    <t>Output_1_308</t>
  </si>
  <si>
    <t>16/09/2020 (4) 12:30:22.39</t>
  </si>
  <si>
    <t>DV_F2020-2_L_55</t>
  </si>
  <si>
    <t>Output_1_309</t>
  </si>
  <si>
    <t>16/09/2020 (4) 12:31:01.81</t>
  </si>
  <si>
    <t>DV_F2020-2_L_56</t>
  </si>
  <si>
    <t>Output_1_310</t>
  </si>
  <si>
    <t>16/09/2020 (4) 12:31:40.80</t>
  </si>
  <si>
    <t>DV_F2020-2_L_57</t>
  </si>
  <si>
    <t>Output_1_311</t>
  </si>
  <si>
    <t>16/09/2020 (4) 12:32:19.66</t>
  </si>
  <si>
    <t>DV_F2020-2_L_58</t>
  </si>
  <si>
    <t>Output_1_312</t>
  </si>
  <si>
    <t>16/09/2020 (4) 12:32:58.38</t>
  </si>
  <si>
    <t>DV_F2020-2_L_59</t>
  </si>
  <si>
    <t>Output_1_313</t>
  </si>
  <si>
    <t>16/09/2020 (4) 12:33:37.33</t>
  </si>
  <si>
    <t>DV_F2020-2_L_60</t>
  </si>
  <si>
    <t>Output_1_314</t>
  </si>
  <si>
    <t>16/09/2020 (4) 12:34:16.21</t>
  </si>
  <si>
    <t>DV_F2020-2_L_61</t>
  </si>
  <si>
    <t>Output_1_315</t>
  </si>
  <si>
    <t>16/09/2020 (4) 12:35:02.87</t>
  </si>
  <si>
    <t>Ples-49</t>
  </si>
  <si>
    <t>Output_1_316</t>
  </si>
  <si>
    <t>16/09/2020 (4) 12:35:42.32</t>
  </si>
  <si>
    <t>GJ1-17</t>
  </si>
  <si>
    <t>Output_1_317</t>
  </si>
  <si>
    <t>16/09/2020 (4) 12:36:28.47</t>
  </si>
  <si>
    <t>DV_F2020-2_L_62</t>
  </si>
  <si>
    <t>Output_1_318</t>
  </si>
  <si>
    <t>16/09/2020 (4) 12:37:07.80</t>
  </si>
  <si>
    <t>DV_F2020-2_L_63</t>
  </si>
  <si>
    <t>Output_1_319</t>
  </si>
  <si>
    <t>16/09/2020 (4) 12:37:46.65</t>
  </si>
  <si>
    <t>DV_F2020-2_L_64</t>
  </si>
  <si>
    <t>Output_1_320</t>
  </si>
  <si>
    <t>16/09/2020 (4) 12:38:25.52</t>
  </si>
  <si>
    <t>DV_F2020-2_L_65</t>
  </si>
  <si>
    <t>Output_1_321</t>
  </si>
  <si>
    <t>16/09/2020 (4) 12:39:04.83</t>
  </si>
  <si>
    <t>DV_F2020-2_L_66</t>
  </si>
  <si>
    <t>Output_1_322</t>
  </si>
  <si>
    <t>16/09/2020 (4) 12:39:43.70</t>
  </si>
  <si>
    <t>DV_F2020-2_L_67</t>
  </si>
  <si>
    <t>Output_1_323</t>
  </si>
  <si>
    <t>16/09/2020 (4) 12:40:22.42</t>
  </si>
  <si>
    <t>DV_F2020-2_L_68</t>
  </si>
  <si>
    <t>Output_1_324</t>
  </si>
  <si>
    <t>16/09/2020 (4) 12:41:01.10</t>
  </si>
  <si>
    <t>DV_F2020-2_L_69</t>
  </si>
  <si>
    <t>Output_1_325</t>
  </si>
  <si>
    <t>16/09/2020 (4) 12:41:40.38</t>
  </si>
  <si>
    <t>DV_F2020-2_L_70</t>
  </si>
  <si>
    <t>Output_1_326</t>
  </si>
  <si>
    <t>16/09/2020 (4) 12:42:20.33</t>
  </si>
  <si>
    <t>DV_F2002-204.9_L_1</t>
  </si>
  <si>
    <t>Output_1_327</t>
  </si>
  <si>
    <t>16/09/2020 (4) 12:43:07.82</t>
  </si>
  <si>
    <t>91500-50</t>
  </si>
  <si>
    <t>Output_1_328</t>
  </si>
  <si>
    <t>16/09/2020 (4) 12:43:47.56</t>
  </si>
  <si>
    <t>R33-17</t>
  </si>
  <si>
    <t>Output_1_329</t>
  </si>
  <si>
    <t>16/09/2020 (4) 12:44:33.54</t>
  </si>
  <si>
    <t>DV_F2002-204.9_L_2</t>
  </si>
  <si>
    <t>Output_1_330</t>
  </si>
  <si>
    <t>16/09/2020 (4) 12:45:12.47</t>
  </si>
  <si>
    <t>DV_F2002-204.9_L_3</t>
  </si>
  <si>
    <t>Output_1_331</t>
  </si>
  <si>
    <t>16/09/2020 (4) 12:45:51.26</t>
  </si>
  <si>
    <t>DV_F2002-204.9_L_4</t>
  </si>
  <si>
    <t>Output_1_332</t>
  </si>
  <si>
    <t>16/09/2020 (4) 12:46:30.14</t>
  </si>
  <si>
    <t>DV_F2002-204.9_L_5</t>
  </si>
  <si>
    <t>Output_1_333</t>
  </si>
  <si>
    <t>16/09/2020 (4) 12:47:09.39</t>
  </si>
  <si>
    <t>DV_F2002-204.9_L_6</t>
  </si>
  <si>
    <t>Output_1_334</t>
  </si>
  <si>
    <t>16/09/2020 (4) 12:47:48.31</t>
  </si>
  <si>
    <t>DV_F2002-204.9_L_7</t>
  </si>
  <si>
    <t>Output_1_335</t>
  </si>
  <si>
    <t>16/09/2020 (4) 12:48:27.41</t>
  </si>
  <si>
    <t>DV_F2002-204.9_L_8</t>
  </si>
  <si>
    <t>Output_1_336</t>
  </si>
  <si>
    <t>16/09/2020 (4) 12:49:06.42</t>
  </si>
  <si>
    <t>DV_F2002-204.9_L_9</t>
  </si>
  <si>
    <t>Output_1_337</t>
  </si>
  <si>
    <t>16/09/2020 (4) 12:49:45.60</t>
  </si>
  <si>
    <t>DV_F2002-204.9_L_10</t>
  </si>
  <si>
    <t>Output_1_338</t>
  </si>
  <si>
    <t>16/09/2020 (4) 12:50:24.75</t>
  </si>
  <si>
    <t>DV_F2002-204.9_L_11</t>
  </si>
  <si>
    <t>Output_1_339</t>
  </si>
  <si>
    <t>16/09/2020 (4) 12:51:12.09</t>
  </si>
  <si>
    <t>Ples-50</t>
  </si>
  <si>
    <t>Output_1_340</t>
  </si>
  <si>
    <t>16/09/2020 (4) 12:51:51.25</t>
  </si>
  <si>
    <t>AusZ-17</t>
  </si>
  <si>
    <t>Output_1_341</t>
  </si>
  <si>
    <t>16/09/2020 (4) 12:52:38.65</t>
  </si>
  <si>
    <t>DV_F2002-204.9_L_12</t>
  </si>
  <si>
    <t>Output_1_342</t>
  </si>
  <si>
    <t>16/09/2020 (4) 12:53:17.43</t>
  </si>
  <si>
    <t>DV_F2002-204.9_L_13</t>
  </si>
  <si>
    <t>Output_1_343</t>
  </si>
  <si>
    <t>16/09/2020 (4) 12:53:56.32</t>
  </si>
  <si>
    <t>DV_F2002-204.9_L_14</t>
  </si>
  <si>
    <t>Output_1_344</t>
  </si>
  <si>
    <t>16/09/2020 (4) 12:54:35.55</t>
  </si>
  <si>
    <t>DV_F2002-204.9_L_15</t>
  </si>
  <si>
    <t>Output_1_345</t>
  </si>
  <si>
    <t>16/09/2020 (4) 12:55:14.56</t>
  </si>
  <si>
    <t>DV_F2002-204.9_L_16</t>
  </si>
  <si>
    <t>Output_1_346</t>
  </si>
  <si>
    <t>16/09/2020 (4) 12:55:53.27</t>
  </si>
  <si>
    <t>DV_F2002-204.9_L_17</t>
  </si>
  <si>
    <t>Output_1_347</t>
  </si>
  <si>
    <t>16/09/2020 (4) 12:56:32.28</t>
  </si>
  <si>
    <t>DV_F2002-204.9_L_18</t>
  </si>
  <si>
    <t>Output_1_348</t>
  </si>
  <si>
    <t>16/09/2020 (4) 12:57:11.16</t>
  </si>
  <si>
    <t>DV_F2002-204.9_L_19</t>
  </si>
  <si>
    <t>Output_1_349</t>
  </si>
  <si>
    <t>16/09/2020 (4) 12:57:49.95</t>
  </si>
  <si>
    <t>DV_F2002-204.9_L_20</t>
  </si>
  <si>
    <t>Output_1_350</t>
  </si>
  <si>
    <t>16/09/2020 (4) 12:58:28.71</t>
  </si>
  <si>
    <t>DV_F2002-204.9_L_21</t>
  </si>
  <si>
    <t>Output_1_351</t>
  </si>
  <si>
    <t>16/09/2020 (4) 12:59:15.81</t>
  </si>
  <si>
    <t>91500-51</t>
  </si>
  <si>
    <t>Output_1_352</t>
  </si>
  <si>
    <t>16/09/2020 (4) 12:59:55.77</t>
  </si>
  <si>
    <t>FC-17</t>
  </si>
  <si>
    <r>
      <t>207</t>
    </r>
    <r>
      <rPr>
        <sz val="11"/>
        <color theme="1"/>
        <rFont val="Calibri"/>
        <family val="2"/>
        <scheme val="minor"/>
      </rPr>
      <t>Pb/</t>
    </r>
    <r>
      <rPr>
        <vertAlign val="superscript"/>
        <sz val="11"/>
        <color theme="1"/>
        <rFont val="Calibri"/>
        <family val="2"/>
        <scheme val="minor"/>
      </rPr>
      <t>235</t>
    </r>
    <r>
      <rPr>
        <sz val="11"/>
        <color theme="1"/>
        <rFont val="Calibri"/>
        <family val="2"/>
        <scheme val="minor"/>
      </rPr>
      <t>U</t>
    </r>
  </si>
  <si>
    <r>
      <t>206</t>
    </r>
    <r>
      <rPr>
        <sz val="11"/>
        <color theme="1"/>
        <rFont val="Calibri"/>
        <family val="2"/>
        <scheme val="minor"/>
      </rPr>
      <t>Pb/</t>
    </r>
    <r>
      <rPr>
        <vertAlign val="superscript"/>
        <sz val="11"/>
        <color theme="1"/>
        <rFont val="Calibri"/>
        <family val="2"/>
        <scheme val="minor"/>
      </rPr>
      <t>238</t>
    </r>
    <r>
      <rPr>
        <sz val="11"/>
        <color theme="1"/>
        <rFont val="Calibri"/>
        <family val="2"/>
        <scheme val="minor"/>
      </rPr>
      <t>U</t>
    </r>
  </si>
  <si>
    <r>
      <t>238</t>
    </r>
    <r>
      <rPr>
        <sz val="11"/>
        <color theme="1"/>
        <rFont val="Calibri"/>
        <family val="2"/>
        <scheme val="minor"/>
      </rPr>
      <t>U/</t>
    </r>
    <r>
      <rPr>
        <vertAlign val="superscript"/>
        <sz val="11"/>
        <color theme="1"/>
        <rFont val="Calibri"/>
        <family val="2"/>
        <scheme val="minor"/>
      </rPr>
      <t>206</t>
    </r>
    <r>
      <rPr>
        <sz val="11"/>
        <color theme="1"/>
        <rFont val="Calibri"/>
        <family val="2"/>
        <scheme val="minor"/>
      </rPr>
      <t>Pb</t>
    </r>
  </si>
  <si>
    <r>
      <t>207</t>
    </r>
    <r>
      <rPr>
        <sz val="11"/>
        <color theme="1"/>
        <rFont val="Calibri"/>
        <family val="2"/>
        <scheme val="minor"/>
      </rPr>
      <t>Pb/</t>
    </r>
    <r>
      <rPr>
        <vertAlign val="superscript"/>
        <sz val="11"/>
        <color theme="1"/>
        <rFont val="Calibri"/>
        <family val="2"/>
        <scheme val="minor"/>
      </rPr>
      <t>206</t>
    </r>
    <r>
      <rPr>
        <sz val="11"/>
        <color theme="1"/>
        <rFont val="Calibri"/>
        <family val="2"/>
        <scheme val="minor"/>
      </rPr>
      <t>Pb</t>
    </r>
  </si>
  <si>
    <t>Best Age</t>
  </si>
  <si>
    <t>2s</t>
  </si>
  <si>
    <t>Concordance</t>
  </si>
  <si>
    <t>U ppm</t>
  </si>
  <si>
    <t>Th ppm</t>
  </si>
  <si>
    <r>
      <t>208</t>
    </r>
    <r>
      <rPr>
        <sz val="11"/>
        <color theme="1"/>
        <rFont val="Calibri"/>
        <family val="2"/>
        <scheme val="minor"/>
      </rPr>
      <t>Pb/</t>
    </r>
    <r>
      <rPr>
        <vertAlign val="superscript"/>
        <sz val="11"/>
        <color theme="1"/>
        <rFont val="Calibri"/>
        <family val="2"/>
        <scheme val="minor"/>
      </rPr>
      <t>232</t>
    </r>
    <r>
      <rPr>
        <sz val="11"/>
        <color theme="1"/>
        <rFont val="Calibri"/>
        <family val="2"/>
        <scheme val="minor"/>
      </rPr>
      <t>Th</t>
    </r>
  </si>
  <si>
    <r>
      <t>206</t>
    </r>
    <r>
      <rPr>
        <sz val="11"/>
        <color theme="1"/>
        <rFont val="Calibri"/>
        <family val="2"/>
        <scheme val="minor"/>
      </rPr>
      <t>Pb/</t>
    </r>
    <r>
      <rPr>
        <vertAlign val="superscript"/>
        <sz val="11"/>
        <color theme="1"/>
        <rFont val="Calibri"/>
        <family val="2"/>
        <scheme val="minor"/>
      </rPr>
      <t>204</t>
    </r>
    <r>
      <rPr>
        <sz val="11"/>
        <color theme="1"/>
        <rFont val="Calibri"/>
        <family val="2"/>
        <scheme val="minor"/>
      </rPr>
      <t>Pb</t>
    </r>
  </si>
  <si>
    <t>rho</t>
  </si>
  <si>
    <t xml:space="preserve"> Comment</t>
  </si>
  <si>
    <t xml:space="preserve"> X</t>
  </si>
  <si>
    <t xml:space="preserve"> Y</t>
  </si>
  <si>
    <t>t.75</t>
  </si>
  <si>
    <t>errt.75</t>
  </si>
  <si>
    <t>t.68</t>
  </si>
  <si>
    <t>errt.68</t>
  </si>
  <si>
    <t>t.76</t>
  </si>
  <si>
    <t>errt.76</t>
  </si>
  <si>
    <t>t.conc</t>
  </si>
  <si>
    <t>errt.conc</t>
  </si>
  <si>
    <t>disc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</si>
</sst>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1" fontId="0" fillId="0" borderId="0" xfId="0" applyNumberFormat="1"/>
    <xf numFmtId="1" fontId="18" fillId="0" borderId="0" xfId="0" applyNumberFormat="1" applyFont="1"/>
    <xf numFmtId="1" fontId="0" fillId="0" borderId="0" xfId="0" applyNumberFormat="1" applyFill="1"/>
    <xf numFmtId="2" fontId="19" fillId="0" borderId="0" xfId="0" applyNumberFormat="1" applyFont="1" applyFill="1"/>
    <xf numFmtId="1" fontId="19" fillId="0" borderId="0" xfId="0" applyNumberFormat="1" applyFont="1" applyFill="1"/>
    <xf numFmtId="1" fontId="0" fillId="33" borderId="0" xfId="0" applyNumberFormat="1" applyFill="1"/>
    <xf numFmtId="2" fontId="0" fillId="35" borderId="0" xfId="0" applyNumberFormat="1" applyFill="1"/>
    <xf numFmtId="2" fontId="0" fillId="34" borderId="0" xfId="0" applyNumberFormat="1" applyFill="1"/>
    <xf numFmtId="164" fontId="0" fillId="34" borderId="0" xfId="0" applyNumberFormat="1" applyFill="1"/>
    <xf numFmtId="164" fontId="0" fillId="35" borderId="0" xfId="0" applyNumberFormat="1" applyFill="1"/>
    <xf numFmtId="164" fontId="0" fillId="36" borderId="0" xfId="0" applyNumberFormat="1" applyFill="1"/>
    <xf numFmtId="164" fontId="18" fillId="35" borderId="0" xfId="0" applyNumberFormat="1" applyFon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2" fontId="18" fillId="35" borderId="0" xfId="0" applyNumberFormat="1" applyFont="1" applyFill="1" applyAlignment="1">
      <alignment horizontal="center"/>
    </xf>
    <xf numFmtId="2" fontId="0" fillId="35" borderId="0" xfId="0" applyNumberFormat="1" applyFill="1" applyAlignment="1">
      <alignment horizontal="center"/>
    </xf>
    <xf numFmtId="2" fontId="18" fillId="34" borderId="0" xfId="0" applyNumberFormat="1" applyFont="1" applyFill="1" applyAlignment="1">
      <alignment horizontal="center"/>
    </xf>
    <xf numFmtId="2" fontId="0" fillId="34" borderId="0" xfId="0" applyNumberFormat="1" applyFill="1" applyAlignment="1">
      <alignment horizontal="center"/>
    </xf>
    <xf numFmtId="164" fontId="18" fillId="34" borderId="0" xfId="0" applyNumberFormat="1" applyFont="1" applyFill="1" applyAlignment="1">
      <alignment horizontal="center"/>
    </xf>
    <xf numFmtId="164" fontId="0" fillId="34" borderId="0" xfId="0" applyNumberFormat="1" applyFill="1" applyAlignment="1">
      <alignment horizontal="center"/>
    </xf>
    <xf numFmtId="164" fontId="18" fillId="36" borderId="0" xfId="0" applyNumberFormat="1" applyFont="1" applyFill="1" applyAlignment="1">
      <alignment horizontal="center"/>
    </xf>
    <xf numFmtId="164" fontId="0" fillId="36" borderId="0" xfId="0" applyNumberFormat="1" applyFill="1" applyAlignment="1">
      <alignment horizontal="center"/>
    </xf>
    <xf numFmtId="1" fontId="0" fillId="33" borderId="0" xfId="0" applyNumberFormat="1" applyFill="1" applyAlignment="1">
      <alignment horizontal="center"/>
    </xf>
    <xf numFmtId="0" fontId="7" fillId="3" borderId="0" xfId="7"/>
    <xf numFmtId="1" fontId="7" fillId="3" borderId="0" xfId="7" applyNumberFormat="1"/>
    <xf numFmtId="164" fontId="7" fillId="3" borderId="0" xfId="7" applyNumberFormat="1"/>
    <xf numFmtId="2" fontId="7" fillId="3" borderId="0" xfId="7" applyNumberFormat="1"/>
    <xf numFmtId="0" fontId="2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I379"/>
  <sheetViews>
    <sheetView workbookViewId="0">
      <pane xSplit="1" ySplit="3" topLeftCell="B297" activePane="bottomRight" state="frozen"/>
      <selection pane="topRight" activeCell="B1" sqref="B1"/>
      <selection pane="bottomLeft" activeCell="A3" sqref="A3"/>
      <selection pane="bottomRight" activeCell="A233" sqref="A233:XFD302"/>
    </sheetView>
  </sheetViews>
  <sheetFormatPr baseColWidth="10" defaultColWidth="8.83203125" defaultRowHeight="15" x14ac:dyDescent="0.2"/>
  <cols>
    <col min="4" max="4" width="19.33203125" customWidth="1"/>
    <col min="7" max="7" width="19" customWidth="1"/>
    <col min="8" max="9" width="9.33203125" style="1" bestFit="1" customWidth="1"/>
    <col min="10" max="11" width="9.33203125" style="10" bestFit="1" customWidth="1"/>
    <col min="12" max="14" width="9.33203125" style="7" bestFit="1" customWidth="1"/>
    <col min="15" max="16" width="9.33203125" style="8" bestFit="1" customWidth="1"/>
    <col min="17" max="18" width="9.33203125" style="9" bestFit="1" customWidth="1"/>
    <col min="19" max="19" width="9.33203125" style="8" bestFit="1" customWidth="1"/>
    <col min="20" max="21" width="9.33203125" style="11" bestFit="1" customWidth="1"/>
    <col min="22" max="23" width="9.33203125" style="6" customWidth="1"/>
    <col min="24" max="24" width="9.33203125" style="5" customWidth="1"/>
    <col min="25" max="25" width="9.33203125" style="3" customWidth="1"/>
    <col min="26" max="59" width="9.33203125" style="1" bestFit="1" customWidth="1"/>
    <col min="60" max="61" width="9.1640625" style="1"/>
  </cols>
  <sheetData>
    <row r="1" spans="1:61" ht="17" x14ac:dyDescent="0.2">
      <c r="B1" t="s">
        <v>0</v>
      </c>
      <c r="C1" t="s">
        <v>1</v>
      </c>
      <c r="D1" t="s">
        <v>1109</v>
      </c>
      <c r="E1" t="s">
        <v>1110</v>
      </c>
      <c r="F1" t="s">
        <v>1111</v>
      </c>
      <c r="G1" t="s">
        <v>2</v>
      </c>
      <c r="H1" s="1" t="s">
        <v>1104</v>
      </c>
      <c r="I1" s="1" t="s">
        <v>1105</v>
      </c>
      <c r="J1" s="12" t="s">
        <v>1097</v>
      </c>
      <c r="K1" s="13" t="s">
        <v>1102</v>
      </c>
      <c r="L1" s="14" t="s">
        <v>1098</v>
      </c>
      <c r="M1" s="15" t="s">
        <v>1102</v>
      </c>
      <c r="N1" s="15" t="s">
        <v>1108</v>
      </c>
      <c r="O1" s="16" t="s">
        <v>1099</v>
      </c>
      <c r="P1" s="17" t="s">
        <v>1102</v>
      </c>
      <c r="Q1" s="18" t="s">
        <v>1100</v>
      </c>
      <c r="R1" s="19" t="s">
        <v>1102</v>
      </c>
      <c r="S1" s="17" t="s">
        <v>1108</v>
      </c>
      <c r="T1" s="20" t="s">
        <v>1106</v>
      </c>
      <c r="U1" s="21" t="s">
        <v>1102</v>
      </c>
      <c r="V1" s="22" t="s">
        <v>1101</v>
      </c>
      <c r="W1" s="22" t="s">
        <v>1102</v>
      </c>
      <c r="X1" s="5" t="s">
        <v>1103</v>
      </c>
      <c r="Z1" s="1" t="s">
        <v>3</v>
      </c>
      <c r="AA1" s="1" t="s">
        <v>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14</v>
      </c>
      <c r="AL1" s="1" t="s">
        <v>15</v>
      </c>
      <c r="AM1" s="1" t="s">
        <v>16</v>
      </c>
      <c r="AN1" s="1" t="s">
        <v>17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23</v>
      </c>
      <c r="AU1" s="1" t="s">
        <v>24</v>
      </c>
      <c r="AV1" s="1" t="s">
        <v>35</v>
      </c>
      <c r="AW1" s="1" t="s">
        <v>36</v>
      </c>
      <c r="AX1" s="1" t="s">
        <v>25</v>
      </c>
      <c r="AY1" s="1" t="s">
        <v>26</v>
      </c>
      <c r="AZ1" s="1" t="s">
        <v>27</v>
      </c>
      <c r="BA1" s="1" t="s">
        <v>28</v>
      </c>
      <c r="BB1" s="1" t="s">
        <v>29</v>
      </c>
      <c r="BC1" s="1" t="s">
        <v>30</v>
      </c>
      <c r="BD1" s="1" t="s">
        <v>31</v>
      </c>
      <c r="BE1" s="1" t="s">
        <v>32</v>
      </c>
      <c r="BF1" s="1" t="s">
        <v>33</v>
      </c>
      <c r="BG1" s="1" t="s">
        <v>34</v>
      </c>
      <c r="BH1" s="2" t="s">
        <v>1107</v>
      </c>
      <c r="BI1" s="1" t="s">
        <v>1102</v>
      </c>
    </row>
    <row r="2" spans="1:61" x14ac:dyDescent="0.2">
      <c r="A2" t="s">
        <v>518</v>
      </c>
      <c r="B2" t="s">
        <v>38</v>
      </c>
      <c r="C2" t="s">
        <v>519</v>
      </c>
      <c r="D2" t="s">
        <v>520</v>
      </c>
      <c r="E2">
        <v>40598</v>
      </c>
      <c r="F2">
        <v>49470</v>
      </c>
      <c r="G2" t="s">
        <v>520</v>
      </c>
      <c r="H2" s="1">
        <v>83.8</v>
      </c>
      <c r="I2" s="1">
        <v>30.93</v>
      </c>
      <c r="J2" s="10">
        <v>1.8580000000000001</v>
      </c>
      <c r="K2" s="10">
        <f t="shared" ref="K2:K16" ca="1" si="0">SQRT(K$2^2+(AA2/Z2)^2)*J2</f>
        <v>5.4597303962741602E-2</v>
      </c>
      <c r="L2" s="7">
        <v>0.1797</v>
      </c>
      <c r="M2" s="7">
        <f t="shared" ref="M2:M16" ca="1" si="1">SQRT(M$2^2+(AC2/AB2)^2)*L2</f>
        <v>4.9474069976099596E-3</v>
      </c>
      <c r="N2" s="7">
        <v>0.93447000000000002</v>
      </c>
      <c r="O2" s="8">
        <v>5.5648299999999997</v>
      </c>
      <c r="P2" s="8">
        <f t="shared" ref="P2:P16" ca="1" si="2">SQRT(P$2^2+(AF2/AE2)^2)*O2</f>
        <v>0.15320798162879767</v>
      </c>
      <c r="Q2" s="9">
        <v>7.5490000000000002E-2</v>
      </c>
      <c r="R2" s="9">
        <f t="shared" ref="R2:R16" ca="1" si="3">SQRT(R$2^2+(AH2/AG2)^2)*Q2</f>
        <v>1.6068590604032453E-3</v>
      </c>
      <c r="S2" s="8">
        <f t="shared" ref="S2:S16" si="4">(((BE2/BD2)^2+(AW2/AV2)^2)+((BE2/BD2)^2+(BC2/BB2)^2)-((BC2/BB2)^2+(AW2/AV2)^2))/(2*SQRT((BE2/BD2)^2+(AW2/AV2)^2)*SQRT((BE2/BD2)^2+(BC2/BB2)^2))</f>
        <v>0.40343502999017894</v>
      </c>
      <c r="T2" s="11">
        <v>5.5E-2</v>
      </c>
      <c r="U2" s="11">
        <f t="shared" ref="U2:U16" ca="1" si="5">SQRT(U$2^2+(AK2/AJ2)^2)*T2</f>
        <v>1.6278820596099706E-3</v>
      </c>
      <c r="V2" s="6" t="e">
        <f ca="1">IF(agePb6U8(1/O2)&lt;1400,age7corr(1/O2,Q2,$W$2),agePb76(Q2))</f>
        <v>#NAME?</v>
      </c>
      <c r="W2" s="6" t="e">
        <f ca="1">IF(agePb6U8(1/O2)&lt;1400,ageer7corr(V2,1/O2,P2/O2*(1/O2),Q2,R2,$W$2,0.05),ageerPb76(Q2,R2))</f>
        <v>#NAME?</v>
      </c>
      <c r="X2" s="4" t="e">
        <f ca="1">agePb6U8(L2)/agePb7u5(J2)</f>
        <v>#NAME?</v>
      </c>
      <c r="Z2" s="1">
        <v>1.8580000000000001</v>
      </c>
      <c r="AA2" s="1">
        <v>0.04</v>
      </c>
      <c r="AB2" s="1">
        <v>0.1797</v>
      </c>
      <c r="AC2" s="1">
        <v>3.3999999999999998E-3</v>
      </c>
      <c r="AD2" s="1">
        <v>0.93447000000000002</v>
      </c>
      <c r="AE2" s="1">
        <v>5.5648299999999997</v>
      </c>
      <c r="AF2" s="1">
        <v>0.1052889</v>
      </c>
      <c r="AG2" s="1">
        <v>7.5490000000000002E-2</v>
      </c>
      <c r="AH2" s="1">
        <v>5.5000000000000003E-4</v>
      </c>
      <c r="AI2" s="1">
        <v>1.2670000000000001E-2</v>
      </c>
      <c r="AJ2" s="1">
        <v>5.5E-2</v>
      </c>
      <c r="AK2" s="1">
        <v>1.1999999999999999E-3</v>
      </c>
      <c r="AL2" s="1">
        <v>9.2449999999999992</v>
      </c>
      <c r="AM2" s="1">
        <v>4.3999999999999997E-2</v>
      </c>
      <c r="AN2" s="1">
        <v>1066</v>
      </c>
      <c r="AO2" s="1">
        <v>14</v>
      </c>
      <c r="AP2" s="1">
        <v>1065</v>
      </c>
      <c r="AQ2" s="1">
        <v>19</v>
      </c>
      <c r="AR2" s="1">
        <v>1081</v>
      </c>
      <c r="AS2" s="1">
        <v>23</v>
      </c>
      <c r="AT2" s="1">
        <v>1081</v>
      </c>
      <c r="AU2" s="1">
        <v>15</v>
      </c>
      <c r="AV2" s="1">
        <v>18.23</v>
      </c>
      <c r="AW2" s="1">
        <v>0.28999999999999998</v>
      </c>
      <c r="AX2" s="1">
        <v>2.4420000000000002</v>
      </c>
      <c r="AY2" s="1">
        <v>6.3E-2</v>
      </c>
      <c r="AZ2" s="1">
        <v>10923.39</v>
      </c>
      <c r="BA2" s="1">
        <v>167.67000000000002</v>
      </c>
      <c r="BB2" s="1">
        <v>9526.14</v>
      </c>
      <c r="BC2" s="1">
        <v>155.25</v>
      </c>
      <c r="BD2" s="1">
        <v>126621.90000000001</v>
      </c>
      <c r="BE2" s="1">
        <v>1676.7</v>
      </c>
      <c r="BF2" s="1">
        <v>0.621</v>
      </c>
      <c r="BG2" s="1">
        <v>5.0922000000000001</v>
      </c>
      <c r="BH2" s="1">
        <f t="shared" ref="BH2:BH16" si="6">BD2/BF2</f>
        <v>203900.00000000003</v>
      </c>
      <c r="BI2" s="1">
        <f t="shared" ref="BI2:BI16" si="7">SQRT((BG2/BF2)^2+(BE2/BD2)^2)*BH2</f>
        <v>1671982.1800485794</v>
      </c>
    </row>
    <row r="3" spans="1:61" x14ac:dyDescent="0.2">
      <c r="A3" t="s">
        <v>83</v>
      </c>
      <c r="B3" t="s">
        <v>38</v>
      </c>
      <c r="C3" t="s">
        <v>84</v>
      </c>
      <c r="D3" t="s">
        <v>85</v>
      </c>
      <c r="E3">
        <v>40911</v>
      </c>
      <c r="F3">
        <v>49536</v>
      </c>
      <c r="G3" t="s">
        <v>85</v>
      </c>
      <c r="H3" s="1">
        <v>80.7</v>
      </c>
      <c r="I3" s="1">
        <v>31.27</v>
      </c>
      <c r="J3" s="10">
        <v>1.8660000000000001</v>
      </c>
      <c r="K3" s="10">
        <f t="shared" ca="1" si="0"/>
        <v>6.9812480259621196E-2</v>
      </c>
      <c r="L3" s="7">
        <v>0.1817</v>
      </c>
      <c r="M3" s="7">
        <f t="shared" ca="1" si="1"/>
        <v>6.2622644466678356E-3</v>
      </c>
      <c r="N3" s="7">
        <v>0.96572000000000002</v>
      </c>
      <c r="O3" s="8">
        <v>5.5035769999999999</v>
      </c>
      <c r="P3" s="8">
        <f t="shared" ca="1" si="2"/>
        <v>0.18968003770458189</v>
      </c>
      <c r="Q3" s="9">
        <v>7.4880000000000002E-2</v>
      </c>
      <c r="R3" s="9">
        <f t="shared" ca="1" si="3"/>
        <v>1.6024062406268893E-3</v>
      </c>
      <c r="S3" s="8">
        <f t="shared" si="4"/>
        <v>0.43387273893198253</v>
      </c>
      <c r="T3" s="11">
        <v>5.5500000000000001E-2</v>
      </c>
      <c r="U3" s="11">
        <f t="shared" ca="1" si="5"/>
        <v>2.2004772209682152E-3</v>
      </c>
      <c r="V3" s="6" t="e">
        <f ca="1">IF(agePb6U8(1/O3)&lt;1400,age7corr(1/O3,Q3,$W$2),agePb76(Q3))</f>
        <v>#NAME?</v>
      </c>
      <c r="W3" s="6" t="e">
        <f ca="1">IF(agePb6U8(1/O3)&lt;1400,ageer7corr(V3,1/O3,P3/O3*(1/O3),Q3,R3,$W$2,0.05),ageerPb76(Q3,R3))</f>
        <v>#NAME?</v>
      </c>
      <c r="X3" s="4" t="e">
        <f ca="1">agePb6U8(L3)/agePb7u5(J3)</f>
        <v>#NAME?</v>
      </c>
      <c r="Z3" s="1">
        <v>1.8660000000000001</v>
      </c>
      <c r="AA3" s="1">
        <v>5.8999999999999997E-2</v>
      </c>
      <c r="AB3" s="1">
        <v>0.1817</v>
      </c>
      <c r="AC3" s="1">
        <v>5.1000000000000004E-3</v>
      </c>
      <c r="AD3" s="1">
        <v>0.96572000000000002</v>
      </c>
      <c r="AE3" s="1">
        <v>5.5035769999999999</v>
      </c>
      <c r="AF3" s="1">
        <v>0.1544758</v>
      </c>
      <c r="AG3" s="1">
        <v>7.4880000000000002E-2</v>
      </c>
      <c r="AH3" s="1">
        <v>5.6999999999999998E-4</v>
      </c>
      <c r="AI3" s="1">
        <v>5.4938000000000001E-2</v>
      </c>
      <c r="AJ3" s="1">
        <v>5.5500000000000001E-2</v>
      </c>
      <c r="AK3" s="1">
        <v>1.9E-3</v>
      </c>
      <c r="AL3" s="1">
        <v>9.39</v>
      </c>
      <c r="AM3" s="1">
        <v>5.1999999999999998E-2</v>
      </c>
      <c r="AN3" s="1">
        <v>1068</v>
      </c>
      <c r="AO3" s="1">
        <v>21</v>
      </c>
      <c r="AP3" s="1">
        <v>1076</v>
      </c>
      <c r="AQ3" s="1">
        <v>28</v>
      </c>
      <c r="AR3" s="1">
        <v>1091</v>
      </c>
      <c r="AS3" s="1">
        <v>36</v>
      </c>
      <c r="AT3" s="1">
        <v>1065</v>
      </c>
      <c r="AU3" s="1">
        <v>15</v>
      </c>
      <c r="AV3" s="1">
        <v>17.829999999999998</v>
      </c>
      <c r="AW3" s="1">
        <v>0.31</v>
      </c>
      <c r="AX3" s="1">
        <v>2.484</v>
      </c>
      <c r="AY3" s="1">
        <v>5.8000000000000003E-2</v>
      </c>
      <c r="AZ3" s="1">
        <v>11078.64</v>
      </c>
      <c r="BA3" s="1">
        <v>229.77</v>
      </c>
      <c r="BB3" s="1">
        <v>9377.1000000000022</v>
      </c>
      <c r="BC3" s="1">
        <v>211.14000000000001</v>
      </c>
      <c r="BD3" s="1">
        <v>124572.59999999999</v>
      </c>
      <c r="BE3" s="1">
        <v>2173.5</v>
      </c>
      <c r="BF3" s="1">
        <v>-5.5889999999999995E-2</v>
      </c>
      <c r="BG3" s="1">
        <v>4.6574999999999998</v>
      </c>
      <c r="BH3" s="1">
        <f t="shared" si="6"/>
        <v>-2228888.888888889</v>
      </c>
      <c r="BI3" s="1">
        <f t="shared" si="7"/>
        <v>-185740744.81186071</v>
      </c>
    </row>
    <row r="4" spans="1:61" x14ac:dyDescent="0.2">
      <c r="A4" t="s">
        <v>158</v>
      </c>
      <c r="B4" t="s">
        <v>38</v>
      </c>
      <c r="C4" t="s">
        <v>159</v>
      </c>
      <c r="D4" t="s">
        <v>160</v>
      </c>
      <c r="E4">
        <v>41267</v>
      </c>
      <c r="F4">
        <v>49295</v>
      </c>
      <c r="G4" t="s">
        <v>160</v>
      </c>
      <c r="H4" s="1">
        <v>84.5</v>
      </c>
      <c r="I4" s="1">
        <v>32.31</v>
      </c>
      <c r="J4" s="10">
        <v>1.847</v>
      </c>
      <c r="K4" s="10">
        <f t="shared" ca="1" si="0"/>
        <v>6.0568668468111458E-2</v>
      </c>
      <c r="L4" s="7">
        <v>0.1772</v>
      </c>
      <c r="M4" s="7">
        <f t="shared" ca="1" si="1"/>
        <v>5.886419624865356E-3</v>
      </c>
      <c r="N4" s="7">
        <v>0.96597</v>
      </c>
      <c r="O4" s="8">
        <v>5.6433410000000004</v>
      </c>
      <c r="P4" s="8">
        <f t="shared" ca="1" si="2"/>
        <v>0.18746655699138018</v>
      </c>
      <c r="Q4" s="9">
        <v>7.5190000000000007E-2</v>
      </c>
      <c r="R4" s="9">
        <f t="shared" ca="1" si="3"/>
        <v>1.5535489821695357E-3</v>
      </c>
      <c r="S4" s="8">
        <f t="shared" si="4"/>
        <v>0.4998508688438395</v>
      </c>
      <c r="T4" s="11">
        <v>5.3999999999999999E-2</v>
      </c>
      <c r="U4" s="11">
        <f t="shared" ca="1" si="5"/>
        <v>1.6900887550658399E-3</v>
      </c>
      <c r="V4" s="6" t="e">
        <f ca="1">IF(agePb6U8(1/O4)&lt;1400,age7corr(1/O4,Q4,$W$2),agePb76(Q4))</f>
        <v>#NAME?</v>
      </c>
      <c r="W4" s="6" t="e">
        <f ca="1">IF(agePb6U8(1/O4)&lt;1400,ageer7corr(V4,1/O4,P4/O4*(1/O4),Q4,R4,$W$2,0.05),ageerPb76(Q4,R4))</f>
        <v>#NAME?</v>
      </c>
      <c r="X4" s="4" t="e">
        <f ca="1">agePb6U8(L4)/agePb7u5(J4)</f>
        <v>#NAME?</v>
      </c>
      <c r="Z4" s="1">
        <v>1.847</v>
      </c>
      <c r="AA4" s="1">
        <v>4.8000000000000001E-2</v>
      </c>
      <c r="AB4" s="1">
        <v>0.1772</v>
      </c>
      <c r="AC4" s="1">
        <v>4.7000000000000002E-3</v>
      </c>
      <c r="AD4" s="1">
        <v>0.96597</v>
      </c>
      <c r="AE4" s="1">
        <v>5.6433410000000004</v>
      </c>
      <c r="AF4" s="1">
        <v>0.14968229999999999</v>
      </c>
      <c r="AG4" s="1">
        <v>7.5190000000000007E-2</v>
      </c>
      <c r="AH4" s="1">
        <v>3.8999999999999999E-4</v>
      </c>
      <c r="AI4" s="1">
        <v>0.24162</v>
      </c>
      <c r="AJ4" s="1">
        <v>5.3999999999999999E-2</v>
      </c>
      <c r="AK4" s="1">
        <v>1.2999999999999999E-3</v>
      </c>
      <c r="AL4" s="1">
        <v>9.2799999999999994</v>
      </c>
      <c r="AM4" s="1">
        <v>3.2000000000000001E-2</v>
      </c>
      <c r="AN4" s="1">
        <v>1062</v>
      </c>
      <c r="AO4" s="1">
        <v>17</v>
      </c>
      <c r="AP4" s="1">
        <v>1052</v>
      </c>
      <c r="AQ4" s="1">
        <v>26</v>
      </c>
      <c r="AR4" s="1">
        <v>1062</v>
      </c>
      <c r="AS4" s="1">
        <v>25</v>
      </c>
      <c r="AT4" s="1">
        <v>1073</v>
      </c>
      <c r="AU4" s="1">
        <v>10</v>
      </c>
      <c r="AV4" s="1">
        <v>18.610000000000003</v>
      </c>
      <c r="AW4" s="1">
        <v>0.38</v>
      </c>
      <c r="AX4" s="1">
        <v>2.5640000000000001</v>
      </c>
      <c r="AY4" s="1">
        <v>5.5E-2</v>
      </c>
      <c r="AZ4" s="1">
        <v>11389.140000000001</v>
      </c>
      <c r="BA4" s="1">
        <v>229.77</v>
      </c>
      <c r="BB4" s="1">
        <v>9625.5</v>
      </c>
      <c r="BC4" s="1">
        <v>167.67000000000002</v>
      </c>
      <c r="BD4" s="1">
        <v>128050.19999999998</v>
      </c>
      <c r="BE4" s="1">
        <v>2421.9</v>
      </c>
      <c r="BF4" s="1">
        <v>4.0985999999999994</v>
      </c>
      <c r="BG4" s="1">
        <v>5.1543000000000001</v>
      </c>
      <c r="BH4" s="1">
        <f t="shared" si="6"/>
        <v>31242.424242424244</v>
      </c>
      <c r="BI4" s="1">
        <f t="shared" si="7"/>
        <v>39294.158658411339</v>
      </c>
    </row>
    <row r="5" spans="1:61" x14ac:dyDescent="0.2">
      <c r="A5" t="s">
        <v>230</v>
      </c>
      <c r="B5" t="s">
        <v>38</v>
      </c>
      <c r="C5" t="s">
        <v>231</v>
      </c>
      <c r="D5" t="s">
        <v>232</v>
      </c>
      <c r="E5">
        <v>41067</v>
      </c>
      <c r="F5">
        <v>49656</v>
      </c>
      <c r="G5" t="s">
        <v>232</v>
      </c>
      <c r="H5" s="1">
        <v>74.3</v>
      </c>
      <c r="I5" s="1">
        <v>28.23</v>
      </c>
      <c r="J5" s="10">
        <v>1.8440000000000001</v>
      </c>
      <c r="K5" s="10">
        <f t="shared" ca="1" si="0"/>
        <v>6.2129979880891639E-2</v>
      </c>
      <c r="L5" s="7">
        <v>0.17829999999999999</v>
      </c>
      <c r="M5" s="7">
        <f t="shared" ca="1" si="1"/>
        <v>5.6635992089836308E-3</v>
      </c>
      <c r="N5" s="7">
        <v>0.95216999999999996</v>
      </c>
      <c r="O5" s="8">
        <v>5.6085250000000002</v>
      </c>
      <c r="P5" s="8">
        <f t="shared" ca="1" si="2"/>
        <v>0.17815161803814752</v>
      </c>
      <c r="Q5" s="9">
        <v>7.4529999999999999E-2</v>
      </c>
      <c r="R5" s="9">
        <f t="shared" ca="1" si="3"/>
        <v>1.5923216886044101E-3</v>
      </c>
      <c r="S5" s="8">
        <f t="shared" si="4"/>
        <v>0.33833121382502074</v>
      </c>
      <c r="T5" s="11">
        <v>5.3900000000000003E-2</v>
      </c>
      <c r="U5" s="11">
        <f t="shared" ca="1" si="5"/>
        <v>1.688811416351749E-3</v>
      </c>
      <c r="V5" s="6" t="e">
        <f ca="1">IF(agePb6U8(1/O5)&lt;1400,age7corr(1/O5,Q5,$W$2),agePb76(Q5))</f>
        <v>#NAME?</v>
      </c>
      <c r="W5" s="6" t="e">
        <f ca="1">IF(agePb6U8(1/O5)&lt;1400,ageer7corr(V5,1/O5,P5/O5*(1/O5),Q5,R5,$W$2,0.05),ageerPb76(Q5,R5))</f>
        <v>#NAME?</v>
      </c>
      <c r="X5" s="4" t="e">
        <f ca="1">agePb6U8(L5)/agePb7u5(J5)</f>
        <v>#NAME?</v>
      </c>
      <c r="Z5" s="1">
        <v>1.8440000000000001</v>
      </c>
      <c r="AA5" s="1">
        <v>0.05</v>
      </c>
      <c r="AB5" s="1">
        <v>0.17829999999999999</v>
      </c>
      <c r="AC5" s="1">
        <v>4.4000000000000003E-3</v>
      </c>
      <c r="AD5" s="1">
        <v>0.95216999999999996</v>
      </c>
      <c r="AE5" s="1">
        <v>5.6085250000000002</v>
      </c>
      <c r="AF5" s="1">
        <v>0.13840440000000001</v>
      </c>
      <c r="AG5" s="1">
        <v>7.4529999999999999E-2</v>
      </c>
      <c r="AH5" s="1">
        <v>5.5999999999999995E-4</v>
      </c>
      <c r="AI5" s="1">
        <v>0.16339999999999999</v>
      </c>
      <c r="AJ5" s="1">
        <v>5.3900000000000003E-2</v>
      </c>
      <c r="AK5" s="1">
        <v>1.2999999999999999E-3</v>
      </c>
      <c r="AL5" s="1">
        <v>9.4920000000000009</v>
      </c>
      <c r="AM5" s="1">
        <v>4.7E-2</v>
      </c>
      <c r="AN5" s="1">
        <v>1060</v>
      </c>
      <c r="AO5" s="1">
        <v>18</v>
      </c>
      <c r="AP5" s="1">
        <v>1057</v>
      </c>
      <c r="AQ5" s="1">
        <v>24</v>
      </c>
      <c r="AR5" s="1">
        <v>1061</v>
      </c>
      <c r="AS5" s="1">
        <v>24</v>
      </c>
      <c r="AT5" s="1">
        <v>1056</v>
      </c>
      <c r="AU5" s="1">
        <v>15</v>
      </c>
      <c r="AV5" s="1">
        <v>16.330000000000002</v>
      </c>
      <c r="AW5" s="1">
        <v>0.31</v>
      </c>
      <c r="AX5" s="1">
        <v>2.238</v>
      </c>
      <c r="AY5" s="1">
        <v>3.2000000000000001E-2</v>
      </c>
      <c r="AZ5" s="1">
        <v>9842.85</v>
      </c>
      <c r="BA5" s="1">
        <v>173.88</v>
      </c>
      <c r="BB5" s="1">
        <v>8538.75</v>
      </c>
      <c r="BC5" s="1">
        <v>136.62</v>
      </c>
      <c r="BD5" s="1">
        <v>114326.09999999999</v>
      </c>
      <c r="BE5" s="1">
        <v>1428.3</v>
      </c>
      <c r="BF5" s="1">
        <v>31.05</v>
      </c>
      <c r="BG5" s="1">
        <v>6.8310000000000004</v>
      </c>
      <c r="BH5" s="1">
        <f t="shared" si="6"/>
        <v>3681.9999999999995</v>
      </c>
      <c r="BI5" s="1">
        <f t="shared" si="7"/>
        <v>811.34505705032791</v>
      </c>
    </row>
    <row r="6" spans="1:61" x14ac:dyDescent="0.2">
      <c r="A6" t="s">
        <v>302</v>
      </c>
      <c r="B6" t="s">
        <v>38</v>
      </c>
      <c r="C6" t="s">
        <v>303</v>
      </c>
      <c r="D6" t="s">
        <v>304</v>
      </c>
      <c r="E6">
        <v>40947</v>
      </c>
      <c r="F6">
        <v>49536</v>
      </c>
      <c r="G6" t="s">
        <v>304</v>
      </c>
      <c r="H6" s="1">
        <v>82.6</v>
      </c>
      <c r="I6" s="1">
        <v>31.9</v>
      </c>
      <c r="J6" s="10">
        <v>1.847</v>
      </c>
      <c r="K6" s="10">
        <f t="shared" ca="1" si="0"/>
        <v>5.3717442232481621E-2</v>
      </c>
      <c r="L6" s="7">
        <v>0.1804</v>
      </c>
      <c r="M6" s="7">
        <f t="shared" ca="1" si="1"/>
        <v>5.0968288180004637E-3</v>
      </c>
      <c r="N6" s="7">
        <v>0.95035999999999998</v>
      </c>
      <c r="O6" s="8">
        <v>5.5432370000000004</v>
      </c>
      <c r="P6" s="8">
        <f t="shared" ca="1" si="2"/>
        <v>0.15661268024166372</v>
      </c>
      <c r="Q6" s="9">
        <v>7.4380000000000002E-2</v>
      </c>
      <c r="R6" s="9">
        <f t="shared" ca="1" si="3"/>
        <v>1.5930642673790659E-3</v>
      </c>
      <c r="S6" s="8">
        <f t="shared" si="4"/>
        <v>0.43750941699613466</v>
      </c>
      <c r="T6" s="11">
        <v>5.3699999999999998E-2</v>
      </c>
      <c r="U6" s="11">
        <f t="shared" ca="1" si="5"/>
        <v>1.7645044630150413E-3</v>
      </c>
      <c r="V6" s="6" t="e">
        <f ca="1">IF(agePb6U8(1/O6)&lt;1400,age7corr(1/O6,Q6,$W$2),agePb76(Q6))</f>
        <v>#NAME?</v>
      </c>
      <c r="W6" s="6" t="e">
        <f ca="1">IF(agePb6U8(1/O6)&lt;1400,ageer7corr(V6,1/O6,P6/O6*(1/O6),Q6,R6,$W$2,0.05),ageerPb76(Q6,R6))</f>
        <v>#NAME?</v>
      </c>
      <c r="X6" s="4" t="e">
        <f ca="1">agePb6U8(L6)/agePb7u5(J6)</f>
        <v>#NAME?</v>
      </c>
      <c r="Z6" s="1">
        <v>1.847</v>
      </c>
      <c r="AA6" s="1">
        <v>3.9E-2</v>
      </c>
      <c r="AB6" s="1">
        <v>0.1804</v>
      </c>
      <c r="AC6" s="1">
        <v>3.5999999999999999E-3</v>
      </c>
      <c r="AD6" s="1">
        <v>0.95035999999999998</v>
      </c>
      <c r="AE6" s="1">
        <v>5.5432370000000004</v>
      </c>
      <c r="AF6" s="1">
        <v>0.11061890000000001</v>
      </c>
      <c r="AG6" s="1">
        <v>7.4380000000000002E-2</v>
      </c>
      <c r="AH6" s="1">
        <v>5.6999999999999998E-4</v>
      </c>
      <c r="AI6" s="1">
        <v>7.4581999999999996E-2</v>
      </c>
      <c r="AJ6" s="1">
        <v>5.3699999999999998E-2</v>
      </c>
      <c r="AK6" s="1">
        <v>1.4E-3</v>
      </c>
      <c r="AL6" s="1">
        <v>9.3710000000000004</v>
      </c>
      <c r="AM6" s="1">
        <v>5.7000000000000002E-2</v>
      </c>
      <c r="AN6" s="1">
        <v>1062</v>
      </c>
      <c r="AO6" s="1">
        <v>14</v>
      </c>
      <c r="AP6" s="1">
        <v>1069</v>
      </c>
      <c r="AQ6" s="1">
        <v>20</v>
      </c>
      <c r="AR6" s="1">
        <v>1058</v>
      </c>
      <c r="AS6" s="1">
        <v>26</v>
      </c>
      <c r="AT6" s="1">
        <v>1052</v>
      </c>
      <c r="AU6" s="1">
        <v>16</v>
      </c>
      <c r="AV6" s="1">
        <v>18.11</v>
      </c>
      <c r="AW6" s="1">
        <v>0.34</v>
      </c>
      <c r="AX6" s="1">
        <v>2.5260000000000002</v>
      </c>
      <c r="AY6" s="1">
        <v>7.8E-2</v>
      </c>
      <c r="AZ6" s="1">
        <v>10948.230000000001</v>
      </c>
      <c r="BA6" s="1">
        <v>180.09</v>
      </c>
      <c r="BB6" s="1">
        <v>9408.15</v>
      </c>
      <c r="BC6" s="1">
        <v>167.67000000000002</v>
      </c>
      <c r="BD6" s="1">
        <v>126994.5</v>
      </c>
      <c r="BE6" s="1">
        <v>2049.3000000000002</v>
      </c>
      <c r="BF6" s="1">
        <v>-24.839999999999996</v>
      </c>
      <c r="BG6" s="1">
        <v>7.4519999999999991</v>
      </c>
      <c r="BH6" s="1">
        <f t="shared" si="6"/>
        <v>-5112.5000000000009</v>
      </c>
      <c r="BI6" s="1">
        <f t="shared" si="7"/>
        <v>-1535.967223771393</v>
      </c>
    </row>
    <row r="7" spans="1:61" x14ac:dyDescent="0.2">
      <c r="A7" t="s">
        <v>377</v>
      </c>
      <c r="B7" t="s">
        <v>38</v>
      </c>
      <c r="C7" t="s">
        <v>378</v>
      </c>
      <c r="D7" t="s">
        <v>379</v>
      </c>
      <c r="E7">
        <v>41306</v>
      </c>
      <c r="F7">
        <v>49303</v>
      </c>
      <c r="G7" t="s">
        <v>379</v>
      </c>
      <c r="H7" s="1">
        <v>86.4</v>
      </c>
      <c r="I7" s="1">
        <v>33.24</v>
      </c>
      <c r="J7" s="10">
        <v>1.86</v>
      </c>
      <c r="K7" s="10">
        <f t="shared" ca="1" si="0"/>
        <v>5.610561469229261E-2</v>
      </c>
      <c r="L7" s="7">
        <v>0.17710000000000001</v>
      </c>
      <c r="M7" s="7">
        <f t="shared" ca="1" si="1"/>
        <v>5.7267585945279722E-3</v>
      </c>
      <c r="N7" s="7">
        <v>0.96399999999999997</v>
      </c>
      <c r="O7" s="8">
        <v>5.6465269999999999</v>
      </c>
      <c r="P7" s="8">
        <f t="shared" ca="1" si="2"/>
        <v>0.18258777726009373</v>
      </c>
      <c r="Q7" s="9">
        <v>7.5539999999999996E-2</v>
      </c>
      <c r="R7" s="9">
        <f t="shared" ca="1" si="3"/>
        <v>1.588274736939425E-3</v>
      </c>
      <c r="S7" s="8">
        <f t="shared" si="4"/>
        <v>0.46977936870031917</v>
      </c>
      <c r="T7" s="11">
        <v>5.2600000000000001E-2</v>
      </c>
      <c r="U7" s="11">
        <f t="shared" ca="1" si="5"/>
        <v>1.5958395909363822E-3</v>
      </c>
      <c r="V7" s="6" t="e">
        <f ca="1">IF(agePb6U8(1/O7)&lt;1400,age7corr(1/O7,Q7,$W$2),agePb76(Q7))</f>
        <v>#NAME?</v>
      </c>
      <c r="W7" s="6" t="e">
        <f ca="1">IF(agePb6U8(1/O7)&lt;1400,ageer7corr(V7,1/O7,P7/O7*(1/O7),Q7,R7,$W$2,0.05),ageerPb76(Q7,R7))</f>
        <v>#NAME?</v>
      </c>
      <c r="X7" s="4" t="e">
        <f ca="1">agePb6U8(L7)/agePb7u5(J7)</f>
        <v>#NAME?</v>
      </c>
      <c r="Z7" s="1">
        <v>1.86</v>
      </c>
      <c r="AA7" s="1">
        <v>4.2000000000000003E-2</v>
      </c>
      <c r="AB7" s="1">
        <v>0.17710000000000001</v>
      </c>
      <c r="AC7" s="1">
        <v>4.4999999999999997E-3</v>
      </c>
      <c r="AD7" s="1">
        <v>0.96399999999999997</v>
      </c>
      <c r="AE7" s="1">
        <v>5.6465269999999999</v>
      </c>
      <c r="AF7" s="1">
        <v>0.14347470000000001</v>
      </c>
      <c r="AG7" s="1">
        <v>7.5539999999999996E-2</v>
      </c>
      <c r="AH7" s="1">
        <v>4.8999999999999998E-4</v>
      </c>
      <c r="AI7" s="1">
        <v>0.26099</v>
      </c>
      <c r="AJ7" s="1">
        <v>5.2600000000000001E-2</v>
      </c>
      <c r="AK7" s="1">
        <v>1.1999999999999999E-3</v>
      </c>
      <c r="AL7" s="1">
        <v>9.298</v>
      </c>
      <c r="AM7" s="1">
        <v>4.5999999999999999E-2</v>
      </c>
      <c r="AN7" s="1">
        <v>1067</v>
      </c>
      <c r="AO7" s="1">
        <v>15</v>
      </c>
      <c r="AP7" s="1">
        <v>1051</v>
      </c>
      <c r="AQ7" s="1">
        <v>25</v>
      </c>
      <c r="AR7" s="1">
        <v>1037</v>
      </c>
      <c r="AS7" s="1">
        <v>23</v>
      </c>
      <c r="AT7" s="1">
        <v>1083</v>
      </c>
      <c r="AU7" s="1">
        <v>13</v>
      </c>
      <c r="AV7" s="1">
        <v>18.89</v>
      </c>
      <c r="AW7" s="1">
        <v>0.36000000000000004</v>
      </c>
      <c r="AX7" s="1">
        <v>2.629</v>
      </c>
      <c r="AY7" s="1">
        <v>6.6000000000000003E-2</v>
      </c>
      <c r="AZ7" s="1">
        <v>11240.100000000002</v>
      </c>
      <c r="BA7" s="1">
        <v>173.88</v>
      </c>
      <c r="BB7" s="1">
        <v>9818.01</v>
      </c>
      <c r="BC7" s="1">
        <v>161.45999999999998</v>
      </c>
      <c r="BD7" s="1">
        <v>130099.50000000001</v>
      </c>
      <c r="BE7" s="1">
        <v>2173.5</v>
      </c>
      <c r="BF7" s="1">
        <v>-5.6510999999999996</v>
      </c>
      <c r="BG7" s="1">
        <v>5.6510999999999996</v>
      </c>
      <c r="BH7" s="1">
        <f t="shared" si="6"/>
        <v>-23021.978021978026</v>
      </c>
      <c r="BI7" s="1">
        <f t="shared" si="7"/>
        <v>-23025.190575509292</v>
      </c>
    </row>
    <row r="8" spans="1:61" x14ac:dyDescent="0.2">
      <c r="A8" t="s">
        <v>587</v>
      </c>
      <c r="B8" t="s">
        <v>38</v>
      </c>
      <c r="C8" t="s">
        <v>588</v>
      </c>
      <c r="D8" t="s">
        <v>589</v>
      </c>
      <c r="E8">
        <v>41105</v>
      </c>
      <c r="F8">
        <v>49655</v>
      </c>
      <c r="G8" t="s">
        <v>589</v>
      </c>
      <c r="H8" s="1">
        <v>77.099999999999994</v>
      </c>
      <c r="I8" s="1">
        <v>29.19</v>
      </c>
      <c r="J8" s="10">
        <v>1.829</v>
      </c>
      <c r="K8" s="10">
        <f t="shared" ca="1" si="0"/>
        <v>6.4397953383628581E-2</v>
      </c>
      <c r="L8" s="7">
        <v>0.1784</v>
      </c>
      <c r="M8" s="7">
        <f t="shared" ca="1" si="1"/>
        <v>5.9009002702977448E-3</v>
      </c>
      <c r="N8" s="7">
        <v>0.96638999999999997</v>
      </c>
      <c r="O8" s="8">
        <v>5.6053810000000004</v>
      </c>
      <c r="P8" s="8">
        <f t="shared" ca="1" si="2"/>
        <v>0.18540804250955351</v>
      </c>
      <c r="Q8" s="9">
        <v>7.4329999999999993E-2</v>
      </c>
      <c r="R8" s="9">
        <f t="shared" ca="1" si="3"/>
        <v>1.5319528582825256E-3</v>
      </c>
      <c r="S8" s="8">
        <f t="shared" si="4"/>
        <v>0.48200139834613343</v>
      </c>
      <c r="T8" s="11">
        <v>5.2900000000000003E-2</v>
      </c>
      <c r="U8" s="11">
        <f t="shared" ca="1" si="5"/>
        <v>1.8355827412568468E-3</v>
      </c>
      <c r="V8" s="6" t="e">
        <f ca="1">IF(agePb6U8(1/O8)&lt;1400,age7corr(1/O8,Q8,$W$2),agePb76(Q8))</f>
        <v>#NAME?</v>
      </c>
      <c r="W8" s="6" t="e">
        <f ca="1">IF(agePb6U8(1/O8)&lt;1400,ageer7corr(V8,1/O8,P8/O8*(1/O8),Q8,R8,$W$2,0.05),ageerPb76(Q8,R8))</f>
        <v>#NAME?</v>
      </c>
      <c r="X8" s="4" t="e">
        <f ca="1">agePb6U8(L8)/agePb7u5(J8)</f>
        <v>#NAME?</v>
      </c>
      <c r="Z8" s="1">
        <v>1.829</v>
      </c>
      <c r="AA8" s="1">
        <v>5.2999999999999999E-2</v>
      </c>
      <c r="AB8" s="1">
        <v>0.1784</v>
      </c>
      <c r="AC8" s="1">
        <v>4.7000000000000002E-3</v>
      </c>
      <c r="AD8" s="1">
        <v>0.96638999999999997</v>
      </c>
      <c r="AE8" s="1">
        <v>5.6053810000000004</v>
      </c>
      <c r="AF8" s="1">
        <v>0.14767540000000001</v>
      </c>
      <c r="AG8" s="1">
        <v>7.4329999999999993E-2</v>
      </c>
      <c r="AH8" s="1">
        <v>3.6999999999999999E-4</v>
      </c>
      <c r="AI8" s="1">
        <v>-0.24626999999999999</v>
      </c>
      <c r="AJ8" s="1">
        <v>5.2900000000000003E-2</v>
      </c>
      <c r="AK8" s="1">
        <v>1.5E-3</v>
      </c>
      <c r="AL8" s="1">
        <v>9.4269999999999996</v>
      </c>
      <c r="AM8" s="1">
        <v>3.2000000000000001E-2</v>
      </c>
      <c r="AN8" s="1">
        <v>1055</v>
      </c>
      <c r="AO8" s="1">
        <v>19</v>
      </c>
      <c r="AP8" s="1">
        <v>1058</v>
      </c>
      <c r="AQ8" s="1">
        <v>25</v>
      </c>
      <c r="AR8" s="1">
        <v>1043</v>
      </c>
      <c r="AS8" s="1">
        <v>29</v>
      </c>
      <c r="AT8" s="1">
        <v>1050</v>
      </c>
      <c r="AU8" s="1">
        <v>10</v>
      </c>
      <c r="AV8" s="1">
        <v>16.740000000000002</v>
      </c>
      <c r="AW8" s="1">
        <v>0.27</v>
      </c>
      <c r="AX8" s="1">
        <v>2.3019999999999996</v>
      </c>
      <c r="AY8" s="1">
        <v>5.8999999999999997E-2</v>
      </c>
      <c r="AZ8" s="1">
        <v>9898.74</v>
      </c>
      <c r="BA8" s="1">
        <v>167.67000000000002</v>
      </c>
      <c r="BB8" s="1">
        <v>8613.27</v>
      </c>
      <c r="BC8" s="1">
        <v>155.25</v>
      </c>
      <c r="BD8" s="1">
        <v>116872.2</v>
      </c>
      <c r="BE8" s="1">
        <v>1925.1</v>
      </c>
      <c r="BF8" s="1">
        <v>8.6940000000000008</v>
      </c>
      <c r="BG8" s="1">
        <v>6.8310000000000004</v>
      </c>
      <c r="BH8" s="1">
        <f t="shared" si="6"/>
        <v>13442.857142857141</v>
      </c>
      <c r="BI8" s="1">
        <f t="shared" si="7"/>
        <v>10564.565674778574</v>
      </c>
    </row>
    <row r="9" spans="1:61" x14ac:dyDescent="0.2">
      <c r="A9" t="s">
        <v>659</v>
      </c>
      <c r="B9" t="s">
        <v>38</v>
      </c>
      <c r="C9" t="s">
        <v>660</v>
      </c>
      <c r="D9" t="s">
        <v>661</v>
      </c>
      <c r="E9">
        <v>40744</v>
      </c>
      <c r="F9">
        <v>49391</v>
      </c>
      <c r="G9" t="s">
        <v>661</v>
      </c>
      <c r="H9" s="1">
        <v>79.599999999999994</v>
      </c>
      <c r="I9" s="1">
        <v>31.36</v>
      </c>
      <c r="J9" s="10">
        <v>1.86</v>
      </c>
      <c r="K9" s="10">
        <f t="shared" ca="1" si="0"/>
        <v>5.3177438825125829E-2</v>
      </c>
      <c r="L9" s="7">
        <v>0.17780000000000001</v>
      </c>
      <c r="M9" s="7">
        <f t="shared" ca="1" si="1"/>
        <v>4.8513025055133396E-3</v>
      </c>
      <c r="N9" s="7">
        <v>0.91300000000000003</v>
      </c>
      <c r="O9" s="8">
        <v>5.6242970000000003</v>
      </c>
      <c r="P9" s="8">
        <f t="shared" ca="1" si="2"/>
        <v>0.1534599010871687</v>
      </c>
      <c r="Q9" s="9">
        <v>7.5579999999999994E-2</v>
      </c>
      <c r="R9" s="9">
        <f t="shared" ca="1" si="3"/>
        <v>1.6338098298149632E-3</v>
      </c>
      <c r="S9" s="8">
        <f t="shared" si="4"/>
        <v>0.49934505570137389</v>
      </c>
      <c r="T9" s="11">
        <v>5.0700000000000002E-2</v>
      </c>
      <c r="U9" s="11">
        <f t="shared" ca="1" si="5"/>
        <v>1.6486952416987198E-3</v>
      </c>
      <c r="V9" s="6" t="e">
        <f ca="1">IF(agePb6U8(1/O9)&lt;1400,age7corr(1/O9,Q9,$W$2),agePb76(Q9))</f>
        <v>#NAME?</v>
      </c>
      <c r="W9" s="6" t="e">
        <f ca="1">IF(agePb6U8(1/O9)&lt;1400,ageer7corr(V9,1/O9,P9/O9*(1/O9),Q9,R9,$W$2,0.05),ageerPb76(Q9,R9))</f>
        <v>#NAME?</v>
      </c>
      <c r="X9" s="4" t="e">
        <f ca="1">agePb6U8(L9)/agePb7u5(J9)</f>
        <v>#NAME?</v>
      </c>
      <c r="Z9" s="1">
        <v>1.86</v>
      </c>
      <c r="AA9" s="1">
        <v>3.7999999999999999E-2</v>
      </c>
      <c r="AB9" s="1">
        <v>0.17780000000000001</v>
      </c>
      <c r="AC9" s="1">
        <v>3.3E-3</v>
      </c>
      <c r="AD9" s="1">
        <v>0.91300000000000003</v>
      </c>
      <c r="AE9" s="1">
        <v>5.6242970000000003</v>
      </c>
      <c r="AF9" s="1">
        <v>0.10438799999999999</v>
      </c>
      <c r="AG9" s="1">
        <v>7.5579999999999994E-2</v>
      </c>
      <c r="AH9" s="1">
        <v>6.2E-4</v>
      </c>
      <c r="AI9" s="1">
        <v>-0.21276</v>
      </c>
      <c r="AJ9" s="1">
        <v>5.0700000000000002E-2</v>
      </c>
      <c r="AK9" s="1">
        <v>1.2999999999999999E-3</v>
      </c>
      <c r="AL9" s="1">
        <v>9.3010000000000002</v>
      </c>
      <c r="AM9" s="1">
        <v>4.3999999999999997E-2</v>
      </c>
      <c r="AN9" s="1">
        <v>1067</v>
      </c>
      <c r="AO9" s="1">
        <v>13</v>
      </c>
      <c r="AP9" s="1">
        <v>1055</v>
      </c>
      <c r="AQ9" s="1">
        <v>18</v>
      </c>
      <c r="AR9" s="1">
        <v>999</v>
      </c>
      <c r="AS9" s="1">
        <v>25</v>
      </c>
      <c r="AT9" s="1">
        <v>1083</v>
      </c>
      <c r="AU9" s="1">
        <v>16</v>
      </c>
      <c r="AV9" s="1">
        <v>17.239999999999998</v>
      </c>
      <c r="AW9" s="1">
        <v>0.24000000000000002</v>
      </c>
      <c r="AX9" s="1">
        <v>2.4710000000000001</v>
      </c>
      <c r="AY9" s="1">
        <v>6.4999999999999988E-2</v>
      </c>
      <c r="AZ9" s="1">
        <v>10196.820000000002</v>
      </c>
      <c r="BA9" s="1">
        <v>130.41</v>
      </c>
      <c r="BB9" s="1">
        <v>8929.9800000000014</v>
      </c>
      <c r="BC9" s="1">
        <v>136.62</v>
      </c>
      <c r="BD9" s="1">
        <v>119169.9</v>
      </c>
      <c r="BE9" s="1">
        <v>1738.8</v>
      </c>
      <c r="BF9" s="1">
        <v>55.89</v>
      </c>
      <c r="BG9" s="1">
        <v>6.8310000000000004</v>
      </c>
      <c r="BH9" s="1">
        <f t="shared" si="6"/>
        <v>2132.2222222222222</v>
      </c>
      <c r="BI9" s="1">
        <f t="shared" si="7"/>
        <v>262.45539637453624</v>
      </c>
    </row>
    <row r="10" spans="1:61" x14ac:dyDescent="0.2">
      <c r="A10" t="s">
        <v>731</v>
      </c>
      <c r="B10" t="s">
        <v>38</v>
      </c>
      <c r="C10" t="s">
        <v>732</v>
      </c>
      <c r="D10" t="s">
        <v>733</v>
      </c>
      <c r="E10">
        <v>41389</v>
      </c>
      <c r="F10">
        <v>49335</v>
      </c>
      <c r="G10" t="s">
        <v>733</v>
      </c>
      <c r="H10" s="1">
        <v>84.8</v>
      </c>
      <c r="I10" s="1">
        <v>30.9</v>
      </c>
      <c r="J10" s="10">
        <v>1.823</v>
      </c>
      <c r="K10" s="10">
        <f t="shared" ca="1" si="0"/>
        <v>6.766336970621549E-2</v>
      </c>
      <c r="L10" s="7">
        <v>0.17710000000000001</v>
      </c>
      <c r="M10" s="7">
        <f t="shared" ca="1" si="1"/>
        <v>6.6261424675296554E-3</v>
      </c>
      <c r="N10" s="7">
        <v>0.98129</v>
      </c>
      <c r="O10" s="8">
        <v>5.6465269999999999</v>
      </c>
      <c r="P10" s="8">
        <f t="shared" ca="1" si="2"/>
        <v>0.21126307795822155</v>
      </c>
      <c r="Q10" s="9">
        <v>7.4840000000000004E-2</v>
      </c>
      <c r="R10" s="9">
        <f t="shared" ca="1" si="3"/>
        <v>1.5749635678326023E-3</v>
      </c>
      <c r="S10" s="8">
        <f t="shared" si="4"/>
        <v>0.490337104780453</v>
      </c>
      <c r="T10" s="11">
        <v>5.3699999999999998E-2</v>
      </c>
      <c r="U10" s="11">
        <f t="shared" ca="1" si="5"/>
        <v>2.182538888542424E-3</v>
      </c>
      <c r="V10" s="6" t="e">
        <f ca="1">IF(agePb6U8(1/O10)&lt;1400,age7corr(1/O10,Q10,$W$2),agePb76(Q10))</f>
        <v>#NAME?</v>
      </c>
      <c r="W10" s="6" t="e">
        <f ca="1">IF(agePb6U8(1/O10)&lt;1400,ageer7corr(V10,1/O10,P10/O10*(1/O10),Q10,R10,$W$2,0.05),ageerPb76(Q10,R10))</f>
        <v>#NAME?</v>
      </c>
      <c r="X10" s="4" t="e">
        <f ca="1">agePb6U8(L10)/agePb7u5(J10)</f>
        <v>#NAME?</v>
      </c>
      <c r="Z10" s="1">
        <v>1.823</v>
      </c>
      <c r="AA10" s="1">
        <v>5.7000000000000002E-2</v>
      </c>
      <c r="AB10" s="1">
        <v>0.17710000000000001</v>
      </c>
      <c r="AC10" s="1">
        <v>5.5999999999999999E-3</v>
      </c>
      <c r="AD10" s="1">
        <v>0.98129</v>
      </c>
      <c r="AE10" s="1">
        <v>5.6465269999999999</v>
      </c>
      <c r="AF10" s="1">
        <v>0.17854629999999999</v>
      </c>
      <c r="AG10" s="1">
        <v>7.4840000000000004E-2</v>
      </c>
      <c r="AH10" s="1">
        <v>4.8999999999999998E-4</v>
      </c>
      <c r="AI10" s="1">
        <v>0.21410999999999999</v>
      </c>
      <c r="AJ10" s="1">
        <v>5.3699999999999998E-2</v>
      </c>
      <c r="AK10" s="1">
        <v>1.9E-3</v>
      </c>
      <c r="AL10" s="1">
        <v>9.3819999999999997</v>
      </c>
      <c r="AM10" s="1">
        <v>5.8999999999999997E-2</v>
      </c>
      <c r="AN10" s="1">
        <v>1053</v>
      </c>
      <c r="AO10" s="1">
        <v>20</v>
      </c>
      <c r="AP10" s="1">
        <v>1051</v>
      </c>
      <c r="AQ10" s="1">
        <v>31</v>
      </c>
      <c r="AR10" s="1">
        <v>1058</v>
      </c>
      <c r="AS10" s="1">
        <v>36</v>
      </c>
      <c r="AT10" s="1">
        <v>1064</v>
      </c>
      <c r="AU10" s="1">
        <v>13</v>
      </c>
      <c r="AV10" s="1">
        <v>18.32</v>
      </c>
      <c r="AW10" s="1">
        <v>0.3</v>
      </c>
      <c r="AX10" s="1">
        <v>2.431</v>
      </c>
      <c r="AY10" s="1">
        <v>5.5E-2</v>
      </c>
      <c r="AZ10" s="1">
        <v>10799.19</v>
      </c>
      <c r="BA10" s="1">
        <v>204.93</v>
      </c>
      <c r="BB10" s="1">
        <v>9283.9499999999989</v>
      </c>
      <c r="BC10" s="1">
        <v>155.25</v>
      </c>
      <c r="BD10" s="1">
        <v>126249.29999999999</v>
      </c>
      <c r="BE10" s="1">
        <v>2049.3000000000002</v>
      </c>
      <c r="BF10" s="1">
        <v>4.3470000000000004</v>
      </c>
      <c r="BG10" s="1">
        <v>5.9615999999999998</v>
      </c>
      <c r="BH10" s="1">
        <f t="shared" si="6"/>
        <v>29042.857142857138</v>
      </c>
      <c r="BI10" s="1">
        <f t="shared" si="7"/>
        <v>39832.993888012796</v>
      </c>
    </row>
    <row r="11" spans="1:61" x14ac:dyDescent="0.2">
      <c r="A11" t="s">
        <v>803</v>
      </c>
      <c r="B11" t="s">
        <v>38</v>
      </c>
      <c r="C11" t="s">
        <v>804</v>
      </c>
      <c r="D11" t="s">
        <v>805</v>
      </c>
      <c r="E11">
        <v>41140</v>
      </c>
      <c r="F11">
        <v>49652</v>
      </c>
      <c r="G11" t="s">
        <v>805</v>
      </c>
      <c r="H11" s="1">
        <v>77.3</v>
      </c>
      <c r="I11" s="1">
        <v>26.94</v>
      </c>
      <c r="J11" s="10">
        <v>1.8540000000000001</v>
      </c>
      <c r="K11" s="10">
        <f t="shared" ca="1" si="0"/>
        <v>5.3813812353335461E-2</v>
      </c>
      <c r="L11" s="7">
        <v>0.1802</v>
      </c>
      <c r="M11" s="7">
        <f t="shared" ca="1" si="1"/>
        <v>5.5343306731708763E-3</v>
      </c>
      <c r="N11" s="7">
        <v>0.96636999999999995</v>
      </c>
      <c r="O11" s="8">
        <v>5.5493899999999998</v>
      </c>
      <c r="P11" s="8">
        <f t="shared" ca="1" si="2"/>
        <v>0.17043369594314381</v>
      </c>
      <c r="Q11" s="9">
        <v>7.467E-2</v>
      </c>
      <c r="R11" s="9">
        <f t="shared" ca="1" si="3"/>
        <v>1.5540732157784587E-3</v>
      </c>
      <c r="S11" s="8">
        <f t="shared" si="4"/>
        <v>0.53979442358735841</v>
      </c>
      <c r="T11" s="11">
        <v>5.8200000000000002E-2</v>
      </c>
      <c r="U11" s="11">
        <f t="shared" ca="1" si="5"/>
        <v>1.8206855851574152E-3</v>
      </c>
      <c r="V11" s="6" t="e">
        <f ca="1">IF(agePb6U8(1/O11)&lt;1400,age7corr(1/O11,Q11,$W$2),agePb76(Q11))</f>
        <v>#NAME?</v>
      </c>
      <c r="W11" s="6" t="e">
        <f ca="1">IF(agePb6U8(1/O11)&lt;1400,ageer7corr(V11,1/O11,P11/O11*(1/O11),Q11,R11,$W$2,0.05),ageerPb76(Q11,R11))</f>
        <v>#NAME?</v>
      </c>
      <c r="X11" s="4" t="e">
        <f ca="1">agePb6U8(L11)/agePb7u5(J11)</f>
        <v>#NAME?</v>
      </c>
      <c r="Z11" s="1">
        <v>1.8540000000000001</v>
      </c>
      <c r="AA11" s="1">
        <v>3.9E-2</v>
      </c>
      <c r="AB11" s="1">
        <v>0.1802</v>
      </c>
      <c r="AC11" s="1">
        <v>4.1999999999999997E-3</v>
      </c>
      <c r="AD11" s="1">
        <v>0.96636999999999995</v>
      </c>
      <c r="AE11" s="1">
        <v>5.5493899999999998</v>
      </c>
      <c r="AF11" s="1">
        <v>0.12934200000000001</v>
      </c>
      <c r="AG11" s="1">
        <v>7.467E-2</v>
      </c>
      <c r="AH11" s="1">
        <v>4.2999999999999999E-4</v>
      </c>
      <c r="AI11" s="1">
        <v>0.29903999999999997</v>
      </c>
      <c r="AJ11" s="1">
        <v>5.8200000000000002E-2</v>
      </c>
      <c r="AK11" s="1">
        <v>1.4E-3</v>
      </c>
      <c r="AL11" s="1">
        <v>9.4049999999999994</v>
      </c>
      <c r="AM11" s="1">
        <v>0.05</v>
      </c>
      <c r="AN11" s="1">
        <v>1064</v>
      </c>
      <c r="AO11" s="1">
        <v>14</v>
      </c>
      <c r="AP11" s="1">
        <v>1068</v>
      </c>
      <c r="AQ11" s="1">
        <v>23</v>
      </c>
      <c r="AR11" s="1">
        <v>1143</v>
      </c>
      <c r="AS11" s="1">
        <v>27</v>
      </c>
      <c r="AT11" s="1">
        <v>1062</v>
      </c>
      <c r="AU11" s="1">
        <v>11</v>
      </c>
      <c r="AV11" s="1">
        <v>16.66</v>
      </c>
      <c r="AW11" s="1">
        <v>0.27</v>
      </c>
      <c r="AX11" s="1">
        <v>2.1179999999999999</v>
      </c>
      <c r="AY11" s="1">
        <v>4.5000000000000005E-2</v>
      </c>
      <c r="AZ11" s="1">
        <v>9911.16</v>
      </c>
      <c r="BA11" s="1">
        <v>186.3</v>
      </c>
      <c r="BB11" s="1">
        <v>8625.69</v>
      </c>
      <c r="BC11" s="1">
        <v>149.04</v>
      </c>
      <c r="BD11" s="1">
        <v>116437.5</v>
      </c>
      <c r="BE11" s="1">
        <v>2111.4</v>
      </c>
      <c r="BF11" s="1">
        <v>5.9615999999999998</v>
      </c>
      <c r="BG11" s="1">
        <v>5.3406000000000002</v>
      </c>
      <c r="BH11" s="1">
        <f t="shared" si="6"/>
        <v>19531.25</v>
      </c>
      <c r="BI11" s="1">
        <f t="shared" si="7"/>
        <v>17500.328920694388</v>
      </c>
    </row>
    <row r="12" spans="1:61" x14ac:dyDescent="0.2">
      <c r="A12" t="s">
        <v>875</v>
      </c>
      <c r="B12" t="s">
        <v>38</v>
      </c>
      <c r="C12" t="s">
        <v>876</v>
      </c>
      <c r="D12" t="s">
        <v>877</v>
      </c>
      <c r="E12">
        <v>40948</v>
      </c>
      <c r="F12">
        <v>49470</v>
      </c>
      <c r="G12" t="s">
        <v>877</v>
      </c>
      <c r="H12" s="1">
        <v>89.1</v>
      </c>
      <c r="I12" s="1">
        <v>34.659999999999997</v>
      </c>
      <c r="J12" s="10">
        <v>1.8380000000000001</v>
      </c>
      <c r="K12" s="10">
        <f t="shared" ca="1" si="0"/>
        <v>5.2156472273343031E-2</v>
      </c>
      <c r="L12" s="7">
        <v>0.1797</v>
      </c>
      <c r="M12" s="7">
        <f t="shared" ca="1" si="1"/>
        <v>5.0166558582386339E-3</v>
      </c>
      <c r="N12" s="7">
        <v>0.95160999999999996</v>
      </c>
      <c r="O12" s="8">
        <v>5.5648299999999997</v>
      </c>
      <c r="P12" s="8">
        <f t="shared" ca="1" si="2"/>
        <v>0.15535248030221468</v>
      </c>
      <c r="Q12" s="9">
        <v>7.4219999999999994E-2</v>
      </c>
      <c r="R12" s="9">
        <f t="shared" ca="1" si="3"/>
        <v>1.5728456249740469E-3</v>
      </c>
      <c r="S12" s="8">
        <f t="shared" si="4"/>
        <v>0.4600684099231489</v>
      </c>
      <c r="T12" s="11">
        <v>5.2409999999999998E-2</v>
      </c>
      <c r="U12" s="11">
        <f t="shared" ca="1" si="5"/>
        <v>1.3750720853831627E-3</v>
      </c>
      <c r="V12" s="6" t="e">
        <f ca="1">IF(agePb6U8(1/O12)&lt;1400,age7corr(1/O12,Q12,$W$2),agePb76(Q12))</f>
        <v>#NAME?</v>
      </c>
      <c r="W12" s="6" t="e">
        <f ca="1">IF(agePb6U8(1/O12)&lt;1400,ageer7corr(V12,1/O12,P12/O12*(1/O12),Q12,R12,$W$2,0.05),ageerPb76(Q12,R12))</f>
        <v>#NAME?</v>
      </c>
      <c r="X12" s="4" t="e">
        <f ca="1">agePb6U8(L12)/agePb7u5(J12)</f>
        <v>#NAME?</v>
      </c>
      <c r="Z12" s="1">
        <v>1.8380000000000001</v>
      </c>
      <c r="AA12" s="1">
        <v>3.6999999999999998E-2</v>
      </c>
      <c r="AB12" s="1">
        <v>0.1797</v>
      </c>
      <c r="AC12" s="1">
        <v>3.5000000000000001E-3</v>
      </c>
      <c r="AD12" s="1">
        <v>0.95160999999999996</v>
      </c>
      <c r="AE12" s="1">
        <v>5.5648299999999997</v>
      </c>
      <c r="AF12" s="1">
        <v>0.1083857</v>
      </c>
      <c r="AG12" s="1">
        <v>7.4219999999999994E-2</v>
      </c>
      <c r="AH12" s="1">
        <v>5.1999999999999995E-4</v>
      </c>
      <c r="AI12" s="1">
        <v>-9.8147999999999999E-2</v>
      </c>
      <c r="AJ12" s="1">
        <v>5.2409999999999998E-2</v>
      </c>
      <c r="AK12" s="1">
        <v>8.8999999999999995E-4</v>
      </c>
      <c r="AL12" s="1">
        <v>9.3059999999999992</v>
      </c>
      <c r="AM12" s="1">
        <v>3.1E-2</v>
      </c>
      <c r="AN12" s="1">
        <v>1059</v>
      </c>
      <c r="AO12" s="1">
        <v>13</v>
      </c>
      <c r="AP12" s="1">
        <v>1065</v>
      </c>
      <c r="AQ12" s="1">
        <v>19</v>
      </c>
      <c r="AR12" s="1">
        <v>1032</v>
      </c>
      <c r="AS12" s="1">
        <v>17</v>
      </c>
      <c r="AT12" s="1">
        <v>1050</v>
      </c>
      <c r="AU12" s="1">
        <v>15</v>
      </c>
      <c r="AV12" s="1">
        <v>19.16</v>
      </c>
      <c r="AW12" s="1">
        <v>0.38</v>
      </c>
      <c r="AX12" s="1">
        <v>2.722</v>
      </c>
      <c r="AY12" s="1">
        <v>6.4999999999999988E-2</v>
      </c>
      <c r="AZ12" s="1">
        <v>11606.49</v>
      </c>
      <c r="BA12" s="1">
        <v>192.51</v>
      </c>
      <c r="BB12" s="1">
        <v>9830.43</v>
      </c>
      <c r="BC12" s="1">
        <v>161.45999999999998</v>
      </c>
      <c r="BD12" s="1">
        <v>133639.19999999998</v>
      </c>
      <c r="BE12" s="1">
        <v>2235.6000000000004</v>
      </c>
      <c r="BF12" s="1">
        <v>6.5205000000000002</v>
      </c>
      <c r="BG12" s="1">
        <v>4.5332999999999997</v>
      </c>
      <c r="BH12" s="1">
        <f t="shared" si="6"/>
        <v>20495.238095238092</v>
      </c>
      <c r="BI12" s="1">
        <f t="shared" si="7"/>
        <v>14253.194564241392</v>
      </c>
    </row>
    <row r="13" spans="1:61" x14ac:dyDescent="0.2">
      <c r="A13" t="s">
        <v>947</v>
      </c>
      <c r="B13" t="s">
        <v>38</v>
      </c>
      <c r="C13" t="s">
        <v>948</v>
      </c>
      <c r="D13" t="s">
        <v>949</v>
      </c>
      <c r="E13">
        <v>41426</v>
      </c>
      <c r="F13">
        <v>49335</v>
      </c>
      <c r="G13" t="s">
        <v>949</v>
      </c>
      <c r="H13" s="1">
        <v>85.4</v>
      </c>
      <c r="I13" s="1">
        <v>31.87</v>
      </c>
      <c r="J13" s="10">
        <v>1.8029999999999999</v>
      </c>
      <c r="K13" s="10">
        <f t="shared" ca="1" si="0"/>
        <v>6.3279725031008149E-2</v>
      </c>
      <c r="L13" s="7">
        <v>0.1762</v>
      </c>
      <c r="M13" s="7">
        <f t="shared" ca="1" si="1"/>
        <v>6.3646347892082553E-3</v>
      </c>
      <c r="N13" s="7">
        <v>0.97667999999999999</v>
      </c>
      <c r="O13" s="8">
        <v>5.6753689999999999</v>
      </c>
      <c r="P13" s="8">
        <f t="shared" ca="1" si="2"/>
        <v>0.20500368840209779</v>
      </c>
      <c r="Q13" s="9">
        <v>7.4749999999999997E-2</v>
      </c>
      <c r="R13" s="9">
        <f t="shared" ca="1" si="3"/>
        <v>1.542538492226369E-3</v>
      </c>
      <c r="S13" s="8">
        <f t="shared" si="4"/>
        <v>0.37213716049857626</v>
      </c>
      <c r="T13" s="11">
        <v>5.28E-2</v>
      </c>
      <c r="U13" s="11">
        <f t="shared" ca="1" si="5"/>
        <v>1.6748540234898085E-3</v>
      </c>
      <c r="V13" s="6" t="e">
        <f ca="1">IF(agePb6U8(1/O13)&lt;1400,age7corr(1/O13,Q13,$W$2),agePb76(Q13))</f>
        <v>#NAME?</v>
      </c>
      <c r="W13" s="6" t="e">
        <f ca="1">IF(agePb6U8(1/O13)&lt;1400,ageer7corr(V13,1/O13,P13/O13*(1/O13),Q13,R13,$W$2,0.05),ageerPb76(Q13,R13))</f>
        <v>#NAME?</v>
      </c>
      <c r="X13" s="4" t="e">
        <f ca="1">agePb6U8(L13)/agePb7u5(J13)</f>
        <v>#NAME?</v>
      </c>
      <c r="Z13" s="1">
        <v>1.8029999999999999</v>
      </c>
      <c r="AA13" s="1">
        <v>5.1999999999999998E-2</v>
      </c>
      <c r="AB13" s="1">
        <v>0.1762</v>
      </c>
      <c r="AC13" s="1">
        <v>5.3E-3</v>
      </c>
      <c r="AD13" s="1">
        <v>0.97667999999999999</v>
      </c>
      <c r="AE13" s="1">
        <v>5.6753689999999999</v>
      </c>
      <c r="AF13" s="1">
        <v>0.170712</v>
      </c>
      <c r="AG13" s="1">
        <v>7.4749999999999997E-2</v>
      </c>
      <c r="AH13" s="1">
        <v>3.8000000000000002E-4</v>
      </c>
      <c r="AI13" s="1">
        <v>-8.7789000000000006E-2</v>
      </c>
      <c r="AJ13" s="1">
        <v>5.28E-2</v>
      </c>
      <c r="AK13" s="1">
        <v>1.2999999999999999E-3</v>
      </c>
      <c r="AL13" s="1">
        <v>9.34</v>
      </c>
      <c r="AM13" s="1">
        <v>5.8999999999999997E-2</v>
      </c>
      <c r="AN13" s="1">
        <v>1046</v>
      </c>
      <c r="AO13" s="1">
        <v>19</v>
      </c>
      <c r="AP13" s="1">
        <v>1046</v>
      </c>
      <c r="AQ13" s="1">
        <v>29</v>
      </c>
      <c r="AR13" s="1">
        <v>1039</v>
      </c>
      <c r="AS13" s="1">
        <v>25</v>
      </c>
      <c r="AT13" s="1">
        <v>1062</v>
      </c>
      <c r="AU13" s="1">
        <v>10</v>
      </c>
      <c r="AV13" s="1">
        <v>18.309999999999999</v>
      </c>
      <c r="AW13" s="1">
        <v>0.45</v>
      </c>
      <c r="AX13" s="1">
        <v>2.5</v>
      </c>
      <c r="AY13" s="1">
        <v>4.1000000000000002E-2</v>
      </c>
      <c r="AZ13" s="1">
        <v>10910.97</v>
      </c>
      <c r="BA13" s="1">
        <v>186.3</v>
      </c>
      <c r="BB13" s="1">
        <v>9333.6299999999992</v>
      </c>
      <c r="BC13" s="1">
        <v>180.09</v>
      </c>
      <c r="BD13" s="1">
        <v>125255.70000000003</v>
      </c>
      <c r="BE13" s="1">
        <v>2111.4</v>
      </c>
      <c r="BF13" s="1">
        <v>10.370699999999999</v>
      </c>
      <c r="BG13" s="1">
        <v>4.9059000000000008</v>
      </c>
      <c r="BH13" s="1">
        <f t="shared" si="6"/>
        <v>12077.844311377248</v>
      </c>
      <c r="BI13" s="1">
        <f t="shared" si="7"/>
        <v>5717.0975053032071</v>
      </c>
    </row>
    <row r="14" spans="1:61" x14ac:dyDescent="0.2">
      <c r="A14" t="s">
        <v>1019</v>
      </c>
      <c r="B14" t="s">
        <v>38</v>
      </c>
      <c r="C14" t="s">
        <v>1020</v>
      </c>
      <c r="D14" t="s">
        <v>1021</v>
      </c>
      <c r="E14">
        <v>41179</v>
      </c>
      <c r="F14">
        <v>49657</v>
      </c>
      <c r="G14" t="s">
        <v>1021</v>
      </c>
      <c r="H14" s="1">
        <v>77.099999999999994</v>
      </c>
      <c r="I14" s="1">
        <v>28.35</v>
      </c>
      <c r="J14" s="10">
        <v>1.863</v>
      </c>
      <c r="K14" s="10">
        <f t="shared" ca="1" si="0"/>
        <v>4.6014210848389005E-2</v>
      </c>
      <c r="L14" s="7">
        <v>0.17960000000000001</v>
      </c>
      <c r="M14" s="7">
        <f t="shared" ca="1" si="1"/>
        <v>4.4936025636453441E-3</v>
      </c>
      <c r="N14" s="7">
        <v>0.94679999999999997</v>
      </c>
      <c r="O14" s="8">
        <v>5.5679290000000004</v>
      </c>
      <c r="P14" s="8">
        <f t="shared" ca="1" si="2"/>
        <v>0.13930990747258432</v>
      </c>
      <c r="Q14" s="9">
        <v>7.5389999999999999E-2</v>
      </c>
      <c r="R14" s="9">
        <f t="shared" ca="1" si="3"/>
        <v>1.5949485383547645E-3</v>
      </c>
      <c r="S14" s="8">
        <f t="shared" si="4"/>
        <v>0.41709893563002781</v>
      </c>
      <c r="T14" s="11">
        <v>5.5500000000000001E-2</v>
      </c>
      <c r="U14" s="11">
        <f t="shared" ca="1" si="5"/>
        <v>1.5627219842313605E-3</v>
      </c>
      <c r="V14" s="6" t="e">
        <f ca="1">IF(agePb6U8(1/O14)&lt;1400,age7corr(1/O14,Q14,$W$2),agePb76(Q14))</f>
        <v>#NAME?</v>
      </c>
      <c r="W14" s="6" t="e">
        <f ca="1">IF(agePb6U8(1/O14)&lt;1400,ageer7corr(V14,1/O14,P14/O14*(1/O14),Q14,R14,$W$2,0.05),ageerPb76(Q14,R14))</f>
        <v>#NAME?</v>
      </c>
      <c r="X14" s="4" t="e">
        <f ca="1">agePb6U8(L14)/agePb7u5(J14)</f>
        <v>#NAME?</v>
      </c>
      <c r="Z14" s="1">
        <v>1.863</v>
      </c>
      <c r="AA14" s="1">
        <v>2.7E-2</v>
      </c>
      <c r="AB14" s="1">
        <v>0.17960000000000001</v>
      </c>
      <c r="AC14" s="1">
        <v>2.7000000000000001E-3</v>
      </c>
      <c r="AD14" s="1">
        <v>0.94679999999999997</v>
      </c>
      <c r="AE14" s="1">
        <v>5.5679290000000004</v>
      </c>
      <c r="AF14" s="1">
        <v>8.3704940000000005E-2</v>
      </c>
      <c r="AG14" s="1">
        <v>7.5389999999999999E-2</v>
      </c>
      <c r="AH14" s="1">
        <v>5.1999999999999995E-4</v>
      </c>
      <c r="AI14" s="1">
        <v>0.17618</v>
      </c>
      <c r="AJ14" s="1">
        <v>5.5500000000000001E-2</v>
      </c>
      <c r="AK14" s="1">
        <v>1.1000000000000001E-3</v>
      </c>
      <c r="AL14" s="1">
        <v>9.343</v>
      </c>
      <c r="AM14" s="1">
        <v>6.8000000000000005E-2</v>
      </c>
      <c r="AN14" s="1">
        <v>1067.8</v>
      </c>
      <c r="AO14" s="1">
        <v>9.6999999999999993</v>
      </c>
      <c r="AP14" s="1">
        <v>1065</v>
      </c>
      <c r="AQ14" s="1">
        <v>15</v>
      </c>
      <c r="AR14" s="1">
        <v>1092</v>
      </c>
      <c r="AS14" s="1">
        <v>22</v>
      </c>
      <c r="AT14" s="1">
        <v>1079</v>
      </c>
      <c r="AU14" s="1">
        <v>14</v>
      </c>
      <c r="AV14" s="1">
        <v>16.5</v>
      </c>
      <c r="AW14" s="1">
        <v>0.28999999999999998</v>
      </c>
      <c r="AX14" s="1">
        <v>2.2210000000000001</v>
      </c>
      <c r="AY14" s="1">
        <v>4.7E-2</v>
      </c>
      <c r="AZ14" s="1">
        <v>9936</v>
      </c>
      <c r="BA14" s="1">
        <v>117.99</v>
      </c>
      <c r="BB14" s="1">
        <v>8662.9500000000007</v>
      </c>
      <c r="BC14" s="1">
        <v>155.25</v>
      </c>
      <c r="BD14" s="1">
        <v>115816.5</v>
      </c>
      <c r="BE14" s="1">
        <v>1738.8</v>
      </c>
      <c r="BF14" s="1">
        <v>13.2273</v>
      </c>
      <c r="BG14" s="1">
        <v>5.1543000000000001</v>
      </c>
      <c r="BH14" s="1">
        <f t="shared" si="6"/>
        <v>8755.8685446009385</v>
      </c>
      <c r="BI14" s="1">
        <f t="shared" si="7"/>
        <v>3414.4426593545409</v>
      </c>
    </row>
    <row r="15" spans="1:61" x14ac:dyDescent="0.2">
      <c r="A15" t="s">
        <v>1091</v>
      </c>
      <c r="B15" t="s">
        <v>38</v>
      </c>
      <c r="C15" t="s">
        <v>1092</v>
      </c>
      <c r="D15" t="s">
        <v>1093</v>
      </c>
      <c r="E15">
        <v>41085</v>
      </c>
      <c r="F15">
        <v>49680</v>
      </c>
      <c r="G15" t="s">
        <v>1093</v>
      </c>
      <c r="H15" s="1">
        <v>77.5</v>
      </c>
      <c r="I15" s="1">
        <v>29.33</v>
      </c>
      <c r="J15" s="10">
        <v>1.863</v>
      </c>
      <c r="K15" s="10">
        <f t="shared" ca="1" si="0"/>
        <v>5.9197192500996192E-2</v>
      </c>
      <c r="L15" s="7">
        <v>0.18029999999999999</v>
      </c>
      <c r="M15" s="7">
        <f t="shared" ca="1" si="1"/>
        <v>5.8449325060260533E-3</v>
      </c>
      <c r="N15" s="7">
        <v>0.96518999999999999</v>
      </c>
      <c r="O15" s="8">
        <v>5.5463120000000004</v>
      </c>
      <c r="P15" s="8">
        <f t="shared" ca="1" si="2"/>
        <v>0.17979929457808672</v>
      </c>
      <c r="Q15" s="9">
        <v>7.5219999999999995E-2</v>
      </c>
      <c r="R15" s="9">
        <f t="shared" ca="1" si="3"/>
        <v>1.5646467205091376E-3</v>
      </c>
      <c r="S15" s="8">
        <f t="shared" si="4"/>
        <v>0.4954781896063119</v>
      </c>
      <c r="T15" s="11">
        <v>5.3699999999999998E-2</v>
      </c>
      <c r="U15" s="11">
        <f t="shared" ca="1" si="5"/>
        <v>1.6862609525218804E-3</v>
      </c>
      <c r="V15" s="6" t="e">
        <f ca="1">IF(agePb6U8(1/O15)&lt;1400,age7corr(1/O15,Q15,$W$2),agePb76(Q15))</f>
        <v>#NAME?</v>
      </c>
      <c r="W15" s="6" t="e">
        <f ca="1">IF(agePb6U8(1/O15)&lt;1400,ageer7corr(V15,1/O15,P15/O15*(1/O15),Q15,R15,$W$2,0.05),ageerPb76(Q15,R15))</f>
        <v>#NAME?</v>
      </c>
      <c r="X15" s="4" t="e">
        <f ca="1">agePb6U8(L15)/agePb7u5(J15)</f>
        <v>#NAME?</v>
      </c>
      <c r="Z15" s="1">
        <v>1.863</v>
      </c>
      <c r="AA15" s="1">
        <v>4.5999999999999999E-2</v>
      </c>
      <c r="AB15" s="1">
        <v>0.18029999999999999</v>
      </c>
      <c r="AC15" s="1">
        <v>4.5999999999999999E-3</v>
      </c>
      <c r="AD15" s="1">
        <v>0.96518999999999999</v>
      </c>
      <c r="AE15" s="1">
        <v>5.5463120000000004</v>
      </c>
      <c r="AF15" s="1">
        <v>0.1415032</v>
      </c>
      <c r="AG15" s="1">
        <v>7.5219999999999995E-2</v>
      </c>
      <c r="AH15" s="1">
        <v>4.2999999999999999E-4</v>
      </c>
      <c r="AI15" s="1">
        <v>0.21673000000000001</v>
      </c>
      <c r="AJ15" s="1">
        <v>5.3699999999999998E-2</v>
      </c>
      <c r="AK15" s="1">
        <v>1.2999999999999999E-3</v>
      </c>
      <c r="AL15" s="1">
        <v>9.4019999999999992</v>
      </c>
      <c r="AM15" s="1">
        <v>4.9000000000000002E-2</v>
      </c>
      <c r="AN15" s="1">
        <v>1067</v>
      </c>
      <c r="AO15" s="1">
        <v>16</v>
      </c>
      <c r="AP15" s="1">
        <v>1069</v>
      </c>
      <c r="AQ15" s="1">
        <v>25</v>
      </c>
      <c r="AR15" s="1">
        <v>1057</v>
      </c>
      <c r="AS15" s="1">
        <v>24</v>
      </c>
      <c r="AT15" s="1">
        <v>1074</v>
      </c>
      <c r="AU15" s="1">
        <v>12</v>
      </c>
      <c r="AV15" s="1">
        <v>16.54</v>
      </c>
      <c r="AW15" s="1">
        <v>0.31</v>
      </c>
      <c r="AX15" s="1">
        <v>2.2950000000000004</v>
      </c>
      <c r="AY15" s="1">
        <v>5.0999999999999997E-2</v>
      </c>
      <c r="AZ15" s="1">
        <v>9923.58</v>
      </c>
      <c r="BA15" s="1">
        <v>186.3</v>
      </c>
      <c r="BB15" s="1">
        <v>8675.3700000000008</v>
      </c>
      <c r="BC15" s="1">
        <v>161.45999999999998</v>
      </c>
      <c r="BD15" s="1">
        <v>117431.1</v>
      </c>
      <c r="BE15" s="1">
        <v>2173.5</v>
      </c>
      <c r="BF15" s="1">
        <v>1.8629999999999998</v>
      </c>
      <c r="BG15" s="1">
        <v>4.4091000000000005</v>
      </c>
      <c r="BH15" s="1">
        <f t="shared" si="6"/>
        <v>63033.333333333343</v>
      </c>
      <c r="BI15" s="1">
        <f t="shared" si="7"/>
        <v>149183.45082895283</v>
      </c>
    </row>
    <row r="16" spans="1:61" x14ac:dyDescent="0.2">
      <c r="A16" t="s">
        <v>413</v>
      </c>
      <c r="B16" t="s">
        <v>38</v>
      </c>
      <c r="C16" t="s">
        <v>414</v>
      </c>
      <c r="D16" t="s">
        <v>415</v>
      </c>
      <c r="E16">
        <v>41405</v>
      </c>
      <c r="F16">
        <v>49602</v>
      </c>
      <c r="G16" t="s">
        <v>415</v>
      </c>
      <c r="H16" s="1">
        <v>75.2</v>
      </c>
      <c r="I16" s="1">
        <v>27.48</v>
      </c>
      <c r="J16" s="10">
        <v>1.847</v>
      </c>
      <c r="K16" s="10">
        <f t="shared" ca="1" si="0"/>
        <v>5.2283492614782344E-2</v>
      </c>
      <c r="L16" s="7">
        <v>0.1804</v>
      </c>
      <c r="M16" s="7">
        <f t="shared" ca="1" si="1"/>
        <v>4.9575865095830649E-3</v>
      </c>
      <c r="N16" s="7">
        <v>0.89119999999999999</v>
      </c>
      <c r="O16" s="8">
        <v>5.5432370000000004</v>
      </c>
      <c r="P16" s="8">
        <f t="shared" ca="1" si="2"/>
        <v>0.15233411266957772</v>
      </c>
      <c r="Q16" s="9">
        <v>7.4319999999999997E-2</v>
      </c>
      <c r="R16" s="9">
        <f t="shared" ca="1" si="3"/>
        <v>1.6472659044610861E-3</v>
      </c>
      <c r="S16" s="8">
        <f t="shared" si="4"/>
        <v>0.43373560584008752</v>
      </c>
      <c r="T16" s="11">
        <v>5.3699999999999998E-2</v>
      </c>
      <c r="U16" s="11">
        <f t="shared" ca="1" si="5"/>
        <v>1.9270381418124551E-3</v>
      </c>
      <c r="V16" s="6" t="e">
        <f ca="1">IF(agePb6U8(1/O16)&lt;1400,age7corr(1/O16,Q16,$W$2),agePb76(Q16))</f>
        <v>#NAME?</v>
      </c>
      <c r="W16" s="6" t="e">
        <f ca="1">IF(agePb6U8(1/O16)&lt;1400,ageer7corr(V16,1/O16,P16/O16*(1/O16),Q16,R16,$W$2,0.05),ageerPb76(Q16,R16))</f>
        <v>#NAME?</v>
      </c>
      <c r="X16" s="4" t="e">
        <f ca="1">agePb6U8(L16)/agePb7u5(J16)</f>
        <v>#NAME?</v>
      </c>
      <c r="Z16" s="1">
        <v>1.847</v>
      </c>
      <c r="AA16" s="1">
        <v>3.6999999999999998E-2</v>
      </c>
      <c r="AB16" s="1">
        <v>0.1804</v>
      </c>
      <c r="AC16" s="1">
        <v>3.3999999999999998E-3</v>
      </c>
      <c r="AD16" s="1">
        <v>0.89119999999999999</v>
      </c>
      <c r="AE16" s="1">
        <v>5.5432370000000004</v>
      </c>
      <c r="AF16" s="1">
        <v>0.10447339999999999</v>
      </c>
      <c r="AG16" s="1">
        <v>7.4319999999999997E-2</v>
      </c>
      <c r="AH16" s="1">
        <v>7.1000000000000002E-4</v>
      </c>
      <c r="AI16" s="1">
        <v>0.13428999999999999</v>
      </c>
      <c r="AJ16" s="1">
        <v>5.3699999999999998E-2</v>
      </c>
      <c r="AK16" s="1">
        <v>1.6000000000000001E-3</v>
      </c>
      <c r="AL16" s="1">
        <v>9.4949999999999992</v>
      </c>
      <c r="AM16" s="1">
        <v>5.8999999999999997E-2</v>
      </c>
      <c r="AN16" s="1">
        <v>1062</v>
      </c>
      <c r="AO16" s="1">
        <v>13</v>
      </c>
      <c r="AP16" s="1">
        <v>1069</v>
      </c>
      <c r="AQ16" s="1">
        <v>19</v>
      </c>
      <c r="AR16" s="1">
        <v>1057</v>
      </c>
      <c r="AS16" s="1">
        <v>30</v>
      </c>
      <c r="AT16" s="1">
        <v>1049</v>
      </c>
      <c r="AU16" s="1">
        <v>19</v>
      </c>
      <c r="AV16" s="1">
        <v>16.420000000000002</v>
      </c>
      <c r="AW16" s="1">
        <v>0.23</v>
      </c>
      <c r="AX16" s="1">
        <v>2.173</v>
      </c>
      <c r="AY16" s="1">
        <v>5.5E-2</v>
      </c>
      <c r="AZ16" s="1">
        <v>9544.77</v>
      </c>
      <c r="BA16" s="1">
        <v>80.72999999999999</v>
      </c>
      <c r="BB16" s="1">
        <v>8377.2899999999991</v>
      </c>
      <c r="BC16" s="1">
        <v>124.2</v>
      </c>
      <c r="BD16" s="1">
        <v>113208.3</v>
      </c>
      <c r="BE16" s="1">
        <v>1428.3</v>
      </c>
      <c r="BF16" s="1">
        <v>1.8629999999999998</v>
      </c>
      <c r="BG16" s="1">
        <v>5.5889999999999995</v>
      </c>
      <c r="BH16" s="1">
        <f t="shared" si="6"/>
        <v>60766.666666666679</v>
      </c>
      <c r="BI16" s="1">
        <f t="shared" si="7"/>
        <v>182301.61210965138</v>
      </c>
    </row>
    <row r="17" spans="1:61" x14ac:dyDescent="0.2">
      <c r="X17" s="4"/>
    </row>
    <row r="18" spans="1:61" x14ac:dyDescent="0.2">
      <c r="X18" s="4"/>
    </row>
    <row r="19" spans="1:61" x14ac:dyDescent="0.2">
      <c r="A19" t="s">
        <v>86</v>
      </c>
      <c r="B19" t="s">
        <v>38</v>
      </c>
      <c r="C19" t="s">
        <v>87</v>
      </c>
      <c r="D19" t="s">
        <v>88</v>
      </c>
      <c r="E19">
        <v>43335</v>
      </c>
      <c r="F19">
        <v>47530</v>
      </c>
      <c r="G19" t="s">
        <v>88</v>
      </c>
      <c r="H19" s="1">
        <v>35.369999999999997</v>
      </c>
      <c r="I19" s="1">
        <v>19.86</v>
      </c>
      <c r="J19" s="10">
        <v>6.08E-2</v>
      </c>
      <c r="K19" s="10">
        <f ca="1">SQRT(K$2^2+(AA19/Z19)^2)*J19</f>
        <v>4.2765238219843937E-3</v>
      </c>
      <c r="L19" s="7">
        <v>8.9099999999999995E-3</v>
      </c>
      <c r="M19" s="7">
        <f ca="1">SQRT(M$2^2+(AC19/AB19)^2)*L19</f>
        <v>2.5328884697120005E-4</v>
      </c>
      <c r="N19" s="7">
        <v>2.0202000000000001E-2</v>
      </c>
      <c r="O19" s="8">
        <v>112.2334</v>
      </c>
      <c r="P19" s="8">
        <f ca="1">SQRT(P$2^2+(AF19/AE19)^2)*O19</f>
        <v>3.1905131523295749</v>
      </c>
      <c r="Q19" s="9">
        <v>4.9700000000000001E-2</v>
      </c>
      <c r="R19" s="9">
        <f ca="1">SQRT(R$2^2+(AH19/AG19)^2)*Q19</f>
        <v>3.6384111917154168E-3</v>
      </c>
      <c r="S19" s="8">
        <f>(((BE19/BD19)^2+(AW19/AV19)^2)+((BE19/BD19)^2+(BC19/BB19)^2)-((BC19/BB19)^2+(AW19/AV19)^2))/(2*SQRT((BE19/BD19)^2+(AW19/AV19)^2)*SQRT((BE19/BD19)^2+(BC19/BB19)^2))</f>
        <v>0.21751302469756656</v>
      </c>
      <c r="T19" s="11">
        <v>2.5300000000000001E-3</v>
      </c>
      <c r="U19" s="11">
        <f ca="1">SQRT(U$2^2+(AK19/AJ19)^2)*T19</f>
        <v>1.3023194692547601E-4</v>
      </c>
      <c r="V19" s="6" t="e">
        <f ca="1">IF(agePb6U8(1/O19)&lt;1400,age7corr(1/O19,Q19,$W$2),agePb76(Q19))</f>
        <v>#NAME?</v>
      </c>
      <c r="W19" s="6" t="e">
        <f ca="1">IF(agePb6U8(1/O19)&lt;1400,ageer7corr(V19,1/O19,P19/O19*(1/O19),Q19,R19,$W$2,0.05),ageerPb76(Q19,R19))</f>
        <v>#NAME?</v>
      </c>
      <c r="X19" s="4" t="e">
        <f ca="1">agePb6U8(L19)/agePb7u5(J19)</f>
        <v>#NAME?</v>
      </c>
      <c r="Z19" s="1">
        <v>6.08E-2</v>
      </c>
      <c r="AA19" s="1">
        <v>4.1000000000000003E-3</v>
      </c>
      <c r="AB19" s="1">
        <v>8.9099999999999995E-3</v>
      </c>
      <c r="AC19" s="1">
        <v>1.8000000000000001E-4</v>
      </c>
      <c r="AD19" s="1">
        <v>2.0202000000000001E-2</v>
      </c>
      <c r="AE19" s="1">
        <v>112.2334</v>
      </c>
      <c r="AF19" s="1">
        <v>2.2673420000000002</v>
      </c>
      <c r="AG19" s="1">
        <v>4.9700000000000001E-2</v>
      </c>
      <c r="AH19" s="1">
        <v>3.5000000000000001E-3</v>
      </c>
      <c r="AI19" s="1">
        <v>0.33834999999999998</v>
      </c>
      <c r="AJ19" s="1">
        <v>2.5300000000000001E-3</v>
      </c>
      <c r="AK19" s="1">
        <v>1.2E-4</v>
      </c>
      <c r="AL19" s="1">
        <v>6.89</v>
      </c>
      <c r="AM19" s="1">
        <v>0.23</v>
      </c>
      <c r="AN19" s="1">
        <v>59.9</v>
      </c>
      <c r="AO19" s="1">
        <v>4</v>
      </c>
      <c r="AP19" s="1">
        <v>57.2</v>
      </c>
      <c r="AQ19" s="1">
        <v>1.2</v>
      </c>
      <c r="AR19" s="1">
        <v>51</v>
      </c>
      <c r="AS19" s="1">
        <v>2.2999999999999998</v>
      </c>
      <c r="AT19" s="1">
        <v>180</v>
      </c>
      <c r="AU19" s="1">
        <v>150</v>
      </c>
      <c r="AV19" s="1">
        <v>7.8100000000000005</v>
      </c>
      <c r="AW19" s="1">
        <v>0.1</v>
      </c>
      <c r="AX19" s="1">
        <v>1.5780000000000001</v>
      </c>
      <c r="AY19" s="1">
        <v>4.7E-2</v>
      </c>
      <c r="AZ19" s="1">
        <v>326.64600000000002</v>
      </c>
      <c r="BA19" s="1">
        <v>11.799000000000001</v>
      </c>
      <c r="BB19" s="1">
        <v>133.51499999999999</v>
      </c>
      <c r="BC19" s="1">
        <v>9.3149999999999995</v>
      </c>
      <c r="BD19" s="1">
        <v>2683.962</v>
      </c>
      <c r="BE19" s="1">
        <v>50.921999999999997</v>
      </c>
      <c r="BF19" s="1">
        <v>-18.63</v>
      </c>
      <c r="BG19" s="1">
        <v>6.8310000000000004</v>
      </c>
      <c r="BH19" s="1">
        <f>BD19/BF19</f>
        <v>-144.06666666666666</v>
      </c>
      <c r="BI19" s="1">
        <f>SQRT((BG19/BF19)^2+(BE19/BD19)^2)*BH19</f>
        <v>-52.895113592611835</v>
      </c>
    </row>
    <row r="20" spans="1:61" x14ac:dyDescent="0.2">
      <c r="A20" t="s">
        <v>191</v>
      </c>
      <c r="B20" t="s">
        <v>38</v>
      </c>
      <c r="C20" t="s">
        <v>192</v>
      </c>
      <c r="D20" t="s">
        <v>193</v>
      </c>
      <c r="E20">
        <v>43372</v>
      </c>
      <c r="F20">
        <v>47531</v>
      </c>
      <c r="G20" t="s">
        <v>193</v>
      </c>
      <c r="H20" s="1">
        <v>57.9</v>
      </c>
      <c r="I20" s="1">
        <v>40.1</v>
      </c>
      <c r="J20" s="10">
        <v>5.7799999999999997E-2</v>
      </c>
      <c r="K20" s="10">
        <f ca="1">SQRT(K$2^2+(AA20/Z20)^2)*J20</f>
        <v>3.5911468920109633E-3</v>
      </c>
      <c r="L20" s="7">
        <v>8.6800000000000002E-3</v>
      </c>
      <c r="M20" s="7">
        <f ca="1">SQRT(M$2^2+(AC20/AB20)^2)*L20</f>
        <v>2.7246460320562741E-4</v>
      </c>
      <c r="N20" s="7">
        <v>0.49608999999999998</v>
      </c>
      <c r="O20" s="8">
        <v>115.20740000000001</v>
      </c>
      <c r="P20" s="8">
        <f ca="1">SQRT(P$2^2+(AF20/AE20)^2)*O20</f>
        <v>3.6163517433359544</v>
      </c>
      <c r="Q20" s="9">
        <v>4.7300000000000002E-2</v>
      </c>
      <c r="R20" s="9">
        <f ca="1">SQRT(R$2^2+(AH20/AG20)^2)*Q20</f>
        <v>2.4869491349844694E-3</v>
      </c>
      <c r="S20" s="8">
        <f>(((BE20/BD20)^2+(AW20/AV20)^2)+((BE20/BD20)^2+(BC20/BB20)^2)-((BC20/BB20)^2+(AW20/AV20)^2))/(2*SQRT((BE20/BD20)^2+(AW20/AV20)^2)*SQRT((BE20/BD20)^2+(BC20/BB20)^2))</f>
        <v>0.32645649354133643</v>
      </c>
      <c r="T20" s="11">
        <v>2.8900000000000002E-3</v>
      </c>
      <c r="U20" s="11">
        <f ca="1">SQRT(U$2^2+(AK20/AJ20)^2)*T20</f>
        <v>1.155025540843145E-4</v>
      </c>
      <c r="V20" s="6" t="e">
        <f ca="1">IF(agePb6U8(1/O20)&lt;1400,age7corr(1/O20,Q20,$W$2),agePb76(Q20))</f>
        <v>#NAME?</v>
      </c>
      <c r="W20" s="6" t="e">
        <f ca="1">IF(agePb6U8(1/O20)&lt;1400,ageer7corr(V20,1/O20,P20/O20*(1/O20),Q20,R20,$W$2,0.05),ageerPb76(Q20,R20))</f>
        <v>#NAME?</v>
      </c>
      <c r="X20" s="4" t="e">
        <f ca="1">agePb6U8(L20)/agePb7u5(J20)</f>
        <v>#NAME?</v>
      </c>
      <c r="Z20" s="1">
        <v>5.7799999999999997E-2</v>
      </c>
      <c r="AA20" s="1">
        <v>3.3999999999999998E-3</v>
      </c>
      <c r="AB20" s="1">
        <v>8.6800000000000002E-3</v>
      </c>
      <c r="AC20" s="1">
        <v>2.1000000000000001E-4</v>
      </c>
      <c r="AD20" s="1">
        <v>0.49608999999999998</v>
      </c>
      <c r="AE20" s="1">
        <v>115.20740000000001</v>
      </c>
      <c r="AF20" s="1">
        <v>2.7872750000000002</v>
      </c>
      <c r="AG20" s="1">
        <v>4.7300000000000002E-2</v>
      </c>
      <c r="AH20" s="1">
        <v>2.3E-3</v>
      </c>
      <c r="AI20" s="1">
        <v>-5.7429000000000001E-2</v>
      </c>
      <c r="AJ20" s="1">
        <v>2.8900000000000002E-3</v>
      </c>
      <c r="AK20" s="1">
        <v>1E-4</v>
      </c>
      <c r="AL20" s="1">
        <v>4.79</v>
      </c>
      <c r="AM20" s="1">
        <v>0.19</v>
      </c>
      <c r="AN20" s="1">
        <v>57.1</v>
      </c>
      <c r="AO20" s="1">
        <v>3.3</v>
      </c>
      <c r="AP20" s="1">
        <v>55.7</v>
      </c>
      <c r="AQ20" s="1">
        <v>1.3</v>
      </c>
      <c r="AR20" s="1">
        <v>58.4</v>
      </c>
      <c r="AS20" s="1">
        <v>2.1</v>
      </c>
      <c r="AT20" s="1">
        <v>80</v>
      </c>
      <c r="AU20" s="1">
        <v>100</v>
      </c>
      <c r="AV20" s="1">
        <v>12.74</v>
      </c>
      <c r="AW20" s="1">
        <v>0.38</v>
      </c>
      <c r="AX20" s="1">
        <v>3.18</v>
      </c>
      <c r="AY20" s="1">
        <v>0.27</v>
      </c>
      <c r="AZ20" s="1">
        <v>753.89400000000012</v>
      </c>
      <c r="BA20" s="1">
        <v>49.679999999999993</v>
      </c>
      <c r="BB20" s="1">
        <v>208.65600000000001</v>
      </c>
      <c r="BC20" s="1">
        <v>13.041</v>
      </c>
      <c r="BD20" s="1">
        <v>4340.79</v>
      </c>
      <c r="BE20" s="1">
        <v>136.62</v>
      </c>
      <c r="BF20" s="1">
        <v>0.74519999999999997</v>
      </c>
      <c r="BG20" s="1">
        <v>6.0236999999999998</v>
      </c>
      <c r="BH20" s="1">
        <f>BD20/BF20</f>
        <v>5825</v>
      </c>
      <c r="BI20" s="1">
        <f>SQRT((BG20/BF20)^2+(BE20/BD20)^2)*BH20</f>
        <v>47085.773581674563</v>
      </c>
    </row>
    <row r="21" spans="1:61" x14ac:dyDescent="0.2">
      <c r="A21" t="s">
        <v>410</v>
      </c>
      <c r="B21" t="s">
        <v>38</v>
      </c>
      <c r="C21" t="s">
        <v>411</v>
      </c>
      <c r="D21" t="s">
        <v>412</v>
      </c>
      <c r="E21">
        <v>43410</v>
      </c>
      <c r="F21">
        <v>47523</v>
      </c>
      <c r="G21" t="s">
        <v>412</v>
      </c>
      <c r="H21" s="1">
        <v>36.799999999999997</v>
      </c>
      <c r="I21" s="1">
        <v>15.53</v>
      </c>
      <c r="J21" s="10">
        <v>6.0999999999999999E-2</v>
      </c>
      <c r="K21" s="10">
        <f ca="1">SQRT(K$2^2+(AA21/Z21)^2)*J21</f>
        <v>5.0495940430890082E-3</v>
      </c>
      <c r="L21" s="7">
        <v>8.6700000000000006E-3</v>
      </c>
      <c r="M21" s="7">
        <f ca="1">SQRT(M$2^2+(AC21/AB21)^2)*L21</f>
        <v>2.8012061687780141E-4</v>
      </c>
      <c r="N21" s="7">
        <v>0.64185999999999999</v>
      </c>
      <c r="O21" s="8">
        <v>115.3403</v>
      </c>
      <c r="P21" s="8">
        <f ca="1">SQRT(P$2^2+(AF21/AE21)^2)*O21</f>
        <v>3.7265496986086202</v>
      </c>
      <c r="Q21" s="9">
        <v>5.0900000000000001E-2</v>
      </c>
      <c r="R21" s="9">
        <f ca="1">SQRT(R$2^2+(AH21/AG21)^2)*Q21</f>
        <v>3.0734872701867499E-3</v>
      </c>
      <c r="S21" s="8">
        <f>(((BE21/BD21)^2+(AW21/AV21)^2)+((BE21/BD21)^2+(BC21/BB21)^2)-((BC21/BB21)^2+(AW21/AV21)^2))/(2*SQRT((BE21/BD21)^2+(AW21/AV21)^2)*SQRT((BE21/BD21)^2+(BC21/BB21)^2))</f>
        <v>0.18850529203810704</v>
      </c>
      <c r="T21" s="11">
        <v>2.7299999999999998E-3</v>
      </c>
      <c r="U21" s="11">
        <f ca="1">SQRT(U$2^2+(AK21/AJ21)^2)*T21</f>
        <v>1.4100056737474496E-4</v>
      </c>
      <c r="V21" s="6" t="e">
        <f ca="1">IF(agePb6U8(1/O21)&lt;1400,age7corr(1/O21,Q21,$W$2),agePb76(Q21))</f>
        <v>#NAME?</v>
      </c>
      <c r="W21" s="6" t="e">
        <f ca="1">IF(agePb6U8(1/O21)&lt;1400,ageer7corr(V21,1/O21,P21/O21*(1/O21),Q21,R21,$W$2,0.05),ageerPb76(Q21,R21))</f>
        <v>#NAME?</v>
      </c>
      <c r="X21" s="4" t="e">
        <f ca="1">agePb6U8(L21)/agePb7u5(J21)</f>
        <v>#NAME?</v>
      </c>
      <c r="Z21" s="1">
        <v>6.0999999999999999E-2</v>
      </c>
      <c r="AA21" s="1">
        <v>4.8999999999999998E-3</v>
      </c>
      <c r="AB21" s="1">
        <v>8.6700000000000006E-3</v>
      </c>
      <c r="AC21" s="1">
        <v>2.2000000000000001E-4</v>
      </c>
      <c r="AD21" s="1">
        <v>0.64185999999999999</v>
      </c>
      <c r="AE21" s="1">
        <v>115.3403</v>
      </c>
      <c r="AF21" s="1">
        <v>2.926742</v>
      </c>
      <c r="AG21" s="1">
        <v>5.0900000000000001E-2</v>
      </c>
      <c r="AH21" s="1">
        <v>2.8999999999999998E-3</v>
      </c>
      <c r="AI21" s="1">
        <v>-0.39609</v>
      </c>
      <c r="AJ21" s="1">
        <v>2.7299999999999998E-3</v>
      </c>
      <c r="AK21" s="1">
        <v>1.2999999999999999E-4</v>
      </c>
      <c r="AL21" s="1">
        <v>7.83</v>
      </c>
      <c r="AM21" s="1">
        <v>0.28000000000000003</v>
      </c>
      <c r="AN21" s="1">
        <v>60.1</v>
      </c>
      <c r="AO21" s="1">
        <v>4.7</v>
      </c>
      <c r="AP21" s="1">
        <v>55.7</v>
      </c>
      <c r="AQ21" s="1">
        <v>1.4</v>
      </c>
      <c r="AR21" s="1">
        <v>55.2</v>
      </c>
      <c r="AS21" s="1">
        <v>2.5</v>
      </c>
      <c r="AT21" s="1">
        <v>260</v>
      </c>
      <c r="AU21" s="1">
        <v>130</v>
      </c>
      <c r="AV21" s="1">
        <v>8.0400000000000009</v>
      </c>
      <c r="AW21" s="1">
        <v>0.11</v>
      </c>
      <c r="AX21" s="1">
        <v>1.228</v>
      </c>
      <c r="AY21" s="1">
        <v>0.04</v>
      </c>
      <c r="AZ21" s="1">
        <v>278.20800000000003</v>
      </c>
      <c r="BA21" s="1">
        <v>10.556999999999999</v>
      </c>
      <c r="BB21" s="1">
        <v>135.999</v>
      </c>
      <c r="BC21" s="1">
        <v>9.3149999999999995</v>
      </c>
      <c r="BD21" s="1">
        <v>2730.5370000000003</v>
      </c>
      <c r="BE21" s="1">
        <v>46.575000000000003</v>
      </c>
      <c r="BF21" s="1">
        <v>1.8629999999999998</v>
      </c>
      <c r="BG21" s="1">
        <v>5.5269000000000004</v>
      </c>
      <c r="BH21" s="1">
        <f>BD21/BF21</f>
        <v>1465.666666666667</v>
      </c>
      <c r="BI21" s="1">
        <f>SQRT((BG21/BF21)^2+(BE21/BD21)^2)*BH21</f>
        <v>4348.2163135880328</v>
      </c>
    </row>
    <row r="22" spans="1:61" x14ac:dyDescent="0.2">
      <c r="A22" t="s">
        <v>734</v>
      </c>
      <c r="B22" t="s">
        <v>38</v>
      </c>
      <c r="C22" t="s">
        <v>735</v>
      </c>
      <c r="D22" t="s">
        <v>736</v>
      </c>
      <c r="E22">
        <v>43373</v>
      </c>
      <c r="F22">
        <v>47596</v>
      </c>
      <c r="G22" t="s">
        <v>736</v>
      </c>
      <c r="H22" s="1">
        <v>60.6</v>
      </c>
      <c r="I22" s="1">
        <v>40.6</v>
      </c>
      <c r="J22" s="10">
        <v>5.57E-2</v>
      </c>
      <c r="K22" s="10">
        <f ca="1">SQRT(K$2^2+(AA22/Z22)^2)*J22</f>
        <v>3.2940850019390817E-3</v>
      </c>
      <c r="L22" s="7">
        <v>8.4100000000000008E-3</v>
      </c>
      <c r="M22" s="7">
        <f ca="1">SQRT(M$2^2+(AC22/AB22)^2)*L22</f>
        <v>3.5269142320164238E-4</v>
      </c>
      <c r="N22" s="7">
        <v>0.46553</v>
      </c>
      <c r="O22" s="8">
        <v>118.9061</v>
      </c>
      <c r="P22" s="8">
        <f ca="1">SQRT(P$2^2+(AF22/AE22)^2)*O22</f>
        <v>4.9865815404150364</v>
      </c>
      <c r="Q22" s="9">
        <v>4.7500000000000001E-2</v>
      </c>
      <c r="R22" s="9">
        <f ca="1">SQRT(R$2^2+(AH22/AG22)^2)*Q22</f>
        <v>2.3963513932643522E-3</v>
      </c>
      <c r="S22" s="8">
        <f>(((BE22/BD22)^2+(AW22/AV22)^2)+((BE22/BD22)^2+(BC22/BB22)^2)-((BC22/BB22)^2+(AW22/AV22)^2))/(2*SQRT((BE22/BD22)^2+(AW22/AV22)^2)*SQRT((BE22/BD22)^2+(BC22/BB22)^2))</f>
        <v>0.58314480052846129</v>
      </c>
      <c r="T22" s="11">
        <v>2.7000000000000001E-3</v>
      </c>
      <c r="U22" s="11">
        <f ca="1">SQRT(U$2^2+(AK22/AJ22)^2)*T22</f>
        <v>1.5005332385522154E-4</v>
      </c>
      <c r="V22" s="6" t="e">
        <f ca="1">IF(agePb6U8(1/O22)&lt;1400,age7corr(1/O22,Q22,$W$2),agePb76(Q22))</f>
        <v>#NAME?</v>
      </c>
      <c r="W22" s="6" t="e">
        <f ca="1">IF(agePb6U8(1/O22)&lt;1400,ageer7corr(V22,1/O22,P22/O22*(1/O22),Q22,R22,$W$2,0.05),ageerPb76(Q22,R22))</f>
        <v>#NAME?</v>
      </c>
      <c r="X22" s="4" t="e">
        <f ca="1">agePb6U8(L22)/agePb7u5(J22)</f>
        <v>#NAME?</v>
      </c>
      <c r="Z22" s="1">
        <v>5.57E-2</v>
      </c>
      <c r="AA22" s="1">
        <v>3.0999999999999999E-3</v>
      </c>
      <c r="AB22" s="1">
        <v>8.4100000000000008E-3</v>
      </c>
      <c r="AC22" s="1">
        <v>3.1E-4</v>
      </c>
      <c r="AD22" s="1">
        <v>0.46553</v>
      </c>
      <c r="AE22" s="1">
        <v>118.9061</v>
      </c>
      <c r="AF22" s="1">
        <v>4.3829820000000002</v>
      </c>
      <c r="AG22" s="1">
        <v>4.7500000000000001E-2</v>
      </c>
      <c r="AH22" s="1">
        <v>2.2000000000000001E-3</v>
      </c>
      <c r="AI22" s="1">
        <v>0.24182000000000001</v>
      </c>
      <c r="AJ22" s="1">
        <v>2.7000000000000001E-3</v>
      </c>
      <c r="AK22" s="1">
        <v>1.3999999999999999E-4</v>
      </c>
      <c r="AL22" s="1">
        <v>5.04</v>
      </c>
      <c r="AM22" s="1">
        <v>0.26</v>
      </c>
      <c r="AN22" s="1">
        <v>55</v>
      </c>
      <c r="AO22" s="1">
        <v>3</v>
      </c>
      <c r="AP22" s="1">
        <v>54</v>
      </c>
      <c r="AQ22" s="1">
        <v>2</v>
      </c>
      <c r="AR22" s="1">
        <v>54.5</v>
      </c>
      <c r="AS22" s="1">
        <v>2.8</v>
      </c>
      <c r="AT22" s="1">
        <v>81</v>
      </c>
      <c r="AU22" s="1">
        <v>95</v>
      </c>
      <c r="AV22" s="1">
        <v>13.100000000000001</v>
      </c>
      <c r="AW22" s="1">
        <v>0.44</v>
      </c>
      <c r="AX22" s="1">
        <v>3.19</v>
      </c>
      <c r="AY22" s="1">
        <v>0.21000000000000002</v>
      </c>
      <c r="AZ22" s="1">
        <v>695.52</v>
      </c>
      <c r="BA22" s="1">
        <v>68.31</v>
      </c>
      <c r="BB22" s="1">
        <v>205.55099999999999</v>
      </c>
      <c r="BC22" s="1">
        <v>10.556999999999999</v>
      </c>
      <c r="BD22" s="1">
        <v>4309.74</v>
      </c>
      <c r="BE22" s="1">
        <v>217.35</v>
      </c>
      <c r="BF22" s="1">
        <v>11.177999999999999</v>
      </c>
      <c r="BG22" s="1">
        <v>6.8310000000000004</v>
      </c>
      <c r="BH22" s="1">
        <f>BD22/BF22</f>
        <v>385.55555555555554</v>
      </c>
      <c r="BI22" s="1">
        <f>SQRT((BG22/BF22)^2+(BE22/BD22)^2)*BH22</f>
        <v>236.41825419374644</v>
      </c>
    </row>
    <row r="23" spans="1:61" x14ac:dyDescent="0.2">
      <c r="A23" t="s">
        <v>950</v>
      </c>
      <c r="B23" t="s">
        <v>38</v>
      </c>
      <c r="C23" t="s">
        <v>951</v>
      </c>
      <c r="D23" t="s">
        <v>952</v>
      </c>
      <c r="E23">
        <v>43410</v>
      </c>
      <c r="F23">
        <v>47596</v>
      </c>
      <c r="G23" t="s">
        <v>952</v>
      </c>
      <c r="H23" s="1">
        <v>58.4</v>
      </c>
      <c r="I23" s="1">
        <v>38.700000000000003</v>
      </c>
      <c r="J23" s="10">
        <v>5.6800000000000003E-2</v>
      </c>
      <c r="K23" s="10">
        <f ca="1">SQRT(K$2^2+(AA23/Z23)^2)*J23</f>
        <v>3.2078802970185779E-3</v>
      </c>
      <c r="L23" s="7">
        <v>8.8299999999999993E-3</v>
      </c>
      <c r="M23" s="7">
        <f ca="1">SQRT(M$2^2+(AC23/AB23)^2)*L23</f>
        <v>3.0608423677151356E-4</v>
      </c>
      <c r="N23" s="7">
        <v>0.59702999999999995</v>
      </c>
      <c r="O23" s="8">
        <v>113.2503</v>
      </c>
      <c r="P23" s="8">
        <f ca="1">SQRT(P$2^2+(AF23/AE23)^2)*O23</f>
        <v>3.9257226124224576</v>
      </c>
      <c r="Q23" s="9">
        <v>4.7199999999999999E-2</v>
      </c>
      <c r="R23" s="9">
        <f ca="1">SQRT(R$2^2+(AH23/AG23)^2)*Q23</f>
        <v>2.2115912823123538E-3</v>
      </c>
      <c r="S23" s="8">
        <f>(((BE23/BD23)^2+(AW23/AV23)^2)+((BE23/BD23)^2+(BC23/BB23)^2)-((BC23/BB23)^2+(AW23/AV23)^2))/(2*SQRT((BE23/BD23)^2+(AW23/AV23)^2)*SQRT((BE23/BD23)^2+(BC23/BB23)^2))</f>
        <v>0.35213907771866382</v>
      </c>
      <c r="T23" s="11">
        <v>2.7799999999999999E-3</v>
      </c>
      <c r="U23" s="11">
        <f ca="1">SQRT(U$2^2+(AK23/AJ23)^2)*T23</f>
        <v>1.6938524138779035E-4</v>
      </c>
      <c r="V23" s="6" t="e">
        <f ca="1">IF(agePb6U8(1/O23)&lt;1400,age7corr(1/O23,Q23,$W$2),agePb76(Q23))</f>
        <v>#NAME?</v>
      </c>
      <c r="W23" s="6" t="e">
        <f ca="1">IF(agePb6U8(1/O23)&lt;1400,ageer7corr(V23,1/O23,P23/O23*(1/O23),Q23,R23,$W$2,0.05),ageerPb76(Q23,R23))</f>
        <v>#NAME?</v>
      </c>
      <c r="X23" s="4" t="e">
        <f ca="1">agePb6U8(L23)/agePb7u5(J23)</f>
        <v>#NAME?</v>
      </c>
      <c r="Z23" s="1">
        <v>5.6800000000000003E-2</v>
      </c>
      <c r="AA23" s="1">
        <v>3.0000000000000001E-3</v>
      </c>
      <c r="AB23" s="1">
        <v>8.8299999999999993E-3</v>
      </c>
      <c r="AC23" s="1">
        <v>2.5000000000000001E-4</v>
      </c>
      <c r="AD23" s="1">
        <v>0.59702999999999995</v>
      </c>
      <c r="AE23" s="1">
        <v>113.2503</v>
      </c>
      <c r="AF23" s="1">
        <v>3.206407</v>
      </c>
      <c r="AG23" s="1">
        <v>4.7199999999999999E-2</v>
      </c>
      <c r="AH23" s="1">
        <v>2E-3</v>
      </c>
      <c r="AI23" s="1">
        <v>0.10265000000000001</v>
      </c>
      <c r="AJ23" s="1">
        <v>2.7799999999999999E-3</v>
      </c>
      <c r="AK23" s="1">
        <v>1.6000000000000001E-4</v>
      </c>
      <c r="AL23" s="1">
        <v>5.15</v>
      </c>
      <c r="AM23" s="1">
        <v>0.28000000000000003</v>
      </c>
      <c r="AN23" s="1">
        <v>56</v>
      </c>
      <c r="AO23" s="1">
        <v>2.9</v>
      </c>
      <c r="AP23" s="1">
        <v>56.7</v>
      </c>
      <c r="AQ23" s="1">
        <v>1.6</v>
      </c>
      <c r="AR23" s="1">
        <v>56</v>
      </c>
      <c r="AS23" s="1">
        <v>3.2</v>
      </c>
      <c r="AT23" s="1">
        <v>65</v>
      </c>
      <c r="AU23" s="1">
        <v>88</v>
      </c>
      <c r="AV23" s="1">
        <v>12.53</v>
      </c>
      <c r="AW23" s="1">
        <v>0.53</v>
      </c>
      <c r="AX23" s="1">
        <v>3.04</v>
      </c>
      <c r="AY23" s="1">
        <v>0.33</v>
      </c>
      <c r="AZ23" s="1">
        <v>689.31000000000006</v>
      </c>
      <c r="BA23" s="1">
        <v>62.1</v>
      </c>
      <c r="BB23" s="1">
        <v>200.583</v>
      </c>
      <c r="BC23" s="1">
        <v>14.903999999999998</v>
      </c>
      <c r="BD23" s="1">
        <v>4235.22</v>
      </c>
      <c r="BE23" s="1">
        <v>180.09</v>
      </c>
      <c r="BF23" s="1">
        <v>8.8803000000000001</v>
      </c>
      <c r="BG23" s="1">
        <v>4.4712000000000005</v>
      </c>
      <c r="BH23" s="1">
        <f>BD23/BF23</f>
        <v>476.92307692307696</v>
      </c>
      <c r="BI23" s="1">
        <f>SQRT((BG23/BF23)^2+(BE23/BD23)^2)*BH23</f>
        <v>240.98392585874814</v>
      </c>
    </row>
    <row r="24" spans="1:61" x14ac:dyDescent="0.2">
      <c r="X24" s="4"/>
    </row>
    <row r="25" spans="1:61" x14ac:dyDescent="0.2">
      <c r="X25" s="4"/>
    </row>
    <row r="26" spans="1:61" x14ac:dyDescent="0.2">
      <c r="A26" t="s">
        <v>449</v>
      </c>
      <c r="B26" t="s">
        <v>38</v>
      </c>
      <c r="C26" t="s">
        <v>450</v>
      </c>
      <c r="D26" t="s">
        <v>451</v>
      </c>
      <c r="E26">
        <v>38945</v>
      </c>
      <c r="F26">
        <v>45852</v>
      </c>
      <c r="G26" t="s">
        <v>451</v>
      </c>
      <c r="H26" s="1">
        <v>204.8</v>
      </c>
      <c r="I26" s="1">
        <v>164.1</v>
      </c>
      <c r="J26" s="10">
        <v>3.7600000000000001E-2</v>
      </c>
      <c r="K26" s="10">
        <f ca="1">SQRT(K$2^2+(AA26/Z26)^2)*J26</f>
        <v>1.5018335460363107E-3</v>
      </c>
      <c r="L26" s="7">
        <v>5.9300000000000004E-3</v>
      </c>
      <c r="M26" s="7">
        <f ca="1">SQRT(M$2^2+(AC26/AB26)^2)*L26</f>
        <v>1.8348286023495491E-4</v>
      </c>
      <c r="N26" s="7">
        <v>0.43575999999999998</v>
      </c>
      <c r="O26" s="8">
        <v>168.63409999999999</v>
      </c>
      <c r="P26" s="8">
        <f ca="1">SQRT(P$2^2+(AF26/AE26)^2)*O26</f>
        <v>5.217784941732746</v>
      </c>
      <c r="Q26" s="9">
        <v>4.5999999999999999E-2</v>
      </c>
      <c r="R26" s="9">
        <f ca="1">SQRT(R$2^2+(AH26/AG26)^2)*Q26</f>
        <v>1.5926079241294763E-3</v>
      </c>
      <c r="S26" s="8">
        <f>(((BE26/BD26)^2+(AW26/AV26)^2)+((BE26/BD26)^2+(BC26/BB26)^2)-((BC26/BB26)^2+(AW26/AV26)^2))/(2*SQRT((BE26/BD26)^2+(AW26/AV26)^2)*SQRT((BE26/BD26)^2+(BC26/BB26)^2))</f>
        <v>0.34795169020197986</v>
      </c>
      <c r="T26" s="11">
        <v>1.8929999999999999E-3</v>
      </c>
      <c r="U26" s="11">
        <f ca="1">SQRT(U$2^2+(AK26/AJ26)^2)*T26</f>
        <v>5.8807989253161851E-5</v>
      </c>
      <c r="V26" s="6" t="e">
        <f ca="1">IF(agePb6U8(1/O26)&lt;1400,age7corr(1/O26,Q26,$W$2),agePb76(Q26))</f>
        <v>#NAME?</v>
      </c>
      <c r="W26" s="6" t="e">
        <f ca="1">IF(agePb6U8(1/O26)&lt;1400,ageer7corr(V26,1/O26,P26/O26*(1/O26),Q26,R26,$W$2,0.05),ageerPb76(Q26,R26))</f>
        <v>#NAME?</v>
      </c>
      <c r="X26" s="4" t="e">
        <f ca="1">agePb6U8(L26)/agePb7u5(J26)</f>
        <v>#NAME?</v>
      </c>
      <c r="Z26" s="1">
        <v>3.7600000000000001E-2</v>
      </c>
      <c r="AA26" s="1">
        <v>1.2999999999999999E-3</v>
      </c>
      <c r="AB26" s="1">
        <v>5.9300000000000004E-3</v>
      </c>
      <c r="AC26" s="1">
        <v>1.3999999999999999E-4</v>
      </c>
      <c r="AD26" s="1">
        <v>0.43575999999999998</v>
      </c>
      <c r="AE26" s="1">
        <v>168.63409999999999</v>
      </c>
      <c r="AF26" s="1">
        <v>3.9812430000000001</v>
      </c>
      <c r="AG26" s="1">
        <v>4.5999999999999999E-2</v>
      </c>
      <c r="AH26" s="1">
        <v>1.2999999999999999E-3</v>
      </c>
      <c r="AI26" s="1">
        <v>0.26622000000000001</v>
      </c>
      <c r="AJ26" s="1">
        <v>1.8929999999999999E-3</v>
      </c>
      <c r="AK26" s="1">
        <v>4.5000000000000003E-5</v>
      </c>
      <c r="AL26" s="1">
        <v>4.1790000000000003</v>
      </c>
      <c r="AM26" s="1">
        <v>5.2999999999999999E-2</v>
      </c>
      <c r="AN26" s="1">
        <v>37.4</v>
      </c>
      <c r="AO26" s="1">
        <v>1.3</v>
      </c>
      <c r="AP26" s="1">
        <v>38.08</v>
      </c>
      <c r="AQ26" s="1">
        <v>0.9</v>
      </c>
      <c r="AR26" s="1">
        <v>38.24</v>
      </c>
      <c r="AS26" s="1">
        <v>0.91</v>
      </c>
      <c r="AT26" s="1">
        <v>-1</v>
      </c>
      <c r="AU26" s="1">
        <v>59</v>
      </c>
      <c r="AV26" s="1">
        <v>44.68</v>
      </c>
      <c r="AW26" s="1">
        <v>0.59000000000000008</v>
      </c>
      <c r="AX26" s="1">
        <v>12.97</v>
      </c>
      <c r="AY26" s="1">
        <v>0.25</v>
      </c>
      <c r="AZ26" s="1">
        <v>1992.789</v>
      </c>
      <c r="BA26" s="1">
        <v>35.397000000000006</v>
      </c>
      <c r="BB26" s="1">
        <v>468.23399999999998</v>
      </c>
      <c r="BC26" s="1">
        <v>14.283000000000001</v>
      </c>
      <c r="BD26" s="1">
        <v>10339.650000000001</v>
      </c>
      <c r="BE26" s="1">
        <v>161.45999999999998</v>
      </c>
      <c r="BF26" s="1">
        <v>4.3470000000000004</v>
      </c>
      <c r="BG26" s="1">
        <v>5.0301</v>
      </c>
      <c r="BH26" s="1">
        <f>BD26/BF26</f>
        <v>2378.5714285714289</v>
      </c>
      <c r="BI26" s="1">
        <f>SQRT((BG26/BF26)^2+(BE26/BD26)^2)*BH26</f>
        <v>2752.5975483574889</v>
      </c>
    </row>
    <row r="27" spans="1:61" x14ac:dyDescent="0.2">
      <c r="A27" t="s">
        <v>299</v>
      </c>
      <c r="B27" t="s">
        <v>38</v>
      </c>
      <c r="C27" t="s">
        <v>300</v>
      </c>
      <c r="D27" t="s">
        <v>301</v>
      </c>
      <c r="E27">
        <v>38888</v>
      </c>
      <c r="F27">
        <v>45865</v>
      </c>
      <c r="G27" t="s">
        <v>301</v>
      </c>
      <c r="H27" s="1">
        <v>205.7</v>
      </c>
      <c r="I27" s="1">
        <v>163.19999999999999</v>
      </c>
      <c r="J27" s="10">
        <v>3.9800000000000002E-2</v>
      </c>
      <c r="K27" s="10">
        <f ca="1">SQRT(K$2^2+(AA27/Z27)^2)*J27</f>
        <v>1.4400055555448389E-3</v>
      </c>
      <c r="L27" s="7">
        <v>5.953E-3</v>
      </c>
      <c r="M27" s="7">
        <f ca="1">SQRT(M$2^2+(AC27/AB27)^2)*L27</f>
        <v>1.4805162478000706E-4</v>
      </c>
      <c r="N27" s="7">
        <v>0.10754</v>
      </c>
      <c r="O27" s="8">
        <v>167.98249999999999</v>
      </c>
      <c r="P27" s="8">
        <f ca="1">SQRT(P$2^2+(AF27/AE27)^2)*O27</f>
        <v>4.1777392846520476</v>
      </c>
      <c r="Q27" s="9">
        <v>4.7800000000000002E-2</v>
      </c>
      <c r="R27" s="9">
        <f ca="1">SQRT(R$2^2+(AH27/AG27)^2)*Q27</f>
        <v>1.9503681703719427E-3</v>
      </c>
      <c r="S27" s="8">
        <f>(((BE27/BD27)^2+(AW27/AV27)^2)+((BE27/BD27)^2+(BC27/BB27)^2)-((BC27/BB27)^2+(AW27/AV27)^2))/(2*SQRT((BE27/BD27)^2+(AW27/AV27)^2)*SQRT((BE27/BD27)^2+(BC27/BB27)^2))</f>
        <v>0.17989691588537612</v>
      </c>
      <c r="T27" s="11">
        <v>1.895E-3</v>
      </c>
      <c r="U27" s="11">
        <f ca="1">SQRT(U$2^2+(AK27/AJ27)^2)*T27</f>
        <v>5.296612124745402E-5</v>
      </c>
      <c r="V27" s="6" t="e">
        <f ca="1">IF(agePb6U8(1/O27)&lt;1400,age7corr(1/O27,Q27,$W$2),agePb76(Q27))</f>
        <v>#NAME?</v>
      </c>
      <c r="W27" s="6" t="e">
        <f ca="1">IF(agePb6U8(1/O27)&lt;1400,ageer7corr(V27,1/O27,P27/O27*(1/O27),Q27,R27,$W$2,0.05),ageerPb76(Q27,R27))</f>
        <v>#NAME?</v>
      </c>
      <c r="X27" s="4" t="e">
        <f ca="1">agePb6U8(L27)/agePb7u5(J27)</f>
        <v>#NAME?</v>
      </c>
      <c r="Z27" s="1">
        <v>3.9800000000000002E-2</v>
      </c>
      <c r="AA27" s="1">
        <v>1.1999999999999999E-3</v>
      </c>
      <c r="AB27" s="1">
        <v>5.953E-3</v>
      </c>
      <c r="AC27" s="1">
        <v>8.7999999999999998E-5</v>
      </c>
      <c r="AD27" s="1">
        <v>0.10754</v>
      </c>
      <c r="AE27" s="1">
        <v>167.98249999999999</v>
      </c>
      <c r="AF27" s="1">
        <v>2.4831949999999998</v>
      </c>
      <c r="AG27" s="1">
        <v>4.7800000000000002E-2</v>
      </c>
      <c r="AH27" s="1">
        <v>1.6999999999999999E-3</v>
      </c>
      <c r="AI27" s="1">
        <v>0.32271</v>
      </c>
      <c r="AJ27" s="1">
        <v>1.895E-3</v>
      </c>
      <c r="AK27" s="1">
        <v>3.6999999999999998E-5</v>
      </c>
      <c r="AL27" s="1">
        <v>4.218</v>
      </c>
      <c r="AM27" s="1">
        <v>5.8000000000000003E-2</v>
      </c>
      <c r="AN27" s="1">
        <v>39.6</v>
      </c>
      <c r="AO27" s="1">
        <v>1.2</v>
      </c>
      <c r="AP27" s="1">
        <v>38.26</v>
      </c>
      <c r="AQ27" s="1">
        <v>0.56999999999999995</v>
      </c>
      <c r="AR27" s="1">
        <v>38.270000000000003</v>
      </c>
      <c r="AS27" s="1">
        <v>0.74</v>
      </c>
      <c r="AT27" s="1">
        <v>76</v>
      </c>
      <c r="AU27" s="1">
        <v>81</v>
      </c>
      <c r="AV27" s="1">
        <v>45.11</v>
      </c>
      <c r="AW27" s="1">
        <v>0.80999999999999994</v>
      </c>
      <c r="AX27" s="1">
        <v>12.92</v>
      </c>
      <c r="AY27" s="1">
        <v>0.2</v>
      </c>
      <c r="AZ27" s="1">
        <v>2002.1040000000003</v>
      </c>
      <c r="BA27" s="1">
        <v>42.848999999999997</v>
      </c>
      <c r="BB27" s="1">
        <v>498.04199999999997</v>
      </c>
      <c r="BC27" s="1">
        <v>18.63</v>
      </c>
      <c r="BD27" s="1">
        <v>10476.27</v>
      </c>
      <c r="BE27" s="1">
        <v>130.41</v>
      </c>
      <c r="BF27" s="1">
        <v>8.0729999999999986</v>
      </c>
      <c r="BG27" s="1">
        <v>7.4519999999999991</v>
      </c>
      <c r="BH27" s="1">
        <f>BD27/BF27</f>
        <v>1297.6923076923081</v>
      </c>
      <c r="BI27" s="1">
        <f>SQRT((BG27/BF27)^2+(BE27/BD27)^2)*BH27</f>
        <v>1197.9787386954347</v>
      </c>
    </row>
    <row r="28" spans="1:61" x14ac:dyDescent="0.2">
      <c r="A28" t="s">
        <v>626</v>
      </c>
      <c r="B28" t="s">
        <v>38</v>
      </c>
      <c r="C28" t="s">
        <v>627</v>
      </c>
      <c r="D28" t="s">
        <v>628</v>
      </c>
      <c r="E28">
        <v>38774</v>
      </c>
      <c r="F28">
        <v>45800</v>
      </c>
      <c r="G28" t="s">
        <v>628</v>
      </c>
      <c r="H28" s="1">
        <v>209.9</v>
      </c>
      <c r="I28" s="1">
        <v>171</v>
      </c>
      <c r="J28" s="10">
        <v>3.85E-2</v>
      </c>
      <c r="K28" s="10">
        <f ca="1">SQRT(K$2^2+(AA28/Z28)^2)*J28</f>
        <v>1.5977797094718657E-3</v>
      </c>
      <c r="L28" s="7">
        <v>5.8999999999999999E-3</v>
      </c>
      <c r="M28" s="7">
        <f ca="1">SQRT(M$2^2+(AC28/AB28)^2)*L28</f>
        <v>1.6131955864060626E-4</v>
      </c>
      <c r="N28" s="7">
        <v>0.48520999999999997</v>
      </c>
      <c r="O28" s="8">
        <v>169.4915</v>
      </c>
      <c r="P28" s="8">
        <f ca="1">SQRT(P$2^2+(AF28/AE28)^2)*O28</f>
        <v>4.6342871025672334</v>
      </c>
      <c r="Q28" s="9">
        <v>4.6800000000000001E-2</v>
      </c>
      <c r="R28" s="9">
        <f ca="1">SQRT(R$2^2+(AH28/AG28)^2)*Q28</f>
        <v>1.6019038672779339E-3</v>
      </c>
      <c r="S28" s="8">
        <f>(((BE28/BD28)^2+(AW28/AV28)^2)+((BE28/BD28)^2+(BC28/BB28)^2)-((BC28/BB28)^2+(AW28/AV28)^2))/(2*SQRT((BE28/BD28)^2+(AW28/AV28)^2)*SQRT((BE28/BD28)^2+(BC28/BB28)^2))</f>
        <v>0.28431735099705663</v>
      </c>
      <c r="T28" s="11">
        <v>1.8420000000000001E-3</v>
      </c>
      <c r="U28" s="11">
        <f ca="1">SQRT(U$2^2+(AK28/AJ28)^2)*T28</f>
        <v>5.8933739063460076E-5</v>
      </c>
      <c r="V28" s="6" t="e">
        <f ca="1">IF(agePb6U8(1/O28)&lt;1400,age7corr(1/O28,Q28,$W$2),agePb76(Q28))</f>
        <v>#NAME?</v>
      </c>
      <c r="W28" s="6" t="e">
        <f ca="1">IF(agePb6U8(1/O28)&lt;1400,ageer7corr(V28,1/O28,P28/O28*(1/O28),Q28,R28,$W$2,0.05),ageerPb76(Q28,R28))</f>
        <v>#NAME?</v>
      </c>
      <c r="X28" s="4" t="e">
        <f ca="1">agePb6U8(L28)/agePb7u5(J28)</f>
        <v>#NAME?</v>
      </c>
      <c r="Z28" s="1">
        <v>3.85E-2</v>
      </c>
      <c r="AA28" s="1">
        <v>1.4E-3</v>
      </c>
      <c r="AB28" s="1">
        <v>5.8999999999999999E-3</v>
      </c>
      <c r="AC28" s="1">
        <v>1.1E-4</v>
      </c>
      <c r="AD28" s="1">
        <v>0.48520999999999997</v>
      </c>
      <c r="AE28" s="1">
        <v>169.4915</v>
      </c>
      <c r="AF28" s="1">
        <v>3.1600109999999999</v>
      </c>
      <c r="AG28" s="1">
        <v>4.6800000000000001E-2</v>
      </c>
      <c r="AH28" s="1">
        <v>1.2999999999999999E-3</v>
      </c>
      <c r="AI28" s="1">
        <v>0.19286</v>
      </c>
      <c r="AJ28" s="1">
        <v>1.8420000000000001E-3</v>
      </c>
      <c r="AK28" s="1">
        <v>4.6E-5</v>
      </c>
      <c r="AL28" s="1">
        <v>4.2030000000000003</v>
      </c>
      <c r="AM28" s="1">
        <v>7.0999999999999994E-2</v>
      </c>
      <c r="AN28" s="1">
        <v>38.299999999999997</v>
      </c>
      <c r="AO28" s="1">
        <v>1.4</v>
      </c>
      <c r="AP28" s="1">
        <v>37.94</v>
      </c>
      <c r="AQ28" s="1">
        <v>0.74</v>
      </c>
      <c r="AR28" s="1">
        <v>37.19</v>
      </c>
      <c r="AS28" s="1">
        <v>0.93</v>
      </c>
      <c r="AT28" s="1">
        <v>31</v>
      </c>
      <c r="AU28" s="1">
        <v>64</v>
      </c>
      <c r="AV28" s="1">
        <v>45.519999999999996</v>
      </c>
      <c r="AW28" s="1">
        <v>0.91</v>
      </c>
      <c r="AX28" s="1">
        <v>13.469999999999999</v>
      </c>
      <c r="AY28" s="1">
        <v>0.31</v>
      </c>
      <c r="AZ28" s="1">
        <v>2009.556</v>
      </c>
      <c r="BA28" s="1">
        <v>34.776000000000003</v>
      </c>
      <c r="BB28" s="1">
        <v>491.83199999999999</v>
      </c>
      <c r="BC28" s="1">
        <v>13.041</v>
      </c>
      <c r="BD28" s="1">
        <v>10637.73</v>
      </c>
      <c r="BE28" s="1">
        <v>155.25</v>
      </c>
      <c r="BF28" s="1">
        <v>12.419999999999998</v>
      </c>
      <c r="BG28" s="1">
        <v>6.8310000000000004</v>
      </c>
      <c r="BH28" s="1">
        <f>BD28/BF28</f>
        <v>856.50000000000011</v>
      </c>
      <c r="BI28" s="1">
        <f>SQRT((BG28/BF28)^2+(BE28/BD28)^2)*BH28</f>
        <v>471.24081489722442</v>
      </c>
    </row>
    <row r="29" spans="1:61" x14ac:dyDescent="0.2">
      <c r="A29" t="s">
        <v>842</v>
      </c>
      <c r="B29" t="s">
        <v>38</v>
      </c>
      <c r="C29" t="s">
        <v>843</v>
      </c>
      <c r="D29" t="s">
        <v>844</v>
      </c>
      <c r="E29">
        <v>38805</v>
      </c>
      <c r="F29">
        <v>45796</v>
      </c>
      <c r="G29" t="s">
        <v>844</v>
      </c>
      <c r="H29" s="1">
        <v>211.3</v>
      </c>
      <c r="I29" s="1">
        <v>169.9</v>
      </c>
      <c r="J29" s="10">
        <v>3.8399999999999997E-2</v>
      </c>
      <c r="K29" s="10">
        <f ca="1">SQRT(K$2^2+(AA29/Z29)^2)*J29</f>
        <v>1.4247189196469594E-3</v>
      </c>
      <c r="L29" s="7">
        <v>5.8999999999999999E-3</v>
      </c>
      <c r="M29" s="7">
        <f ca="1">SQRT(M$2^2+(AC29/AB29)^2)*L29</f>
        <v>1.7556765077883794E-4</v>
      </c>
      <c r="N29" s="7">
        <v>0.32262999999999997</v>
      </c>
      <c r="O29" s="8">
        <v>169.4915</v>
      </c>
      <c r="P29" s="8">
        <f ca="1">SQRT(P$2^2+(AF29/AE29)^2)*O29</f>
        <v>5.0435977588801624</v>
      </c>
      <c r="Q29" s="9">
        <v>4.7100000000000003E-2</v>
      </c>
      <c r="R29" s="9">
        <f ca="1">SQRT(R$2^2+(AH29/AG29)^2)*Q29</f>
        <v>1.5255700573883848E-3</v>
      </c>
      <c r="S29" s="8">
        <f>(((BE29/BD29)^2+(AW29/AV29)^2)+((BE29/BD29)^2+(BC29/BB29)^2)-((BC29/BB29)^2+(AW29/AV29)^2))/(2*SQRT((BE29/BD29)^2+(AW29/AV29)^2)*SQRT((BE29/BD29)^2+(BC29/BB29)^2))</f>
        <v>0.35202012415558309</v>
      </c>
      <c r="T29" s="11">
        <v>1.8389999999999999E-3</v>
      </c>
      <c r="U29" s="11">
        <f ca="1">SQRT(U$2^2+(AK29/AJ29)^2)*T29</f>
        <v>6.8678733243996291E-5</v>
      </c>
      <c r="V29" s="6" t="e">
        <f ca="1">IF(agePb6U8(1/O29)&lt;1400,age7corr(1/O29,Q29,$W$2),agePb76(Q29))</f>
        <v>#NAME?</v>
      </c>
      <c r="W29" s="6" t="e">
        <f ca="1">IF(agePb6U8(1/O29)&lt;1400,ageer7corr(V29,1/O29,P29/O29*(1/O29),Q29,R29,$W$2,0.05),ageerPb76(Q29,R29))</f>
        <v>#NAME?</v>
      </c>
      <c r="X29" s="4" t="e">
        <f ca="1">agePb6U8(L29)/agePb7u5(J29)</f>
        <v>#NAME?</v>
      </c>
      <c r="Z29" s="1">
        <v>3.8399999999999997E-2</v>
      </c>
      <c r="AA29" s="1">
        <v>1.1999999999999999E-3</v>
      </c>
      <c r="AB29" s="1">
        <v>5.8999999999999999E-3</v>
      </c>
      <c r="AC29" s="1">
        <v>1.2999999999999999E-4</v>
      </c>
      <c r="AD29" s="1">
        <v>0.32262999999999997</v>
      </c>
      <c r="AE29" s="1">
        <v>169.4915</v>
      </c>
      <c r="AF29" s="1">
        <v>3.734559</v>
      </c>
      <c r="AG29" s="1">
        <v>4.7100000000000003E-2</v>
      </c>
      <c r="AH29" s="1">
        <v>1.1999999999999999E-3</v>
      </c>
      <c r="AI29" s="1">
        <v>0.46911000000000003</v>
      </c>
      <c r="AJ29" s="1">
        <v>1.8389999999999999E-3</v>
      </c>
      <c r="AK29" s="1">
        <v>5.8E-5</v>
      </c>
      <c r="AL29" s="1">
        <v>4.2430000000000003</v>
      </c>
      <c r="AM29" s="1">
        <v>6.5000000000000002E-2</v>
      </c>
      <c r="AN29" s="1">
        <v>38.200000000000003</v>
      </c>
      <c r="AO29" s="1">
        <v>1.1000000000000001</v>
      </c>
      <c r="AP29" s="1">
        <v>37.93</v>
      </c>
      <c r="AQ29" s="1">
        <v>0.84</v>
      </c>
      <c r="AR29" s="1">
        <v>37.1</v>
      </c>
      <c r="AS29" s="1">
        <v>1.2</v>
      </c>
      <c r="AT29" s="1">
        <v>44</v>
      </c>
      <c r="AU29" s="1">
        <v>58</v>
      </c>
      <c r="AV29" s="1">
        <v>45.48</v>
      </c>
      <c r="AW29" s="1">
        <v>0.79</v>
      </c>
      <c r="AX29" s="1">
        <v>13.350000000000001</v>
      </c>
      <c r="AY29" s="1">
        <v>0.27999999999999997</v>
      </c>
      <c r="AZ29" s="1">
        <v>1985.337</v>
      </c>
      <c r="BA29" s="1">
        <v>42.227999999999994</v>
      </c>
      <c r="BB29" s="1">
        <v>485.00100000000003</v>
      </c>
      <c r="BC29" s="1">
        <v>13.662000000000001</v>
      </c>
      <c r="BD29" s="1">
        <v>10445.219999999999</v>
      </c>
      <c r="BE29" s="1">
        <v>173.88</v>
      </c>
      <c r="BF29" s="1">
        <v>3.1049999999999995</v>
      </c>
      <c r="BG29" s="1">
        <v>5.3406000000000002</v>
      </c>
      <c r="BH29" s="1">
        <f>BD29/BF29</f>
        <v>3364.0000000000005</v>
      </c>
      <c r="BI29" s="1">
        <f>SQRT((BG29/BF29)^2+(BE29/BD29)^2)*BH29</f>
        <v>5786.3509888702765</v>
      </c>
    </row>
    <row r="30" spans="1:61" x14ac:dyDescent="0.2">
      <c r="A30" t="s">
        <v>1058</v>
      </c>
      <c r="B30" t="s">
        <v>38</v>
      </c>
      <c r="C30" t="s">
        <v>1059</v>
      </c>
      <c r="D30" t="s">
        <v>1060</v>
      </c>
      <c r="E30">
        <v>38796</v>
      </c>
      <c r="F30">
        <v>45724</v>
      </c>
      <c r="G30" t="s">
        <v>1060</v>
      </c>
      <c r="H30" s="1">
        <v>209.3</v>
      </c>
      <c r="I30" s="1">
        <v>169.3</v>
      </c>
      <c r="J30" s="10">
        <v>3.9E-2</v>
      </c>
      <c r="K30" s="10">
        <f ca="1">SQRT(K$2^2+(AA30/Z30)^2)*J30</f>
        <v>1.516047492659778E-3</v>
      </c>
      <c r="L30" s="7">
        <v>5.9119999999999997E-3</v>
      </c>
      <c r="M30" s="7">
        <f ca="1">SQRT(M$2^2+(AC30/AB30)^2)*L30</f>
        <v>1.5043170410521846E-4</v>
      </c>
      <c r="N30" s="7">
        <v>0.62109999999999999</v>
      </c>
      <c r="O30" s="8">
        <v>169.14750000000001</v>
      </c>
      <c r="P30" s="8">
        <f ca="1">SQRT(P$2^2+(AF30/AE30)^2)*O30</f>
        <v>4.3039825603992634</v>
      </c>
      <c r="Q30" s="9">
        <v>4.8099999999999997E-2</v>
      </c>
      <c r="R30" s="9">
        <f ca="1">SQRT(R$2^2+(AH30/AG30)^2)*Q30</f>
        <v>1.6172334401687346E-3</v>
      </c>
      <c r="S30" s="8">
        <f>(((BE30/BD30)^2+(AW30/AV30)^2)+((BE30/BD30)^2+(BC30/BB30)^2)-((BC30/BB30)^2+(AW30/AV30)^2))/(2*SQRT((BE30/BD30)^2+(AW30/AV30)^2)*SQRT((BE30/BD30)^2+(BC30/BB30)^2))</f>
        <v>0.26467405050234039</v>
      </c>
      <c r="T30" s="11">
        <v>1.815E-3</v>
      </c>
      <c r="U30" s="11">
        <f ca="1">SQRT(U$2^2+(AK30/AJ30)^2)*T30</f>
        <v>4.4075957164876181E-5</v>
      </c>
      <c r="V30" s="6" t="e">
        <f ca="1">IF(agePb6U8(1/O30)&lt;1400,age7corr(1/O30,Q30,$W$2),agePb76(Q30))</f>
        <v>#NAME?</v>
      </c>
      <c r="W30" s="6" t="e">
        <f ca="1">IF(agePb6U8(1/O30)&lt;1400,ageer7corr(V30,1/O30,P30/O30*(1/O30),Q30,R30,$W$2,0.05),ageerPb76(Q30,R30))</f>
        <v>#NAME?</v>
      </c>
      <c r="X30" s="4" t="e">
        <f ca="1">agePb6U8(L30)/agePb7u5(J30)</f>
        <v>#NAME?</v>
      </c>
      <c r="Z30" s="1">
        <v>3.9E-2</v>
      </c>
      <c r="AA30" s="1">
        <v>1.2999999999999999E-3</v>
      </c>
      <c r="AB30" s="1">
        <v>5.9119999999999997E-3</v>
      </c>
      <c r="AC30" s="1">
        <v>9.2999999999999997E-5</v>
      </c>
      <c r="AD30" s="1">
        <v>0.62109999999999999</v>
      </c>
      <c r="AE30" s="1">
        <v>169.14750000000001</v>
      </c>
      <c r="AF30" s="1">
        <v>2.6608109999999998</v>
      </c>
      <c r="AG30" s="1">
        <v>4.8099999999999997E-2</v>
      </c>
      <c r="AH30" s="1">
        <v>1.2999999999999999E-3</v>
      </c>
      <c r="AI30" s="1">
        <v>-0.14699000000000001</v>
      </c>
      <c r="AJ30" s="1">
        <v>1.815E-3</v>
      </c>
      <c r="AK30" s="1">
        <v>2.5000000000000001E-5</v>
      </c>
      <c r="AL30" s="1">
        <v>4.2519999999999998</v>
      </c>
      <c r="AM30" s="1">
        <v>5.5E-2</v>
      </c>
      <c r="AN30" s="1">
        <v>38.799999999999997</v>
      </c>
      <c r="AO30" s="1">
        <v>1.3</v>
      </c>
      <c r="AP30" s="1">
        <v>38</v>
      </c>
      <c r="AQ30" s="1">
        <v>0.59</v>
      </c>
      <c r="AR30" s="1">
        <v>36.659999999999997</v>
      </c>
      <c r="AS30" s="1">
        <v>0.51</v>
      </c>
      <c r="AT30" s="1">
        <v>106</v>
      </c>
      <c r="AU30" s="1">
        <v>59</v>
      </c>
      <c r="AV30" s="1">
        <v>44.720000000000006</v>
      </c>
      <c r="AW30" s="1">
        <v>0.5</v>
      </c>
      <c r="AX30" s="1">
        <v>13.26</v>
      </c>
      <c r="AY30" s="1">
        <v>0.27</v>
      </c>
      <c r="AZ30" s="1">
        <v>1941.2460000000001</v>
      </c>
      <c r="BA30" s="1">
        <v>33.533999999999999</v>
      </c>
      <c r="BB30" s="1">
        <v>486.86399999999998</v>
      </c>
      <c r="BC30" s="1">
        <v>17.388000000000002</v>
      </c>
      <c r="BD30" s="1">
        <v>10345.86</v>
      </c>
      <c r="BE30" s="1">
        <v>136.62</v>
      </c>
      <c r="BF30" s="1">
        <v>7.4519999999999991</v>
      </c>
      <c r="BG30" s="1">
        <v>6.8310000000000004</v>
      </c>
      <c r="BH30" s="1">
        <f>BD30/BF30</f>
        <v>1388.3333333333335</v>
      </c>
      <c r="BI30" s="1">
        <f>SQRT((BG30/BF30)^2+(BE30/BD30)^2)*BH30</f>
        <v>1272.7709348596304</v>
      </c>
    </row>
    <row r="31" spans="1:61" x14ac:dyDescent="0.2">
      <c r="X31" s="4"/>
    </row>
    <row r="33" spans="1:61" x14ac:dyDescent="0.2">
      <c r="A33" t="s">
        <v>1016</v>
      </c>
      <c r="B33" t="s">
        <v>38</v>
      </c>
      <c r="C33" t="s">
        <v>1017</v>
      </c>
      <c r="D33" t="s">
        <v>1018</v>
      </c>
      <c r="E33">
        <v>81359</v>
      </c>
      <c r="F33">
        <v>51584</v>
      </c>
      <c r="G33" t="s">
        <v>1018</v>
      </c>
      <c r="H33" s="1">
        <v>227.6</v>
      </c>
      <c r="I33" s="1">
        <v>114.7</v>
      </c>
      <c r="J33" s="10">
        <v>2.923</v>
      </c>
      <c r="K33" s="10">
        <f t="shared" ref="K33:K53" ca="1" si="8">SQRT(K$2^2+(AA33/Z33)^2)*J33</f>
        <v>9.5092437133559665E-2</v>
      </c>
      <c r="L33" s="7">
        <v>0.23269999999999999</v>
      </c>
      <c r="M33" s="7">
        <f t="shared" ref="M33:M53" ca="1" si="9">SQRT(M$2^2+(AC33/AB33)^2)*L33</f>
        <v>6.614356809244569E-3</v>
      </c>
      <c r="N33" s="7">
        <v>0.98928000000000005</v>
      </c>
      <c r="O33" s="8">
        <v>4.2973790000000003</v>
      </c>
      <c r="P33" s="8">
        <f t="shared" ref="P33:P53" ca="1" si="10">SQRT(P$2^2+(AF33/AE33)^2)*O33</f>
        <v>0.12215039747943025</v>
      </c>
      <c r="Q33" s="9">
        <v>9.1719999999999996E-2</v>
      </c>
      <c r="R33" s="9">
        <f t="shared" ref="R33:R53" ca="1" si="11">SQRT(R$2^2+(AH33/AG33)^2)*Q33</f>
        <v>1.8841240298876293E-3</v>
      </c>
      <c r="S33" s="8">
        <f t="shared" ref="S33:S53" si="12">(((BE33/BD33)^2+(AW33/AV33)^2)+((BE33/BD33)^2+(BC33/BB33)^2)-((BC33/BB33)^2+(AW33/AV33)^2))/(2*SQRT((BE33/BD33)^2+(AW33/AV33)^2)*SQRT((BE33/BD33)^2+(BC33/BB33)^2))</f>
        <v>0.51210753231104478</v>
      </c>
      <c r="T33" s="11">
        <v>7.6700000000000004E-2</v>
      </c>
      <c r="U33" s="11">
        <f t="shared" ref="U33:U53" ca="1" si="13">SQRT(U$2^2+(AK33/AJ33)^2)*T33</f>
        <v>2.1454966790932116E-3</v>
      </c>
      <c r="V33" s="6" t="e">
        <f ca="1">IF(agePb6U8(1/O33)&lt;1400,age7corr(1/O33,Q33,$W$2),agePb76(Q33))</f>
        <v>#NAME?</v>
      </c>
      <c r="W33" s="6" t="e">
        <f ca="1">IF(agePb6U8(1/O33)&lt;1400,ageer7corr(V33,1/O33,P33/O33*(1/O33),Q33,R33,$W$2,0.05),ageerPb76(Q33,R33))</f>
        <v>#NAME?</v>
      </c>
      <c r="X33" s="4" t="e">
        <f ca="1">agePb6U8(L33)/agePb7u5(J33)</f>
        <v>#NAME?</v>
      </c>
      <c r="Z33" s="1">
        <v>2.923</v>
      </c>
      <c r="AA33" s="1">
        <v>7.4999999999999997E-2</v>
      </c>
      <c r="AB33" s="1">
        <v>0.23269999999999999</v>
      </c>
      <c r="AC33" s="1">
        <v>4.7000000000000002E-3</v>
      </c>
      <c r="AD33" s="1">
        <v>0.98928000000000005</v>
      </c>
      <c r="AE33" s="1">
        <v>4.2973790000000003</v>
      </c>
      <c r="AF33" s="1">
        <v>8.6797079999999999E-2</v>
      </c>
      <c r="AG33" s="1">
        <v>9.1719999999999996E-2</v>
      </c>
      <c r="AH33" s="1">
        <v>4.2999999999999999E-4</v>
      </c>
      <c r="AI33" s="1">
        <v>-0.25134000000000001</v>
      </c>
      <c r="AJ33" s="1">
        <v>7.6700000000000004E-2</v>
      </c>
      <c r="AK33" s="1">
        <v>1.5E-3</v>
      </c>
      <c r="AL33" s="1">
        <v>6.3819999999999997</v>
      </c>
      <c r="AM33" s="1">
        <v>3.6999999999999998E-2</v>
      </c>
      <c r="AN33" s="1">
        <v>1387</v>
      </c>
      <c r="AO33" s="1">
        <v>20</v>
      </c>
      <c r="AP33" s="1">
        <v>1349</v>
      </c>
      <c r="AQ33" s="1">
        <v>25</v>
      </c>
      <c r="AR33" s="1">
        <v>1494</v>
      </c>
      <c r="AS33" s="1">
        <v>27</v>
      </c>
      <c r="AT33" s="1">
        <v>1461.5</v>
      </c>
      <c r="AU33" s="1">
        <v>8.9</v>
      </c>
      <c r="AV33" s="1">
        <v>48.7</v>
      </c>
      <c r="AW33" s="1">
        <v>1.3</v>
      </c>
      <c r="AX33" s="1">
        <v>8.98</v>
      </c>
      <c r="AY33" s="1">
        <v>0.42000000000000004</v>
      </c>
      <c r="AZ33" s="1">
        <v>56076.3</v>
      </c>
      <c r="BA33" s="1">
        <v>1428.3</v>
      </c>
      <c r="BB33" s="1">
        <v>40489.200000000004</v>
      </c>
      <c r="BC33" s="1">
        <v>1117.8000000000002</v>
      </c>
      <c r="BD33" s="1">
        <v>446499</v>
      </c>
      <c r="BE33" s="1">
        <v>12420</v>
      </c>
      <c r="BF33" s="1">
        <v>7.8246000000000002</v>
      </c>
      <c r="BG33" s="1">
        <v>5.5889999999999995</v>
      </c>
      <c r="BH33" s="1">
        <f t="shared" ref="BH33:BH53" si="14">BD33/BF33</f>
        <v>57063.492063492064</v>
      </c>
      <c r="BI33" s="1">
        <f t="shared" ref="BI33:BI53" si="15">SQRT((BG33/BF33)^2+(BE33/BD33)^2)*BH33</f>
        <v>40790.532603086336</v>
      </c>
    </row>
    <row r="34" spans="1:61" x14ac:dyDescent="0.2">
      <c r="A34" t="s">
        <v>1049</v>
      </c>
      <c r="B34" t="s">
        <v>38</v>
      </c>
      <c r="C34" t="s">
        <v>1050</v>
      </c>
      <c r="D34" t="s">
        <v>1051</v>
      </c>
      <c r="E34">
        <v>81433</v>
      </c>
      <c r="F34">
        <v>54001</v>
      </c>
      <c r="G34" t="s">
        <v>1051</v>
      </c>
      <c r="H34" s="1">
        <v>66.2</v>
      </c>
      <c r="I34" s="1">
        <v>50.3</v>
      </c>
      <c r="J34" s="10">
        <v>2.5249999999999999</v>
      </c>
      <c r="K34" s="10">
        <f t="shared" ca="1" si="8"/>
        <v>9.9730887893370312E-2</v>
      </c>
      <c r="L34" s="7">
        <v>0.21820000000000001</v>
      </c>
      <c r="M34" s="7">
        <f t="shared" ca="1" si="9"/>
        <v>7.912300297637849E-3</v>
      </c>
      <c r="N34" s="7">
        <v>0.98129999999999995</v>
      </c>
      <c r="O34" s="8">
        <v>4.5829510000000004</v>
      </c>
      <c r="P34" s="8">
        <f t="shared" ca="1" si="10"/>
        <v>0.16618552555096486</v>
      </c>
      <c r="Q34" s="9">
        <v>8.3970000000000003E-2</v>
      </c>
      <c r="R34" s="9">
        <f t="shared" ca="1" si="11"/>
        <v>1.8044346372202017E-3</v>
      </c>
      <c r="S34" s="8">
        <f t="shared" si="12"/>
        <v>0.4684018878013107</v>
      </c>
      <c r="T34" s="11">
        <v>7.6399999999999996E-2</v>
      </c>
      <c r="U34" s="11">
        <f t="shared" ca="1" si="13"/>
        <v>3.1897937237382605E-3</v>
      </c>
      <c r="V34" s="6" t="e">
        <f ca="1">IF(agePb6U8(1/O34)&lt;1400,age7corr(1/O34,Q34,$W$2),agePb76(Q34))</f>
        <v>#NAME?</v>
      </c>
      <c r="W34" s="6" t="e">
        <f ca="1">IF(agePb6U8(1/O34)&lt;1400,ageer7corr(V34,1/O34,P34/O34*(1/O34),Q34,R34,$W$2,0.05),ageerPb76(Q34,R34))</f>
        <v>#NAME?</v>
      </c>
      <c r="X34" s="4" t="e">
        <f ca="1">agePb6U8(L34)/agePb7u5(J34)</f>
        <v>#NAME?</v>
      </c>
      <c r="Z34" s="1">
        <v>2.5249999999999999</v>
      </c>
      <c r="AA34" s="1">
        <v>8.5999999999999993E-2</v>
      </c>
      <c r="AB34" s="1">
        <v>0.21820000000000001</v>
      </c>
      <c r="AC34" s="1">
        <v>6.6E-3</v>
      </c>
      <c r="AD34" s="1">
        <v>0.98129999999999995</v>
      </c>
      <c r="AE34" s="1">
        <v>4.5829510000000004</v>
      </c>
      <c r="AF34" s="1">
        <v>0.13862269999999999</v>
      </c>
      <c r="AG34" s="1">
        <v>8.3970000000000003E-2</v>
      </c>
      <c r="AH34" s="1">
        <v>6.6E-4</v>
      </c>
      <c r="AI34" s="1">
        <v>-0.26789000000000002</v>
      </c>
      <c r="AJ34" s="1">
        <v>7.6399999999999996E-2</v>
      </c>
      <c r="AK34" s="1">
        <v>2.8E-3</v>
      </c>
      <c r="AL34" s="1">
        <v>4.01</v>
      </c>
      <c r="AM34" s="1">
        <v>2.1999999999999999E-2</v>
      </c>
      <c r="AN34" s="1">
        <v>1278</v>
      </c>
      <c r="AO34" s="1">
        <v>25</v>
      </c>
      <c r="AP34" s="1">
        <v>1272</v>
      </c>
      <c r="AQ34" s="1">
        <v>35</v>
      </c>
      <c r="AR34" s="1">
        <v>1501</v>
      </c>
      <c r="AS34" s="1">
        <v>57</v>
      </c>
      <c r="AT34" s="1">
        <v>1292</v>
      </c>
      <c r="AU34" s="1">
        <v>15</v>
      </c>
      <c r="AV34" s="1">
        <v>14.14</v>
      </c>
      <c r="AW34" s="1">
        <v>0.31</v>
      </c>
      <c r="AX34" s="1">
        <v>3.94</v>
      </c>
      <c r="AY34" s="1">
        <v>0.19</v>
      </c>
      <c r="AZ34" s="1">
        <v>24219</v>
      </c>
      <c r="BA34" s="1">
        <v>621</v>
      </c>
      <c r="BB34" s="1">
        <v>10116.09</v>
      </c>
      <c r="BC34" s="1">
        <v>273.24</v>
      </c>
      <c r="BD34" s="1">
        <v>121716</v>
      </c>
      <c r="BE34" s="1">
        <v>2794.5000000000005</v>
      </c>
      <c r="BF34" s="1">
        <v>-24.839999999999996</v>
      </c>
      <c r="BG34" s="1">
        <v>7.4519999999999991</v>
      </c>
      <c r="BH34" s="1">
        <f t="shared" si="14"/>
        <v>-4900.0000000000009</v>
      </c>
      <c r="BI34" s="1">
        <f t="shared" si="15"/>
        <v>-1474.2985620287368</v>
      </c>
    </row>
    <row r="35" spans="1:61" x14ac:dyDescent="0.2">
      <c r="A35" t="s">
        <v>1052</v>
      </c>
      <c r="B35" t="s">
        <v>38</v>
      </c>
      <c r="C35" t="s">
        <v>1053</v>
      </c>
      <c r="D35" t="s">
        <v>1054</v>
      </c>
      <c r="E35">
        <v>81400</v>
      </c>
      <c r="F35">
        <v>54279</v>
      </c>
      <c r="G35" t="s">
        <v>1054</v>
      </c>
      <c r="H35" s="1">
        <v>131.5</v>
      </c>
      <c r="I35" s="1">
        <v>68.900000000000006</v>
      </c>
      <c r="J35" s="10">
        <v>2.39</v>
      </c>
      <c r="K35" s="10">
        <f t="shared" ca="1" si="8"/>
        <v>0.11083699743316759</v>
      </c>
      <c r="L35" s="7">
        <v>0.2082</v>
      </c>
      <c r="M35" s="7">
        <f t="shared" ca="1" si="9"/>
        <v>9.8259297778887072E-3</v>
      </c>
      <c r="N35" s="7">
        <v>0.99268000000000001</v>
      </c>
      <c r="O35" s="8">
        <v>4.8030739999999996</v>
      </c>
      <c r="P35" s="8">
        <f t="shared" ca="1" si="10"/>
        <v>0.22667945762569749</v>
      </c>
      <c r="Q35" s="9">
        <v>8.3419999999999994E-2</v>
      </c>
      <c r="R35" s="9">
        <f t="shared" ca="1" si="11"/>
        <v>1.7869411182241009E-3</v>
      </c>
      <c r="S35" s="8">
        <f t="shared" si="12"/>
        <v>0.40729786745224306</v>
      </c>
      <c r="T35" s="11">
        <v>8.0500000000000002E-2</v>
      </c>
      <c r="U35" s="11">
        <f t="shared" ca="1" si="13"/>
        <v>3.852544613628764E-3</v>
      </c>
      <c r="V35" s="6" t="e">
        <f ca="1">IF(agePb6U8(1/O35)&lt;1400,age7corr(1/O35,Q35,$W$2),agePb76(Q35))</f>
        <v>#NAME?</v>
      </c>
      <c r="W35" s="6" t="e">
        <f ca="1">IF(agePb6U8(1/O35)&lt;1400,ageer7corr(V35,1/O35,P35/O35*(1/O35),Q35,R35,$W$2,0.05),ageerPb76(Q35,R35))</f>
        <v>#NAME?</v>
      </c>
      <c r="X35" s="4" t="e">
        <f ca="1">agePb6U8(L35)/agePb7u5(J35)</f>
        <v>#NAME?</v>
      </c>
      <c r="Z35" s="1">
        <v>2.39</v>
      </c>
      <c r="AA35" s="1">
        <v>0.1</v>
      </c>
      <c r="AB35" s="1">
        <v>0.2082</v>
      </c>
      <c r="AC35" s="1">
        <v>8.8999999999999999E-3</v>
      </c>
      <c r="AD35" s="1">
        <v>0.99268000000000001</v>
      </c>
      <c r="AE35" s="1">
        <v>4.8030739999999996</v>
      </c>
      <c r="AF35" s="1">
        <v>0.20531869999999999</v>
      </c>
      <c r="AG35" s="1">
        <v>8.3419999999999994E-2</v>
      </c>
      <c r="AH35" s="1">
        <v>6.4000000000000005E-4</v>
      </c>
      <c r="AI35" s="1">
        <v>-7.8001000000000001E-2</v>
      </c>
      <c r="AJ35" s="1">
        <v>8.0500000000000002E-2</v>
      </c>
      <c r="AK35" s="1">
        <v>3.5000000000000001E-3</v>
      </c>
      <c r="AL35" s="1">
        <v>5.234</v>
      </c>
      <c r="AM35" s="1">
        <v>5.6000000000000001E-2</v>
      </c>
      <c r="AN35" s="1">
        <v>1238</v>
      </c>
      <c r="AO35" s="1">
        <v>31</v>
      </c>
      <c r="AP35" s="1">
        <v>1218</v>
      </c>
      <c r="AQ35" s="1">
        <v>47</v>
      </c>
      <c r="AR35" s="1">
        <v>1565</v>
      </c>
      <c r="AS35" s="1">
        <v>65</v>
      </c>
      <c r="AT35" s="1">
        <v>1279</v>
      </c>
      <c r="AU35" s="1">
        <v>15</v>
      </c>
      <c r="AV35" s="1">
        <v>28.1</v>
      </c>
      <c r="AW35" s="1">
        <v>0.98</v>
      </c>
      <c r="AX35" s="1">
        <v>5.39</v>
      </c>
      <c r="AY35" s="1">
        <v>0.12000000000000001</v>
      </c>
      <c r="AZ35" s="1">
        <v>34776</v>
      </c>
      <c r="BA35" s="1">
        <v>931.50000000000011</v>
      </c>
      <c r="BB35" s="1">
        <v>18859.77</v>
      </c>
      <c r="BC35" s="1">
        <v>416.07</v>
      </c>
      <c r="BD35" s="1">
        <v>229956.30000000002</v>
      </c>
      <c r="BE35" s="1">
        <v>5402.7</v>
      </c>
      <c r="BF35" s="1">
        <v>2.2356000000000003</v>
      </c>
      <c r="BG35" s="1">
        <v>5.8995000000000006</v>
      </c>
      <c r="BH35" s="1">
        <f t="shared" si="14"/>
        <v>102861.11111111111</v>
      </c>
      <c r="BI35" s="1">
        <f t="shared" si="15"/>
        <v>271449.8009880851</v>
      </c>
    </row>
    <row r="36" spans="1:61" x14ac:dyDescent="0.2">
      <c r="A36" t="s">
        <v>1061</v>
      </c>
      <c r="B36" t="s">
        <v>38</v>
      </c>
      <c r="C36" t="s">
        <v>1062</v>
      </c>
      <c r="D36" t="s">
        <v>1063</v>
      </c>
      <c r="E36">
        <v>81429</v>
      </c>
      <c r="F36">
        <v>54426</v>
      </c>
      <c r="G36" t="s">
        <v>1063</v>
      </c>
      <c r="H36" s="1">
        <v>114</v>
      </c>
      <c r="I36" s="1">
        <v>56.8</v>
      </c>
      <c r="J36" s="10">
        <v>2.37</v>
      </c>
      <c r="K36" s="10">
        <f t="shared" ca="1" si="8"/>
        <v>0.11066508030991529</v>
      </c>
      <c r="L36" s="7">
        <v>0.2009</v>
      </c>
      <c r="M36" s="7">
        <f t="shared" ca="1" si="9"/>
        <v>9.2214057496674551E-3</v>
      </c>
      <c r="N36" s="7">
        <v>0.99170000000000003</v>
      </c>
      <c r="O36" s="8">
        <v>4.9776009999999999</v>
      </c>
      <c r="P36" s="8">
        <f t="shared" ca="1" si="10"/>
        <v>0.22847422329680955</v>
      </c>
      <c r="Q36" s="9">
        <v>8.5790000000000005E-2</v>
      </c>
      <c r="R36" s="9">
        <f t="shared" ca="1" si="11"/>
        <v>1.7957922040147075E-3</v>
      </c>
      <c r="S36" s="8">
        <f t="shared" si="12"/>
        <v>0.46638590236297295</v>
      </c>
      <c r="T36" s="11">
        <v>8.0299999999999996E-2</v>
      </c>
      <c r="U36" s="11">
        <f t="shared" ca="1" si="13"/>
        <v>3.2278841367062729E-3</v>
      </c>
      <c r="V36" s="6" t="e">
        <f ca="1">IF(agePb6U8(1/O36)&lt;1400,age7corr(1/O36,Q36,$W$2),agePb76(Q36))</f>
        <v>#NAME?</v>
      </c>
      <c r="W36" s="6" t="e">
        <f ca="1">IF(agePb6U8(1/O36)&lt;1400,ageer7corr(V36,1/O36,P36/O36*(1/O36),Q36,R36,$W$2,0.05),ageerPb76(Q36,R36))</f>
        <v>#NAME?</v>
      </c>
      <c r="X36" s="4" t="e">
        <f ca="1">agePb6U8(L36)/agePb7u5(J36)</f>
        <v>#NAME?</v>
      </c>
      <c r="Z36" s="1">
        <v>2.37</v>
      </c>
      <c r="AA36" s="1">
        <v>0.1</v>
      </c>
      <c r="AB36" s="1">
        <v>0.2009</v>
      </c>
      <c r="AC36" s="1">
        <v>8.3000000000000001E-3</v>
      </c>
      <c r="AD36" s="1">
        <v>0.99170000000000003</v>
      </c>
      <c r="AE36" s="1">
        <v>4.9776009999999999</v>
      </c>
      <c r="AF36" s="1">
        <v>0.20564499999999999</v>
      </c>
      <c r="AG36" s="1">
        <v>8.5790000000000005E-2</v>
      </c>
      <c r="AH36" s="1">
        <v>5.2999999999999998E-4</v>
      </c>
      <c r="AI36" s="1">
        <v>-0.4168</v>
      </c>
      <c r="AJ36" s="1">
        <v>8.0299999999999996E-2</v>
      </c>
      <c r="AK36" s="1">
        <v>2.8E-3</v>
      </c>
      <c r="AL36" s="1">
        <v>5.2069999999999999</v>
      </c>
      <c r="AM36" s="1">
        <v>6.2E-2</v>
      </c>
      <c r="AN36" s="1">
        <v>1232</v>
      </c>
      <c r="AO36" s="1">
        <v>32</v>
      </c>
      <c r="AP36" s="1">
        <v>1180</v>
      </c>
      <c r="AQ36" s="1">
        <v>45</v>
      </c>
      <c r="AR36" s="1">
        <v>1561</v>
      </c>
      <c r="AS36" s="1">
        <v>53</v>
      </c>
      <c r="AT36" s="1">
        <v>1333</v>
      </c>
      <c r="AU36" s="1">
        <v>12</v>
      </c>
      <c r="AV36" s="1">
        <v>24.36</v>
      </c>
      <c r="AW36" s="1">
        <v>0.84000000000000008</v>
      </c>
      <c r="AX36" s="1">
        <v>4.45</v>
      </c>
      <c r="AY36" s="1">
        <v>0.11</v>
      </c>
      <c r="AZ36" s="1">
        <v>28938.6</v>
      </c>
      <c r="BA36" s="1">
        <v>869.4</v>
      </c>
      <c r="BB36" s="1">
        <v>15885.179999999998</v>
      </c>
      <c r="BC36" s="1">
        <v>577.53000000000009</v>
      </c>
      <c r="BD36" s="1">
        <v>187542</v>
      </c>
      <c r="BE36" s="1">
        <v>6210</v>
      </c>
      <c r="BF36" s="1">
        <v>7.1415000000000006</v>
      </c>
      <c r="BG36" s="1">
        <v>5.5889999999999995</v>
      </c>
      <c r="BH36" s="1">
        <f t="shared" si="14"/>
        <v>26260.869565217388</v>
      </c>
      <c r="BI36" s="1">
        <f t="shared" si="15"/>
        <v>20570.372530825472</v>
      </c>
    </row>
    <row r="37" spans="1:61" x14ac:dyDescent="0.2">
      <c r="A37" t="s">
        <v>1064</v>
      </c>
      <c r="B37" t="s">
        <v>38</v>
      </c>
      <c r="C37" t="s">
        <v>1065</v>
      </c>
      <c r="D37" t="s">
        <v>1066</v>
      </c>
      <c r="E37">
        <v>81380</v>
      </c>
      <c r="F37">
        <v>54503</v>
      </c>
      <c r="G37" t="s">
        <v>1066</v>
      </c>
      <c r="H37" s="1">
        <v>185.5</v>
      </c>
      <c r="I37" s="1">
        <v>141.4</v>
      </c>
      <c r="J37" s="10">
        <v>2.6059999999999999</v>
      </c>
      <c r="K37" s="10">
        <f t="shared" ca="1" si="8"/>
        <v>9.8007624193222842E-2</v>
      </c>
      <c r="L37" s="7">
        <v>0.20880000000000001</v>
      </c>
      <c r="M37" s="7">
        <f t="shared" ca="1" si="9"/>
        <v>7.4752241437966256E-3</v>
      </c>
      <c r="N37" s="7">
        <v>0.98018000000000005</v>
      </c>
      <c r="O37" s="8">
        <v>4.7892720000000004</v>
      </c>
      <c r="P37" s="8">
        <f t="shared" ca="1" si="10"/>
        <v>0.17146017467631838</v>
      </c>
      <c r="Q37" s="9">
        <v>8.9709999999999998E-2</v>
      </c>
      <c r="R37" s="9">
        <f t="shared" ca="1" si="11"/>
        <v>1.8625664122387689E-3</v>
      </c>
      <c r="S37" s="8">
        <f t="shared" si="12"/>
        <v>0.53997891876113913</v>
      </c>
      <c r="T37" s="11">
        <v>5.7799999999999997E-2</v>
      </c>
      <c r="U37" s="11">
        <f t="shared" ca="1" si="13"/>
        <v>2.2240359709321251E-3</v>
      </c>
      <c r="V37" s="6" t="e">
        <f ca="1">IF(agePb6U8(1/O37)&lt;1400,age7corr(1/O37,Q37,$W$2),agePb76(Q37))</f>
        <v>#NAME?</v>
      </c>
      <c r="W37" s="6" t="e">
        <f ca="1">IF(agePb6U8(1/O37)&lt;1400,ageer7corr(V37,1/O37,P37/O37*(1/O37),Q37,R37,$W$2,0.05),ageerPb76(Q37,R37))</f>
        <v>#NAME?</v>
      </c>
      <c r="X37" s="4" t="e">
        <f ca="1">agePb6U8(L37)/agePb7u5(J37)</f>
        <v>#NAME?</v>
      </c>
      <c r="Z37" s="1">
        <v>2.6059999999999999</v>
      </c>
      <c r="AA37" s="1">
        <v>8.3000000000000004E-2</v>
      </c>
      <c r="AB37" s="1">
        <v>0.20880000000000001</v>
      </c>
      <c r="AC37" s="1">
        <v>6.1999999999999998E-3</v>
      </c>
      <c r="AD37" s="1">
        <v>0.98018000000000005</v>
      </c>
      <c r="AE37" s="1">
        <v>4.7892720000000004</v>
      </c>
      <c r="AF37" s="1">
        <v>0.14221020000000001</v>
      </c>
      <c r="AG37" s="1">
        <v>8.9709999999999998E-2</v>
      </c>
      <c r="AH37" s="1">
        <v>5.0000000000000001E-4</v>
      </c>
      <c r="AI37" s="1">
        <v>-8.1323999999999994E-2</v>
      </c>
      <c r="AJ37" s="1">
        <v>5.7799999999999997E-2</v>
      </c>
      <c r="AK37" s="1">
        <v>1.9E-3</v>
      </c>
      <c r="AL37" s="1">
        <v>5.0279999999999996</v>
      </c>
      <c r="AM37" s="1">
        <v>3.5999999999999997E-2</v>
      </c>
      <c r="AN37" s="1">
        <v>1301</v>
      </c>
      <c r="AO37" s="1">
        <v>24</v>
      </c>
      <c r="AP37" s="1">
        <v>1222</v>
      </c>
      <c r="AQ37" s="1">
        <v>33</v>
      </c>
      <c r="AR37" s="1">
        <v>1135</v>
      </c>
      <c r="AS37" s="1">
        <v>36</v>
      </c>
      <c r="AT37" s="1">
        <v>1419</v>
      </c>
      <c r="AU37" s="1">
        <v>11</v>
      </c>
      <c r="AV37" s="1">
        <v>39.620000000000005</v>
      </c>
      <c r="AW37" s="1">
        <v>0.87</v>
      </c>
      <c r="AX37" s="1">
        <v>11.07</v>
      </c>
      <c r="AY37" s="1">
        <v>0.28999999999999998</v>
      </c>
      <c r="AZ37" s="1">
        <v>52164.000000000007</v>
      </c>
      <c r="BA37" s="1">
        <v>1490.4</v>
      </c>
      <c r="BB37" s="1">
        <v>29187</v>
      </c>
      <c r="BC37" s="1">
        <v>683.09999999999991</v>
      </c>
      <c r="BD37" s="1">
        <v>328509</v>
      </c>
      <c r="BE37" s="1">
        <v>8072.9999999999982</v>
      </c>
      <c r="BF37" s="1">
        <v>11.426399999999999</v>
      </c>
      <c r="BG37" s="1">
        <v>5.3406000000000002</v>
      </c>
      <c r="BH37" s="1">
        <f t="shared" si="14"/>
        <v>28750.000000000004</v>
      </c>
      <c r="BI37" s="1">
        <f t="shared" si="15"/>
        <v>13456.061058789233</v>
      </c>
    </row>
    <row r="38" spans="1:61" x14ac:dyDescent="0.2">
      <c r="A38" t="s">
        <v>1067</v>
      </c>
      <c r="B38" t="s">
        <v>38</v>
      </c>
      <c r="C38" t="s">
        <v>1068</v>
      </c>
      <c r="D38" t="s">
        <v>1069</v>
      </c>
      <c r="E38">
        <v>81418</v>
      </c>
      <c r="F38">
        <v>54567</v>
      </c>
      <c r="G38" t="s">
        <v>1069</v>
      </c>
      <c r="H38" s="1">
        <v>45.26</v>
      </c>
      <c r="I38" s="1">
        <v>37.6</v>
      </c>
      <c r="J38" s="10">
        <v>3.2450000000000001</v>
      </c>
      <c r="K38" s="10">
        <f t="shared" ca="1" si="8"/>
        <v>9.7678093756993434E-2</v>
      </c>
      <c r="L38" s="7">
        <v>0.25740000000000002</v>
      </c>
      <c r="M38" s="7">
        <f t="shared" ca="1" si="9"/>
        <v>7.9819736907609518E-3</v>
      </c>
      <c r="N38" s="7">
        <v>0.95142000000000004</v>
      </c>
      <c r="O38" s="8">
        <v>3.8850039999999999</v>
      </c>
      <c r="P38" s="8">
        <f t="shared" ca="1" si="10"/>
        <v>0.12047396985949288</v>
      </c>
      <c r="Q38" s="9">
        <v>9.1509999999999994E-2</v>
      </c>
      <c r="R38" s="9">
        <f t="shared" ca="1" si="11"/>
        <v>2.0055004462727001E-3</v>
      </c>
      <c r="S38" s="8">
        <f t="shared" si="12"/>
        <v>0.41575780438243615</v>
      </c>
      <c r="T38" s="11">
        <v>9.4600000000000004E-2</v>
      </c>
      <c r="U38" s="11">
        <f t="shared" ca="1" si="13"/>
        <v>3.7174808674692596E-3</v>
      </c>
      <c r="V38" s="6" t="e">
        <f ca="1">IF(agePb6U8(1/O38)&lt;1400,age7corr(1/O38,Q38,$W$2),agePb76(Q38))</f>
        <v>#NAME?</v>
      </c>
      <c r="W38" s="6" t="e">
        <f ca="1">IF(agePb6U8(1/O38)&lt;1400,ageer7corr(V38,1/O38,P38/O38*(1/O38),Q38,R38,$W$2,0.05),ageerPb76(Q38,R38))</f>
        <v>#NAME?</v>
      </c>
      <c r="X38" s="4" t="e">
        <f ca="1">agePb6U8(L38)/agePb7u5(J38)</f>
        <v>#NAME?</v>
      </c>
      <c r="Z38" s="1">
        <v>3.2450000000000001</v>
      </c>
      <c r="AA38" s="1">
        <v>7.2999999999999995E-2</v>
      </c>
      <c r="AB38" s="1">
        <v>0.25740000000000002</v>
      </c>
      <c r="AC38" s="1">
        <v>6.1000000000000004E-3</v>
      </c>
      <c r="AD38" s="1">
        <v>0.95142000000000004</v>
      </c>
      <c r="AE38" s="1">
        <v>3.8850039999999999</v>
      </c>
      <c r="AF38" s="1">
        <v>9.2068860000000002E-2</v>
      </c>
      <c r="AG38" s="1">
        <v>9.1509999999999994E-2</v>
      </c>
      <c r="AH38" s="1">
        <v>8.1999999999999998E-4</v>
      </c>
      <c r="AI38" s="1">
        <v>0.13106000000000001</v>
      </c>
      <c r="AJ38" s="1">
        <v>9.4600000000000004E-2</v>
      </c>
      <c r="AK38" s="1">
        <v>3.2000000000000002E-3</v>
      </c>
      <c r="AL38" s="1">
        <v>3.4940000000000002</v>
      </c>
      <c r="AM38" s="1">
        <v>2.7E-2</v>
      </c>
      <c r="AN38" s="1">
        <v>1467</v>
      </c>
      <c r="AO38" s="1">
        <v>17</v>
      </c>
      <c r="AP38" s="1">
        <v>1476</v>
      </c>
      <c r="AQ38" s="1">
        <v>31</v>
      </c>
      <c r="AR38" s="1">
        <v>1827</v>
      </c>
      <c r="AS38" s="1">
        <v>60</v>
      </c>
      <c r="AT38" s="1">
        <v>1457</v>
      </c>
      <c r="AU38" s="1">
        <v>17</v>
      </c>
      <c r="AV38" s="1">
        <v>9.67</v>
      </c>
      <c r="AW38" s="1">
        <v>0.19</v>
      </c>
      <c r="AX38" s="1">
        <v>2.94</v>
      </c>
      <c r="AY38" s="1">
        <v>0.12000000000000001</v>
      </c>
      <c r="AZ38" s="1">
        <v>22505.040000000001</v>
      </c>
      <c r="BA38" s="1">
        <v>353.96999999999997</v>
      </c>
      <c r="BB38" s="1">
        <v>8898.9299999999985</v>
      </c>
      <c r="BC38" s="1">
        <v>173.88</v>
      </c>
      <c r="BD38" s="1">
        <v>97683.3</v>
      </c>
      <c r="BE38" s="1">
        <v>1614.6</v>
      </c>
      <c r="BF38" s="1">
        <v>-2.5461</v>
      </c>
      <c r="BG38" s="1">
        <v>5.7131999999999996</v>
      </c>
      <c r="BH38" s="1">
        <f t="shared" si="14"/>
        <v>-38365.853658536587</v>
      </c>
      <c r="BI38" s="1">
        <f t="shared" si="15"/>
        <v>-86091.568177016263</v>
      </c>
    </row>
    <row r="39" spans="1:61" x14ac:dyDescent="0.2">
      <c r="A39" t="s">
        <v>1070</v>
      </c>
      <c r="B39" t="s">
        <v>38</v>
      </c>
      <c r="C39" t="s">
        <v>1071</v>
      </c>
      <c r="D39" t="s">
        <v>1072</v>
      </c>
      <c r="E39">
        <v>81368</v>
      </c>
      <c r="F39">
        <v>54706</v>
      </c>
      <c r="G39" t="s">
        <v>1072</v>
      </c>
      <c r="H39" s="1">
        <v>140.80000000000001</v>
      </c>
      <c r="I39" s="1">
        <v>60</v>
      </c>
      <c r="J39" s="10">
        <v>2.286</v>
      </c>
      <c r="K39" s="10">
        <f t="shared" ca="1" si="8"/>
        <v>7.4641264726691234E-2</v>
      </c>
      <c r="L39" s="7">
        <v>0.20300000000000001</v>
      </c>
      <c r="M39" s="7">
        <f t="shared" ca="1" si="9"/>
        <v>6.5972418479240255E-3</v>
      </c>
      <c r="N39" s="7">
        <v>0.97729999999999995</v>
      </c>
      <c r="O39" s="8">
        <v>4.9261080000000002</v>
      </c>
      <c r="P39" s="8">
        <f t="shared" ca="1" si="10"/>
        <v>0.16009223156376326</v>
      </c>
      <c r="Q39" s="9">
        <v>8.1920000000000007E-2</v>
      </c>
      <c r="R39" s="9">
        <f t="shared" ca="1" si="11"/>
        <v>1.7282518797906749E-3</v>
      </c>
      <c r="S39" s="8">
        <f t="shared" si="12"/>
        <v>0.44112128020017838</v>
      </c>
      <c r="T39" s="11">
        <v>7.6100000000000001E-2</v>
      </c>
      <c r="U39" s="11">
        <f t="shared" ca="1" si="13"/>
        <v>2.3572195485359439E-3</v>
      </c>
      <c r="V39" s="6" t="e">
        <f ca="1">IF(agePb6U8(1/O39)&lt;1400,age7corr(1/O39,Q39,$W$2),agePb76(Q39))</f>
        <v>#NAME?</v>
      </c>
      <c r="W39" s="6" t="e">
        <f ca="1">IF(agePb6U8(1/O39)&lt;1400,ageer7corr(V39,1/O39,P39/O39*(1/O39),Q39,R39,$W$2,0.05),ageerPb76(Q39,R39))</f>
        <v>#NAME?</v>
      </c>
      <c r="X39" s="4" t="e">
        <f ca="1">agePb6U8(L39)/agePb7u5(J39)</f>
        <v>#NAME?</v>
      </c>
      <c r="Z39" s="1">
        <v>2.286</v>
      </c>
      <c r="AA39" s="1">
        <v>5.8999999999999997E-2</v>
      </c>
      <c r="AB39" s="1">
        <v>0.20300000000000001</v>
      </c>
      <c r="AC39" s="1">
        <v>5.1999999999999998E-3</v>
      </c>
      <c r="AD39" s="1">
        <v>0.97729999999999995</v>
      </c>
      <c r="AE39" s="1">
        <v>4.9261080000000002</v>
      </c>
      <c r="AF39" s="1">
        <v>0.12618599999999999</v>
      </c>
      <c r="AG39" s="1">
        <v>8.1920000000000007E-2</v>
      </c>
      <c r="AH39" s="1">
        <v>5.5000000000000003E-4</v>
      </c>
      <c r="AI39" s="1">
        <v>-8.974E-2</v>
      </c>
      <c r="AJ39" s="1">
        <v>7.6100000000000001E-2</v>
      </c>
      <c r="AK39" s="1">
        <v>1.8E-3</v>
      </c>
      <c r="AL39" s="1">
        <v>6.6559999999999997</v>
      </c>
      <c r="AM39" s="1">
        <v>4.2999999999999997E-2</v>
      </c>
      <c r="AN39" s="1">
        <v>1207</v>
      </c>
      <c r="AO39" s="1">
        <v>18</v>
      </c>
      <c r="AP39" s="1">
        <v>1191</v>
      </c>
      <c r="AQ39" s="1">
        <v>28</v>
      </c>
      <c r="AR39" s="1">
        <v>1483</v>
      </c>
      <c r="AS39" s="1">
        <v>34</v>
      </c>
      <c r="AT39" s="1">
        <v>1243</v>
      </c>
      <c r="AU39" s="1">
        <v>13</v>
      </c>
      <c r="AV39" s="1">
        <v>30.07</v>
      </c>
      <c r="AW39" s="1">
        <v>0.72000000000000008</v>
      </c>
      <c r="AX39" s="1">
        <v>4.7</v>
      </c>
      <c r="AY39" s="1">
        <v>0.12999999999999998</v>
      </c>
      <c r="AZ39" s="1">
        <v>28814.400000000001</v>
      </c>
      <c r="BA39" s="1">
        <v>552.68999999999994</v>
      </c>
      <c r="BB39" s="1">
        <v>19486.98</v>
      </c>
      <c r="BC39" s="1">
        <v>484.38</v>
      </c>
      <c r="BD39" s="1">
        <v>240637.5</v>
      </c>
      <c r="BE39" s="1">
        <v>5216.3999999999996</v>
      </c>
      <c r="BF39" s="1">
        <v>3.2292000000000001</v>
      </c>
      <c r="BG39" s="1">
        <v>6.0858000000000008</v>
      </c>
      <c r="BH39" s="1">
        <f t="shared" si="14"/>
        <v>74519.230769230766</v>
      </c>
      <c r="BI39" s="1">
        <f t="shared" si="15"/>
        <v>140449.37877271304</v>
      </c>
    </row>
    <row r="40" spans="1:61" x14ac:dyDescent="0.2">
      <c r="A40" t="s">
        <v>1073</v>
      </c>
      <c r="B40" t="s">
        <v>38</v>
      </c>
      <c r="C40" t="s">
        <v>1074</v>
      </c>
      <c r="D40" t="s">
        <v>1075</v>
      </c>
      <c r="E40">
        <v>81324</v>
      </c>
      <c r="F40">
        <v>55150</v>
      </c>
      <c r="G40" t="s">
        <v>1075</v>
      </c>
      <c r="H40" s="1">
        <v>111.2</v>
      </c>
      <c r="I40" s="1">
        <v>73</v>
      </c>
      <c r="J40" s="10">
        <v>3.4009999999999998</v>
      </c>
      <c r="K40" s="10">
        <f t="shared" ca="1" si="8"/>
        <v>0.11847244574161539</v>
      </c>
      <c r="L40" s="7">
        <v>0.26100000000000001</v>
      </c>
      <c r="M40" s="7">
        <f t="shared" ca="1" si="9"/>
        <v>8.4934327571365414E-3</v>
      </c>
      <c r="N40" s="7">
        <v>0.97990999999999995</v>
      </c>
      <c r="O40" s="8">
        <v>3.8314180000000002</v>
      </c>
      <c r="P40" s="8">
        <f t="shared" ca="1" si="10"/>
        <v>0.12468156862844484</v>
      </c>
      <c r="Q40" s="9">
        <v>9.4369999999999996E-2</v>
      </c>
      <c r="R40" s="9">
        <f t="shared" ca="1" si="11"/>
        <v>2.0027927401506124E-3</v>
      </c>
      <c r="S40" s="8">
        <f t="shared" si="12"/>
        <v>0.37346829093930073</v>
      </c>
      <c r="T40" s="11">
        <v>0.1031</v>
      </c>
      <c r="U40" s="11">
        <f t="shared" ca="1" si="13"/>
        <v>3.1641498068201508E-3</v>
      </c>
      <c r="V40" s="6" t="e">
        <f ca="1">IF(agePb6U8(1/O40)&lt;1400,age7corr(1/O40,Q40,$W$2),agePb76(Q40))</f>
        <v>#NAME?</v>
      </c>
      <c r="W40" s="6" t="e">
        <f ca="1">IF(agePb6U8(1/O40)&lt;1400,ageer7corr(V40,1/O40,P40/O40*(1/O40),Q40,R40,$W$2,0.05),ageerPb76(Q40,R40))</f>
        <v>#NAME?</v>
      </c>
      <c r="X40" s="4" t="e">
        <f ca="1">agePb6U8(L40)/agePb7u5(J40)</f>
        <v>#NAME?</v>
      </c>
      <c r="Z40" s="1">
        <v>3.4009999999999998</v>
      </c>
      <c r="AA40" s="1">
        <v>9.7000000000000003E-2</v>
      </c>
      <c r="AB40" s="1">
        <v>0.26100000000000001</v>
      </c>
      <c r="AC40" s="1">
        <v>6.7000000000000002E-3</v>
      </c>
      <c r="AD40" s="1">
        <v>0.97990999999999995</v>
      </c>
      <c r="AE40" s="1">
        <v>3.8314180000000002</v>
      </c>
      <c r="AF40" s="1">
        <v>9.8354399999999995E-2</v>
      </c>
      <c r="AG40" s="1">
        <v>9.4369999999999996E-2</v>
      </c>
      <c r="AH40" s="1">
        <v>6.7000000000000002E-4</v>
      </c>
      <c r="AI40" s="1">
        <v>-0.38849</v>
      </c>
      <c r="AJ40" s="1">
        <v>0.1031</v>
      </c>
      <c r="AK40" s="1">
        <v>2.3999999999999998E-3</v>
      </c>
      <c r="AL40" s="1">
        <v>4.0529999999999999</v>
      </c>
      <c r="AM40" s="1">
        <v>1.0999999999999999E-2</v>
      </c>
      <c r="AN40" s="1">
        <v>1503</v>
      </c>
      <c r="AO40" s="1">
        <v>23</v>
      </c>
      <c r="AP40" s="1">
        <v>1494</v>
      </c>
      <c r="AQ40" s="1">
        <v>34</v>
      </c>
      <c r="AR40" s="1">
        <v>1983</v>
      </c>
      <c r="AS40" s="1">
        <v>44</v>
      </c>
      <c r="AT40" s="1">
        <v>1515</v>
      </c>
      <c r="AU40" s="1">
        <v>13</v>
      </c>
      <c r="AV40" s="1">
        <v>23.75</v>
      </c>
      <c r="AW40" s="1">
        <v>0.63</v>
      </c>
      <c r="AX40" s="1">
        <v>5.7200000000000006</v>
      </c>
      <c r="AY40" s="1">
        <v>0.12999999999999998</v>
      </c>
      <c r="AZ40" s="1">
        <v>47009.7</v>
      </c>
      <c r="BA40" s="1">
        <v>931.50000000000011</v>
      </c>
      <c r="BB40" s="1">
        <v>22262.85</v>
      </c>
      <c r="BC40" s="1">
        <v>521.64</v>
      </c>
      <c r="BD40" s="1">
        <v>238401.9</v>
      </c>
      <c r="BE40" s="1">
        <v>4595.3999999999996</v>
      </c>
      <c r="BF40" s="1">
        <v>18.63</v>
      </c>
      <c r="BG40" s="1">
        <v>8.0729999999999986</v>
      </c>
      <c r="BH40" s="1">
        <f t="shared" si="14"/>
        <v>12796.666666666668</v>
      </c>
      <c r="BI40" s="1">
        <f t="shared" si="15"/>
        <v>5550.7057153367086</v>
      </c>
    </row>
    <row r="41" spans="1:61" x14ac:dyDescent="0.2">
      <c r="A41" t="s">
        <v>1076</v>
      </c>
      <c r="B41" t="s">
        <v>38</v>
      </c>
      <c r="C41" t="s">
        <v>1077</v>
      </c>
      <c r="D41" t="s">
        <v>1078</v>
      </c>
      <c r="E41">
        <v>81365</v>
      </c>
      <c r="F41">
        <v>55277</v>
      </c>
      <c r="G41" t="s">
        <v>1078</v>
      </c>
      <c r="H41" s="1">
        <v>135</v>
      </c>
      <c r="I41" s="1">
        <v>37.9</v>
      </c>
      <c r="J41" s="10">
        <v>4.2699999999999996</v>
      </c>
      <c r="K41" s="10">
        <f t="shared" ca="1" si="8"/>
        <v>0.1555415057147127</v>
      </c>
      <c r="L41" s="7">
        <v>0.28489999999999999</v>
      </c>
      <c r="M41" s="7">
        <f t="shared" ca="1" si="9"/>
        <v>1.0483663672590798E-2</v>
      </c>
      <c r="N41" s="7">
        <v>0.94767000000000001</v>
      </c>
      <c r="O41" s="8">
        <v>3.5100039999999999</v>
      </c>
      <c r="P41" s="8">
        <f t="shared" ca="1" si="10"/>
        <v>0.12916005111649811</v>
      </c>
      <c r="Q41" s="9">
        <v>0.1085</v>
      </c>
      <c r="R41" s="9">
        <f t="shared" ca="1" si="11"/>
        <v>2.4796975622039075E-3</v>
      </c>
      <c r="S41" s="8">
        <f t="shared" si="12"/>
        <v>0.37955852212047514</v>
      </c>
      <c r="T41" s="11">
        <v>0.1191</v>
      </c>
      <c r="U41" s="11">
        <f t="shared" ca="1" si="13"/>
        <v>3.4531035316074724E-3</v>
      </c>
      <c r="V41" s="6" t="e">
        <f ca="1">IF(agePb6U8(1/O41)&lt;1400,age7corr(1/O41,Q41,$W$2),agePb76(Q41))</f>
        <v>#NAME?</v>
      </c>
      <c r="W41" s="6" t="e">
        <f ca="1">IF(agePb6U8(1/O41)&lt;1400,ageer7corr(V41,1/O41,P41/O41*(1/O41),Q41,R41,$W$2,0.05),ageerPb76(Q41,R41))</f>
        <v>#NAME?</v>
      </c>
      <c r="X41" s="4" t="e">
        <f ca="1">agePb6U8(L41)/agePb7u5(J41)</f>
        <v>#NAME?</v>
      </c>
      <c r="Z41" s="1">
        <v>4.2699999999999996</v>
      </c>
      <c r="AA41" s="1">
        <v>0.13</v>
      </c>
      <c r="AB41" s="1">
        <v>0.28489999999999999</v>
      </c>
      <c r="AC41" s="1">
        <v>8.8000000000000005E-3</v>
      </c>
      <c r="AD41" s="1">
        <v>0.94767000000000001</v>
      </c>
      <c r="AE41" s="1">
        <v>3.5100039999999999</v>
      </c>
      <c r="AF41" s="1">
        <v>0.1084171</v>
      </c>
      <c r="AG41" s="1">
        <v>0.1085</v>
      </c>
      <c r="AH41" s="1">
        <v>1.1999999999999999E-3</v>
      </c>
      <c r="AI41" s="1">
        <v>-5.2247000000000002E-2</v>
      </c>
      <c r="AJ41" s="1">
        <v>0.1191</v>
      </c>
      <c r="AK41" s="1">
        <v>2.5000000000000001E-3</v>
      </c>
      <c r="AL41" s="1">
        <v>9.17</v>
      </c>
      <c r="AM41" s="1">
        <v>0.28999999999999998</v>
      </c>
      <c r="AN41" s="1">
        <v>1692</v>
      </c>
      <c r="AO41" s="1">
        <v>24</v>
      </c>
      <c r="AP41" s="1">
        <v>1615</v>
      </c>
      <c r="AQ41" s="1">
        <v>44</v>
      </c>
      <c r="AR41" s="1">
        <v>2274</v>
      </c>
      <c r="AS41" s="1">
        <v>44</v>
      </c>
      <c r="AT41" s="1">
        <v>1773</v>
      </c>
      <c r="AU41" s="1">
        <v>20</v>
      </c>
      <c r="AV41" s="1">
        <v>28.8</v>
      </c>
      <c r="AW41" s="1">
        <v>1.4</v>
      </c>
      <c r="AX41" s="1">
        <v>2.96</v>
      </c>
      <c r="AY41" s="1">
        <v>0.11</v>
      </c>
      <c r="AZ41" s="1">
        <v>28752.3</v>
      </c>
      <c r="BA41" s="1">
        <v>1863.0000000000002</v>
      </c>
      <c r="BB41" s="1">
        <v>34900.200000000004</v>
      </c>
      <c r="BC41" s="1">
        <v>1552.5</v>
      </c>
      <c r="BD41" s="1">
        <v>324162</v>
      </c>
      <c r="BE41" s="1">
        <v>11799</v>
      </c>
      <c r="BF41" s="1">
        <v>18.63</v>
      </c>
      <c r="BG41" s="1">
        <v>13.662000000000001</v>
      </c>
      <c r="BH41" s="1">
        <f t="shared" si="14"/>
        <v>17400</v>
      </c>
      <c r="BI41" s="1">
        <f t="shared" si="15"/>
        <v>12775.707851665642</v>
      </c>
    </row>
    <row r="42" spans="1:61" x14ac:dyDescent="0.2">
      <c r="A42" t="s">
        <v>1079</v>
      </c>
      <c r="B42" t="s">
        <v>38</v>
      </c>
      <c r="C42" t="s">
        <v>1080</v>
      </c>
      <c r="D42" t="s">
        <v>1081</v>
      </c>
      <c r="E42">
        <v>81386</v>
      </c>
      <c r="F42">
        <v>55425</v>
      </c>
      <c r="G42" t="s">
        <v>1081</v>
      </c>
      <c r="H42" s="1">
        <v>73.400000000000006</v>
      </c>
      <c r="I42" s="1">
        <v>29.1</v>
      </c>
      <c r="J42" s="10">
        <v>2.161</v>
      </c>
      <c r="K42" s="10">
        <f t="shared" ca="1" si="8"/>
        <v>9.8040646672693868E-2</v>
      </c>
      <c r="L42" s="7">
        <v>0.19889999999999999</v>
      </c>
      <c r="M42" s="7">
        <f t="shared" ca="1" si="9"/>
        <v>8.6668612542257772E-3</v>
      </c>
      <c r="N42" s="7">
        <v>0.98645000000000005</v>
      </c>
      <c r="O42" s="8">
        <v>5.0276519999999998</v>
      </c>
      <c r="P42" s="8">
        <f t="shared" ca="1" si="10"/>
        <v>0.21907472698887839</v>
      </c>
      <c r="Q42" s="9">
        <v>7.8799999999999995E-2</v>
      </c>
      <c r="R42" s="9">
        <f t="shared" ca="1" si="11"/>
        <v>1.6863499043792778E-3</v>
      </c>
      <c r="S42" s="8">
        <f t="shared" si="12"/>
        <v>0.47081033579932791</v>
      </c>
      <c r="T42" s="11">
        <v>7.9500000000000001E-2</v>
      </c>
      <c r="U42" s="11">
        <f t="shared" ca="1" si="13"/>
        <v>3.3953055827126957E-3</v>
      </c>
      <c r="V42" s="6" t="e">
        <f ca="1">IF(agePb6U8(1/O42)&lt;1400,age7corr(1/O42,Q42,$W$2),agePb76(Q42))</f>
        <v>#NAME?</v>
      </c>
      <c r="W42" s="6" t="e">
        <f ca="1">IF(agePb6U8(1/O42)&lt;1400,ageer7corr(V42,1/O42,P42/O42*(1/O42),Q42,R42,$W$2,0.05),ageerPb76(Q42,R42))</f>
        <v>#NAME?</v>
      </c>
      <c r="X42" s="4" t="e">
        <f ca="1">agePb6U8(L42)/agePb7u5(J42)</f>
        <v>#NAME?</v>
      </c>
      <c r="Z42" s="1">
        <v>2.161</v>
      </c>
      <c r="AA42" s="1">
        <v>8.7999999999999995E-2</v>
      </c>
      <c r="AB42" s="1">
        <v>0.19889999999999999</v>
      </c>
      <c r="AC42" s="1">
        <v>7.7000000000000002E-3</v>
      </c>
      <c r="AD42" s="1">
        <v>0.98645000000000005</v>
      </c>
      <c r="AE42" s="1">
        <v>5.0276519999999998</v>
      </c>
      <c r="AF42" s="1">
        <v>0.19463510000000001</v>
      </c>
      <c r="AG42" s="1">
        <v>7.8799999999999995E-2</v>
      </c>
      <c r="AH42" s="1">
        <v>5.9999999999999995E-4</v>
      </c>
      <c r="AI42" s="1">
        <v>-0.35291</v>
      </c>
      <c r="AJ42" s="1">
        <v>7.9500000000000001E-2</v>
      </c>
      <c r="AK42" s="1">
        <v>3.0000000000000001E-3</v>
      </c>
      <c r="AL42" s="1">
        <v>6.6879999999999997</v>
      </c>
      <c r="AM42" s="1">
        <v>5.0999999999999997E-2</v>
      </c>
      <c r="AN42" s="1">
        <v>1173</v>
      </c>
      <c r="AO42" s="1">
        <v>26</v>
      </c>
      <c r="AP42" s="1">
        <v>1169</v>
      </c>
      <c r="AQ42" s="1">
        <v>42</v>
      </c>
      <c r="AR42" s="1">
        <v>1546</v>
      </c>
      <c r="AS42" s="1">
        <v>56</v>
      </c>
      <c r="AT42" s="1">
        <v>1167</v>
      </c>
      <c r="AU42" s="1">
        <v>15</v>
      </c>
      <c r="AV42" s="1">
        <v>15.67</v>
      </c>
      <c r="AW42" s="1">
        <v>0.36000000000000004</v>
      </c>
      <c r="AX42" s="1">
        <v>2.27</v>
      </c>
      <c r="AY42" s="1">
        <v>0.1</v>
      </c>
      <c r="AZ42" s="1">
        <v>14574.87</v>
      </c>
      <c r="BA42" s="1">
        <v>341.54999999999995</v>
      </c>
      <c r="BB42" s="1">
        <v>9495.09</v>
      </c>
      <c r="BC42" s="1">
        <v>223.56</v>
      </c>
      <c r="BD42" s="1">
        <v>121716</v>
      </c>
      <c r="BE42" s="1">
        <v>2670.3</v>
      </c>
      <c r="BF42" s="1">
        <v>6.5826000000000002</v>
      </c>
      <c r="BG42" s="1">
        <v>5.2164000000000001</v>
      </c>
      <c r="BH42" s="1">
        <f t="shared" si="14"/>
        <v>18490.566037735847</v>
      </c>
      <c r="BI42" s="1">
        <f t="shared" si="15"/>
        <v>14658.515594690019</v>
      </c>
    </row>
    <row r="43" spans="1:61" x14ac:dyDescent="0.2">
      <c r="A43" t="s">
        <v>1082</v>
      </c>
      <c r="B43" t="s">
        <v>38</v>
      </c>
      <c r="C43" t="s">
        <v>1083</v>
      </c>
      <c r="D43" t="s">
        <v>1084</v>
      </c>
      <c r="E43">
        <v>81373</v>
      </c>
      <c r="F43">
        <v>55506</v>
      </c>
      <c r="G43" t="s">
        <v>1084</v>
      </c>
      <c r="H43" s="1">
        <v>101.2</v>
      </c>
      <c r="I43" s="1">
        <v>65.8</v>
      </c>
      <c r="J43" s="10">
        <v>2.38</v>
      </c>
      <c r="K43" s="10">
        <f t="shared" ca="1" si="8"/>
        <v>0.13844045651470527</v>
      </c>
      <c r="L43" s="7">
        <v>0.214</v>
      </c>
      <c r="M43" s="7">
        <f t="shared" ca="1" si="9"/>
        <v>1.0602282773063545E-2</v>
      </c>
      <c r="N43" s="7">
        <v>0.98609000000000002</v>
      </c>
      <c r="O43" s="8">
        <v>4.6728969999999999</v>
      </c>
      <c r="P43" s="8">
        <f t="shared" ca="1" si="10"/>
        <v>0.23151111564729154</v>
      </c>
      <c r="Q43" s="9">
        <v>8.1960000000000005E-2</v>
      </c>
      <c r="R43" s="9">
        <f t="shared" ca="1" si="11"/>
        <v>1.8068139472563302E-3</v>
      </c>
      <c r="S43" s="8">
        <f t="shared" si="12"/>
        <v>0.46669713773465993</v>
      </c>
      <c r="T43" s="11">
        <v>8.2600000000000007E-2</v>
      </c>
      <c r="U43" s="11">
        <f t="shared" ca="1" si="13"/>
        <v>3.8702847440466185E-3</v>
      </c>
      <c r="V43" s="6" t="e">
        <f ca="1">IF(agePb6U8(1/O43)&lt;1400,age7corr(1/O43,Q43,$W$2),agePb76(Q43))</f>
        <v>#NAME?</v>
      </c>
      <c r="W43" s="6" t="e">
        <f ca="1">IF(agePb6U8(1/O43)&lt;1400,ageer7corr(V43,1/O43,P43/O43*(1/O43),Q43,R43,$W$2,0.05),ageerPb76(Q43,R43))</f>
        <v>#NAME?</v>
      </c>
      <c r="X43" s="4" t="e">
        <f ca="1">agePb6U8(L43)/agePb7u5(J43)</f>
        <v>#NAME?</v>
      </c>
      <c r="Z43" s="1">
        <v>2.38</v>
      </c>
      <c r="AA43" s="1">
        <v>0.13</v>
      </c>
      <c r="AB43" s="1">
        <v>0.214</v>
      </c>
      <c r="AC43" s="1">
        <v>9.7000000000000003E-3</v>
      </c>
      <c r="AD43" s="1">
        <v>0.98609000000000002</v>
      </c>
      <c r="AE43" s="1">
        <v>4.6728969999999999</v>
      </c>
      <c r="AF43" s="1">
        <v>0.21180889999999999</v>
      </c>
      <c r="AG43" s="1">
        <v>8.1960000000000005E-2</v>
      </c>
      <c r="AH43" s="1">
        <v>7.6000000000000004E-4</v>
      </c>
      <c r="AI43" s="1">
        <v>-0.30181000000000002</v>
      </c>
      <c r="AJ43" s="1">
        <v>8.2600000000000007E-2</v>
      </c>
      <c r="AK43" s="1">
        <v>3.5000000000000001E-3</v>
      </c>
      <c r="AL43" s="1">
        <v>4.1790000000000003</v>
      </c>
      <c r="AM43" s="1">
        <v>1.9E-2</v>
      </c>
      <c r="AN43" s="1">
        <v>1242</v>
      </c>
      <c r="AO43" s="1">
        <v>36</v>
      </c>
      <c r="AP43" s="1">
        <v>1249</v>
      </c>
      <c r="AQ43" s="1">
        <v>51</v>
      </c>
      <c r="AR43" s="1">
        <v>1603</v>
      </c>
      <c r="AS43" s="1">
        <v>66</v>
      </c>
      <c r="AT43" s="1">
        <v>1244</v>
      </c>
      <c r="AU43" s="1">
        <v>18</v>
      </c>
      <c r="AV43" s="1">
        <v>21.61</v>
      </c>
      <c r="AW43" s="1">
        <v>0.53</v>
      </c>
      <c r="AX43" s="1">
        <v>5.15</v>
      </c>
      <c r="AY43" s="1">
        <v>0.19</v>
      </c>
      <c r="AZ43" s="1">
        <v>34279.199999999997</v>
      </c>
      <c r="BA43" s="1">
        <v>1117.8000000000002</v>
      </c>
      <c r="BB43" s="1">
        <v>14518.98</v>
      </c>
      <c r="BC43" s="1">
        <v>496.8</v>
      </c>
      <c r="BD43" s="1">
        <v>180959.4</v>
      </c>
      <c r="BE43" s="1">
        <v>4968</v>
      </c>
      <c r="BF43" s="1">
        <v>18.63</v>
      </c>
      <c r="BG43" s="1">
        <v>6.2099999999999991</v>
      </c>
      <c r="BH43" s="1">
        <f t="shared" si="14"/>
        <v>9713.3333333333339</v>
      </c>
      <c r="BI43" s="1">
        <f t="shared" si="15"/>
        <v>3248.7406866942638</v>
      </c>
    </row>
    <row r="44" spans="1:61" x14ac:dyDescent="0.2">
      <c r="A44" t="s">
        <v>1025</v>
      </c>
      <c r="B44" t="s">
        <v>38</v>
      </c>
      <c r="C44" t="s">
        <v>1026</v>
      </c>
      <c r="D44" t="s">
        <v>1027</v>
      </c>
      <c r="E44">
        <v>81356</v>
      </c>
      <c r="F44">
        <v>51833</v>
      </c>
      <c r="G44" t="s">
        <v>1027</v>
      </c>
      <c r="H44" s="1">
        <v>207</v>
      </c>
      <c r="I44" s="1">
        <v>66.599999999999994</v>
      </c>
      <c r="J44" s="10">
        <v>2.7</v>
      </c>
      <c r="K44" s="10">
        <f t="shared" ca="1" si="8"/>
        <v>8.5276022421311382E-2</v>
      </c>
      <c r="L44" s="7">
        <v>0.22509999999999999</v>
      </c>
      <c r="M44" s="7">
        <f t="shared" ca="1" si="9"/>
        <v>6.9539919470761541E-3</v>
      </c>
      <c r="N44" s="7">
        <v>0.98589000000000004</v>
      </c>
      <c r="O44" s="8">
        <v>4.4424700000000001</v>
      </c>
      <c r="P44" s="8">
        <f t="shared" ca="1" si="10"/>
        <v>0.13724081449379408</v>
      </c>
      <c r="Q44" s="9">
        <v>8.72E-2</v>
      </c>
      <c r="R44" s="9">
        <f t="shared" ca="1" si="11"/>
        <v>1.8011207621922525E-3</v>
      </c>
      <c r="S44" s="8">
        <f t="shared" si="12"/>
        <v>0.53433452233225898</v>
      </c>
      <c r="T44" s="11">
        <v>7.6600000000000001E-2</v>
      </c>
      <c r="U44" s="11">
        <f t="shared" ca="1" si="13"/>
        <v>2.8472836177662383E-3</v>
      </c>
      <c r="V44" s="6" t="e">
        <f ca="1">IF(agePb6U8(1/O44)&lt;1400,age7corr(1/O44,Q44,$W$2),agePb76(Q44))</f>
        <v>#NAME?</v>
      </c>
      <c r="W44" s="6" t="e">
        <f ca="1">IF(agePb6U8(1/O44)&lt;1400,ageer7corr(V44,1/O44,P44/O44*(1/O44),Q44,R44,$W$2,0.05),ageerPb76(Q44,R44))</f>
        <v>#NAME?</v>
      </c>
      <c r="X44" s="4" t="e">
        <f ca="1">agePb6U8(L44)/agePb7u5(J44)</f>
        <v>#NAME?</v>
      </c>
      <c r="Z44" s="1">
        <v>2.7</v>
      </c>
      <c r="AA44" s="1">
        <v>6.6000000000000003E-2</v>
      </c>
      <c r="AB44" s="1">
        <v>0.22509999999999999</v>
      </c>
      <c r="AC44" s="1">
        <v>5.3E-3</v>
      </c>
      <c r="AD44" s="1">
        <v>0.98589000000000004</v>
      </c>
      <c r="AE44" s="1">
        <v>4.4424700000000001</v>
      </c>
      <c r="AF44" s="1">
        <v>0.10459839999999999</v>
      </c>
      <c r="AG44" s="1">
        <v>8.72E-2</v>
      </c>
      <c r="AH44" s="1">
        <v>4.4999999999999999E-4</v>
      </c>
      <c r="AI44" s="1">
        <v>-0.24615999999999999</v>
      </c>
      <c r="AJ44" s="1">
        <v>7.6600000000000001E-2</v>
      </c>
      <c r="AK44" s="1">
        <v>2.3999999999999998E-3</v>
      </c>
      <c r="AL44" s="1">
        <v>9.6920000000000002</v>
      </c>
      <c r="AM44" s="1">
        <v>6.4000000000000001E-2</v>
      </c>
      <c r="AN44" s="1">
        <v>1328</v>
      </c>
      <c r="AO44" s="1">
        <v>18</v>
      </c>
      <c r="AP44" s="1">
        <v>1309</v>
      </c>
      <c r="AQ44" s="1">
        <v>28</v>
      </c>
      <c r="AR44" s="1">
        <v>1491</v>
      </c>
      <c r="AS44" s="1">
        <v>46</v>
      </c>
      <c r="AT44" s="1">
        <v>1365</v>
      </c>
      <c r="AU44" s="1">
        <v>10</v>
      </c>
      <c r="AV44" s="1">
        <v>44.269999999999996</v>
      </c>
      <c r="AW44" s="1">
        <v>0.78</v>
      </c>
      <c r="AX44" s="1">
        <v>5.22</v>
      </c>
      <c r="AY44" s="1">
        <v>0.27999999999999997</v>
      </c>
      <c r="AZ44" s="1">
        <v>32291.999999999993</v>
      </c>
      <c r="BA44" s="1">
        <v>683.09999999999991</v>
      </c>
      <c r="BB44" s="1">
        <v>33478.11</v>
      </c>
      <c r="BC44" s="1">
        <v>503.01</v>
      </c>
      <c r="BD44" s="1">
        <v>390608.99999999994</v>
      </c>
      <c r="BE44" s="1">
        <v>6831</v>
      </c>
      <c r="BF44" s="1">
        <v>9.3770999999999987</v>
      </c>
      <c r="BG44" s="1">
        <v>4.8437999999999999</v>
      </c>
      <c r="BH44" s="1">
        <f t="shared" si="14"/>
        <v>41655.629139072844</v>
      </c>
      <c r="BI44" s="1">
        <f t="shared" si="15"/>
        <v>21529.805108061679</v>
      </c>
    </row>
    <row r="45" spans="1:61" x14ac:dyDescent="0.2">
      <c r="A45" t="s">
        <v>1085</v>
      </c>
      <c r="B45" t="s">
        <v>38</v>
      </c>
      <c r="C45" t="s">
        <v>1086</v>
      </c>
      <c r="D45" t="s">
        <v>1087</v>
      </c>
      <c r="E45">
        <v>81372</v>
      </c>
      <c r="F45">
        <v>55580</v>
      </c>
      <c r="G45" t="s">
        <v>1087</v>
      </c>
      <c r="H45" s="1">
        <v>232.6</v>
      </c>
      <c r="I45" s="1">
        <v>71.8</v>
      </c>
      <c r="J45" s="10">
        <v>2.5169999999999999</v>
      </c>
      <c r="K45" s="10">
        <f t="shared" ca="1" si="8"/>
        <v>6.9556564032447726E-2</v>
      </c>
      <c r="L45" s="7">
        <v>0.21229999999999999</v>
      </c>
      <c r="M45" s="7">
        <f t="shared" ca="1" si="9"/>
        <v>6.5596124885544879E-3</v>
      </c>
      <c r="N45" s="7">
        <v>0.97345999999999999</v>
      </c>
      <c r="O45" s="8">
        <v>4.7103159999999997</v>
      </c>
      <c r="P45" s="8">
        <f t="shared" ca="1" si="10"/>
        <v>0.14553863301921727</v>
      </c>
      <c r="Q45" s="9">
        <v>8.5930000000000006E-2</v>
      </c>
      <c r="R45" s="9">
        <f t="shared" ca="1" si="11"/>
        <v>1.7715772520553543E-3</v>
      </c>
      <c r="S45" s="8">
        <f t="shared" si="12"/>
        <v>0.37075842033286016</v>
      </c>
      <c r="T45" s="11">
        <v>8.1500000000000003E-2</v>
      </c>
      <c r="U45" s="11">
        <f t="shared" ca="1" si="13"/>
        <v>2.6583641586509551E-3</v>
      </c>
      <c r="V45" s="6" t="e">
        <f ca="1">IF(agePb6U8(1/O45)&lt;1400,age7corr(1/O45,Q45,$W$2),agePb76(Q45))</f>
        <v>#NAME?</v>
      </c>
      <c r="W45" s="6" t="e">
        <f ca="1">IF(agePb6U8(1/O45)&lt;1400,ageer7corr(V45,1/O45,P45/O45*(1/O45),Q45,R45,$W$2,0.05),ageerPb76(Q45,R45))</f>
        <v>#NAME?</v>
      </c>
      <c r="X45" s="4" t="e">
        <f ca="1">agePb6U8(L45)/agePb7u5(J45)</f>
        <v>#NAME?</v>
      </c>
      <c r="Z45" s="1">
        <v>2.5169999999999999</v>
      </c>
      <c r="AA45" s="1">
        <v>4.8000000000000001E-2</v>
      </c>
      <c r="AB45" s="1">
        <v>0.21229999999999999</v>
      </c>
      <c r="AC45" s="1">
        <v>5.0000000000000001E-3</v>
      </c>
      <c r="AD45" s="1">
        <v>0.97345999999999999</v>
      </c>
      <c r="AE45" s="1">
        <v>4.7103159999999997</v>
      </c>
      <c r="AF45" s="1">
        <v>0.1109354</v>
      </c>
      <c r="AG45" s="1">
        <v>8.5930000000000006E-2</v>
      </c>
      <c r="AH45" s="1">
        <v>4.2999999999999999E-4</v>
      </c>
      <c r="AI45" s="1">
        <v>8.9374999999999996E-2</v>
      </c>
      <c r="AJ45" s="1">
        <v>8.1500000000000003E-2</v>
      </c>
      <c r="AK45" s="1">
        <v>2.0999999999999999E-3</v>
      </c>
      <c r="AL45" s="1">
        <v>9.0139999999999993</v>
      </c>
      <c r="AM45" s="1">
        <v>4.5999999999999999E-2</v>
      </c>
      <c r="AN45" s="1">
        <v>1276</v>
      </c>
      <c r="AO45" s="1">
        <v>14</v>
      </c>
      <c r="AP45" s="1">
        <v>1241</v>
      </c>
      <c r="AQ45" s="1">
        <v>26</v>
      </c>
      <c r="AR45" s="1">
        <v>1583</v>
      </c>
      <c r="AS45" s="1">
        <v>39</v>
      </c>
      <c r="AT45" s="1">
        <v>1336.4</v>
      </c>
      <c r="AU45" s="1">
        <v>9.6999999999999993</v>
      </c>
      <c r="AV45" s="1">
        <v>49.7</v>
      </c>
      <c r="AW45" s="1">
        <v>1.1000000000000001</v>
      </c>
      <c r="AX45" s="1">
        <v>5.62</v>
      </c>
      <c r="AY45" s="1">
        <v>0.17</v>
      </c>
      <c r="AZ45" s="1">
        <v>36160.83</v>
      </c>
      <c r="BA45" s="1">
        <v>577.53000000000009</v>
      </c>
      <c r="BB45" s="1">
        <v>35210.700000000004</v>
      </c>
      <c r="BC45" s="1">
        <v>745.2</v>
      </c>
      <c r="BD45" s="1">
        <v>411102</v>
      </c>
      <c r="BE45" s="1">
        <v>6831</v>
      </c>
      <c r="BF45" s="1">
        <v>18.63</v>
      </c>
      <c r="BG45" s="1">
        <v>6.2099999999999991</v>
      </c>
      <c r="BH45" s="1">
        <f t="shared" si="14"/>
        <v>22066.666666666668</v>
      </c>
      <c r="BI45" s="1">
        <f t="shared" si="15"/>
        <v>7364.6888580108152</v>
      </c>
    </row>
    <row r="46" spans="1:61" x14ac:dyDescent="0.2">
      <c r="A46" t="s">
        <v>1088</v>
      </c>
      <c r="B46" t="s">
        <v>38</v>
      </c>
      <c r="C46" t="s">
        <v>1089</v>
      </c>
      <c r="D46" t="s">
        <v>1090</v>
      </c>
      <c r="E46">
        <v>81338</v>
      </c>
      <c r="F46">
        <v>55660</v>
      </c>
      <c r="G46" t="s">
        <v>1090</v>
      </c>
      <c r="H46" s="1">
        <v>193.3</v>
      </c>
      <c r="I46" s="1">
        <v>97.7</v>
      </c>
      <c r="J46" s="10">
        <v>4.1399999999999997</v>
      </c>
      <c r="K46" s="10">
        <f t="shared" ca="1" si="8"/>
        <v>0.17133546042778183</v>
      </c>
      <c r="L46" s="7">
        <v>0.2661</v>
      </c>
      <c r="M46" s="7">
        <f t="shared" ca="1" si="9"/>
        <v>9.6919391248604103E-3</v>
      </c>
      <c r="N46" s="7">
        <v>0.98014000000000001</v>
      </c>
      <c r="O46" s="8">
        <v>3.7579859999999998</v>
      </c>
      <c r="P46" s="8">
        <f t="shared" ca="1" si="10"/>
        <v>0.13687399422859114</v>
      </c>
      <c r="Q46" s="9">
        <v>0.1139</v>
      </c>
      <c r="R46" s="9">
        <f t="shared" ca="1" si="11"/>
        <v>2.6228389199491452E-3</v>
      </c>
      <c r="S46" s="8">
        <f t="shared" si="12"/>
        <v>0.50355185862256258</v>
      </c>
      <c r="T46" s="11">
        <v>0.1</v>
      </c>
      <c r="U46" s="11">
        <f t="shared" ca="1" si="13"/>
        <v>6.4195015382816139E-3</v>
      </c>
      <c r="V46" s="6" t="e">
        <f ca="1">IF(agePb6U8(1/O46)&lt;1400,age7corr(1/O46,Q46,$W$2),agePb76(Q46))</f>
        <v>#NAME?</v>
      </c>
      <c r="W46" s="6" t="e">
        <f ca="1">IF(agePb6U8(1/O46)&lt;1400,ageer7corr(V46,1/O46,P46/O46*(1/O46),Q46,R46,$W$2,0.05),ageerPb76(Q46,R46))</f>
        <v>#NAME?</v>
      </c>
      <c r="X46" s="4" t="e">
        <f ca="1">agePb6U8(L46)/agePb7u5(J46)</f>
        <v>#NAME?</v>
      </c>
      <c r="Z46" s="1">
        <v>4.1399999999999997</v>
      </c>
      <c r="AA46" s="1">
        <v>0.15</v>
      </c>
      <c r="AB46" s="1">
        <v>0.2661</v>
      </c>
      <c r="AC46" s="1">
        <v>8.0999999999999996E-3</v>
      </c>
      <c r="AD46" s="1">
        <v>0.98014000000000001</v>
      </c>
      <c r="AE46" s="1">
        <v>3.7579859999999998</v>
      </c>
      <c r="AF46" s="1">
        <v>0.1143919</v>
      </c>
      <c r="AG46" s="1">
        <v>0.1139</v>
      </c>
      <c r="AH46" s="1">
        <v>1.2999999999999999E-3</v>
      </c>
      <c r="AI46" s="1">
        <v>-0.56894</v>
      </c>
      <c r="AJ46" s="1">
        <v>0.1</v>
      </c>
      <c r="AK46" s="1">
        <v>6.1000000000000004E-3</v>
      </c>
      <c r="AL46" s="1">
        <v>5.63</v>
      </c>
      <c r="AM46" s="1">
        <v>0.11</v>
      </c>
      <c r="AN46" s="1">
        <v>1661</v>
      </c>
      <c r="AO46" s="1">
        <v>29</v>
      </c>
      <c r="AP46" s="1">
        <v>1520</v>
      </c>
      <c r="AQ46" s="1">
        <v>41</v>
      </c>
      <c r="AR46" s="1">
        <v>1920</v>
      </c>
      <c r="AS46" s="1">
        <v>110</v>
      </c>
      <c r="AT46" s="1">
        <v>1861</v>
      </c>
      <c r="AU46" s="1">
        <v>21</v>
      </c>
      <c r="AV46" s="1">
        <v>41.300000000000004</v>
      </c>
      <c r="AW46" s="1">
        <v>1.2</v>
      </c>
      <c r="AX46" s="1">
        <v>7.6499999999999995</v>
      </c>
      <c r="AY46" s="1">
        <v>0.32</v>
      </c>
      <c r="AZ46" s="1">
        <v>61044.299999999996</v>
      </c>
      <c r="BA46" s="1">
        <v>3477.6</v>
      </c>
      <c r="BB46" s="1">
        <v>48562.200000000004</v>
      </c>
      <c r="BC46" s="1">
        <v>2359.7999999999997</v>
      </c>
      <c r="BD46" s="1">
        <v>428489.99999999994</v>
      </c>
      <c r="BE46" s="1">
        <v>16767</v>
      </c>
      <c r="BF46" s="1">
        <v>11.177999999999999</v>
      </c>
      <c r="BG46" s="1">
        <v>7.4519999999999991</v>
      </c>
      <c r="BH46" s="1">
        <f t="shared" si="14"/>
        <v>38333.333333333328</v>
      </c>
      <c r="BI46" s="1">
        <f t="shared" si="15"/>
        <v>25599.539444159662</v>
      </c>
    </row>
    <row r="47" spans="1:61" x14ac:dyDescent="0.2">
      <c r="A47" t="s">
        <v>1028</v>
      </c>
      <c r="B47" t="s">
        <v>38</v>
      </c>
      <c r="C47" t="s">
        <v>1029</v>
      </c>
      <c r="D47" t="s">
        <v>1030</v>
      </c>
      <c r="E47">
        <v>81341</v>
      </c>
      <c r="F47">
        <v>52004</v>
      </c>
      <c r="G47" t="s">
        <v>1030</v>
      </c>
      <c r="H47" s="1">
        <v>120.1</v>
      </c>
      <c r="I47" s="1">
        <v>66.3</v>
      </c>
      <c r="J47" s="10">
        <v>1.516</v>
      </c>
      <c r="K47" s="10">
        <f t="shared" ca="1" si="8"/>
        <v>4.7066999054539267E-2</v>
      </c>
      <c r="L47" s="7">
        <v>0.13830000000000001</v>
      </c>
      <c r="M47" s="7">
        <f t="shared" ca="1" si="9"/>
        <v>4.080533788611485E-3</v>
      </c>
      <c r="N47" s="7">
        <v>0.98141999999999996</v>
      </c>
      <c r="O47" s="8">
        <v>7.230658</v>
      </c>
      <c r="P47" s="8">
        <f t="shared" ca="1" si="10"/>
        <v>0.21334012794836699</v>
      </c>
      <c r="Q47" s="9">
        <v>7.961E-2</v>
      </c>
      <c r="R47" s="9">
        <f t="shared" ca="1" si="11"/>
        <v>1.6346255962757957E-3</v>
      </c>
      <c r="S47" s="8">
        <f t="shared" si="12"/>
        <v>0.29465064678082353</v>
      </c>
      <c r="T47" s="11">
        <v>6.6799999999999998E-2</v>
      </c>
      <c r="U47" s="11">
        <f t="shared" ca="1" si="13"/>
        <v>1.9351733772455632E-3</v>
      </c>
      <c r="V47" s="6" t="e">
        <f ca="1">IF(agePb6U8(1/O47)&lt;1400,age7corr(1/O47,Q47,$W$2),agePb76(Q47))</f>
        <v>#NAME?</v>
      </c>
      <c r="W47" s="6" t="e">
        <f ca="1">IF(agePb6U8(1/O47)&lt;1400,ageer7corr(V47,1/O47,P47/O47*(1/O47),Q47,R47,$W$2,0.05),ageerPb76(Q47,R47))</f>
        <v>#NAME?</v>
      </c>
      <c r="X47" s="4" t="e">
        <f ca="1">agePb6U8(L47)/agePb7u5(J47)</f>
        <v>#NAME?</v>
      </c>
      <c r="Z47" s="1">
        <v>1.516</v>
      </c>
      <c r="AA47" s="1">
        <v>3.5999999999999997E-2</v>
      </c>
      <c r="AB47" s="1">
        <v>0.13830000000000001</v>
      </c>
      <c r="AC47" s="1">
        <v>3.0000000000000001E-3</v>
      </c>
      <c r="AD47" s="1">
        <v>0.98141999999999996</v>
      </c>
      <c r="AE47" s="1">
        <v>7.230658</v>
      </c>
      <c r="AF47" s="1">
        <v>0.15684719999999999</v>
      </c>
      <c r="AG47" s="1">
        <v>7.961E-2</v>
      </c>
      <c r="AH47" s="1">
        <v>3.6999999999999999E-4</v>
      </c>
      <c r="AI47" s="1">
        <v>-9.6620999999999999E-2</v>
      </c>
      <c r="AJ47" s="1">
        <v>6.6799999999999998E-2</v>
      </c>
      <c r="AK47" s="1">
        <v>1.4E-3</v>
      </c>
      <c r="AL47" s="1">
        <v>3.944</v>
      </c>
      <c r="AM47" s="1">
        <v>2.9000000000000001E-2</v>
      </c>
      <c r="AN47" s="1">
        <v>936</v>
      </c>
      <c r="AO47" s="1">
        <v>14</v>
      </c>
      <c r="AP47" s="1">
        <v>835</v>
      </c>
      <c r="AQ47" s="1">
        <v>17</v>
      </c>
      <c r="AR47" s="1">
        <v>1306</v>
      </c>
      <c r="AS47" s="1">
        <v>26</v>
      </c>
      <c r="AT47" s="1">
        <v>1187.2</v>
      </c>
      <c r="AU47" s="1">
        <v>9.3000000000000007</v>
      </c>
      <c r="AV47" s="1">
        <v>25.69</v>
      </c>
      <c r="AW47" s="1">
        <v>0.74</v>
      </c>
      <c r="AX47" s="1">
        <v>5.2</v>
      </c>
      <c r="AY47" s="1">
        <v>0.17</v>
      </c>
      <c r="AZ47" s="1">
        <v>28249.289999999997</v>
      </c>
      <c r="BA47" s="1">
        <v>347.76</v>
      </c>
      <c r="BB47" s="1">
        <v>10942.02</v>
      </c>
      <c r="BC47" s="1">
        <v>111.78</v>
      </c>
      <c r="BD47" s="1">
        <v>139041.90000000002</v>
      </c>
      <c r="BE47" s="1">
        <v>1676.7</v>
      </c>
      <c r="BF47" s="1">
        <v>2.1114000000000002</v>
      </c>
      <c r="BG47" s="1">
        <v>3.1671</v>
      </c>
      <c r="BH47" s="1">
        <f t="shared" si="14"/>
        <v>65852.941176470587</v>
      </c>
      <c r="BI47" s="1">
        <f t="shared" si="15"/>
        <v>98782.603789425819</v>
      </c>
    </row>
    <row r="48" spans="1:61" x14ac:dyDescent="0.2">
      <c r="A48" t="s">
        <v>1031</v>
      </c>
      <c r="B48" t="s">
        <v>38</v>
      </c>
      <c r="C48" t="s">
        <v>1032</v>
      </c>
      <c r="D48" t="s">
        <v>1033</v>
      </c>
      <c r="E48">
        <v>81324</v>
      </c>
      <c r="F48">
        <v>52151</v>
      </c>
      <c r="G48" t="s">
        <v>1033</v>
      </c>
      <c r="H48" s="1">
        <v>38.4</v>
      </c>
      <c r="I48" s="1">
        <v>14.35</v>
      </c>
      <c r="J48" s="10">
        <v>2.8220000000000001</v>
      </c>
      <c r="K48" s="10">
        <f t="shared" ca="1" si="8"/>
        <v>0.11309055486644319</v>
      </c>
      <c r="L48" s="7">
        <v>0.2281</v>
      </c>
      <c r="M48" s="7">
        <f t="shared" ca="1" si="9"/>
        <v>9.4711057432593383E-3</v>
      </c>
      <c r="N48" s="7">
        <v>0.99455000000000005</v>
      </c>
      <c r="O48" s="8">
        <v>4.384042</v>
      </c>
      <c r="P48" s="8">
        <f t="shared" ca="1" si="10"/>
        <v>0.18203295252056867</v>
      </c>
      <c r="Q48" s="9">
        <v>8.974E-2</v>
      </c>
      <c r="R48" s="9">
        <f t="shared" ca="1" si="11"/>
        <v>1.8742750705272693E-3</v>
      </c>
      <c r="S48" s="8">
        <f t="shared" si="12"/>
        <v>0.42980636232951841</v>
      </c>
      <c r="T48" s="11">
        <v>7.3400000000000007E-2</v>
      </c>
      <c r="U48" s="11">
        <f t="shared" ca="1" si="13"/>
        <v>3.2503882844977152E-3</v>
      </c>
      <c r="V48" s="6" t="e">
        <f ca="1">IF(agePb6U8(1/O48)&lt;1400,age7corr(1/O48,Q48,$W$2),agePb76(Q48))</f>
        <v>#NAME?</v>
      </c>
      <c r="W48" s="6" t="e">
        <f ca="1">IF(agePb6U8(1/O48)&lt;1400,ageer7corr(V48,1/O48,P48/O48*(1/O48),Q48,R48,$W$2,0.05),ageerPb76(Q48,R48))</f>
        <v>#NAME?</v>
      </c>
      <c r="X48" s="4" t="e">
        <f ca="1">agePb6U8(L48)/agePb7u5(J48)</f>
        <v>#NAME?</v>
      </c>
      <c r="Z48" s="1">
        <v>2.8220000000000001</v>
      </c>
      <c r="AA48" s="1">
        <v>9.8000000000000004E-2</v>
      </c>
      <c r="AB48" s="1">
        <v>0.2281</v>
      </c>
      <c r="AC48" s="1">
        <v>8.3000000000000001E-3</v>
      </c>
      <c r="AD48" s="1">
        <v>0.99455000000000005</v>
      </c>
      <c r="AE48" s="1">
        <v>4.384042</v>
      </c>
      <c r="AF48" s="1">
        <v>0.15952450000000001</v>
      </c>
      <c r="AG48" s="1">
        <v>8.974E-2</v>
      </c>
      <c r="AH48" s="1">
        <v>5.4000000000000001E-4</v>
      </c>
      <c r="AI48" s="1">
        <v>-0.18540000000000001</v>
      </c>
      <c r="AJ48" s="1">
        <v>7.3400000000000007E-2</v>
      </c>
      <c r="AK48" s="1">
        <v>2.8999999999999998E-3</v>
      </c>
      <c r="AL48" s="1">
        <v>8.3800000000000008</v>
      </c>
      <c r="AM48" s="1">
        <v>0.15</v>
      </c>
      <c r="AN48" s="1">
        <v>1360</v>
      </c>
      <c r="AO48" s="1">
        <v>26</v>
      </c>
      <c r="AP48" s="1">
        <v>1324</v>
      </c>
      <c r="AQ48" s="1">
        <v>44</v>
      </c>
      <c r="AR48" s="1">
        <v>1431</v>
      </c>
      <c r="AS48" s="1">
        <v>55</v>
      </c>
      <c r="AT48" s="1">
        <v>1420</v>
      </c>
      <c r="AU48" s="1">
        <v>11</v>
      </c>
      <c r="AV48" s="1">
        <v>8.2100000000000009</v>
      </c>
      <c r="AW48" s="1">
        <v>0.79</v>
      </c>
      <c r="AX48" s="1">
        <v>1.1240000000000001</v>
      </c>
      <c r="AY48" s="1">
        <v>5.0999999999999997E-2</v>
      </c>
      <c r="AZ48" s="1">
        <v>6775.1100000000006</v>
      </c>
      <c r="BA48" s="1">
        <v>385.02</v>
      </c>
      <c r="BB48" s="1">
        <v>6408.72</v>
      </c>
      <c r="BC48" s="1">
        <v>490.59000000000003</v>
      </c>
      <c r="BD48" s="1">
        <v>72098.100000000006</v>
      </c>
      <c r="BE48" s="1">
        <v>5402.7</v>
      </c>
      <c r="BF48" s="1">
        <v>3.2292000000000001</v>
      </c>
      <c r="BG48" s="1">
        <v>5.7131999999999996</v>
      </c>
      <c r="BH48" s="1">
        <f t="shared" si="14"/>
        <v>22326.923076923078</v>
      </c>
      <c r="BI48" s="1">
        <f t="shared" si="15"/>
        <v>39536.894826024931</v>
      </c>
    </row>
    <row r="49" spans="1:61" x14ac:dyDescent="0.2">
      <c r="A49" t="s">
        <v>1034</v>
      </c>
      <c r="B49" t="s">
        <v>38</v>
      </c>
      <c r="C49" t="s">
        <v>1035</v>
      </c>
      <c r="D49" t="s">
        <v>1036</v>
      </c>
      <c r="E49">
        <v>81335</v>
      </c>
      <c r="F49">
        <v>52283</v>
      </c>
      <c r="G49" t="s">
        <v>1036</v>
      </c>
      <c r="H49" s="1">
        <v>132.80000000000001</v>
      </c>
      <c r="I49" s="1">
        <v>107.3</v>
      </c>
      <c r="J49" s="10">
        <v>2.37</v>
      </c>
      <c r="K49" s="10">
        <f t="shared" ca="1" si="8"/>
        <v>9.732296748455628E-2</v>
      </c>
      <c r="L49" s="7">
        <v>0.21029999999999999</v>
      </c>
      <c r="M49" s="7">
        <f t="shared" ca="1" si="9"/>
        <v>8.3384912304325168E-3</v>
      </c>
      <c r="N49" s="7">
        <v>0.99016000000000004</v>
      </c>
      <c r="O49" s="8">
        <v>4.7551119999999996</v>
      </c>
      <c r="P49" s="8">
        <f t="shared" ca="1" si="10"/>
        <v>0.18854233193916317</v>
      </c>
      <c r="Q49" s="9">
        <v>8.1949999999999995E-2</v>
      </c>
      <c r="R49" s="9">
        <f t="shared" ca="1" si="11"/>
        <v>1.6847614074402344E-3</v>
      </c>
      <c r="S49" s="8">
        <f t="shared" si="12"/>
        <v>0.48372921747681064</v>
      </c>
      <c r="T49" s="11">
        <v>7.3099999999999998E-2</v>
      </c>
      <c r="U49" s="11">
        <f t="shared" ca="1" si="13"/>
        <v>2.7253337410306283E-3</v>
      </c>
      <c r="V49" s="6" t="e">
        <f ca="1">IF(agePb6U8(1/O49)&lt;1400,age7corr(1/O49,Q49,$W$2),agePb76(Q49))</f>
        <v>#NAME?</v>
      </c>
      <c r="W49" s="6" t="e">
        <f ca="1">IF(agePb6U8(1/O49)&lt;1400,ageer7corr(V49,1/O49,P49/O49*(1/O49),Q49,R49,$W$2,0.05),ageerPb76(Q49,R49))</f>
        <v>#NAME?</v>
      </c>
      <c r="X49" s="4" t="e">
        <f ca="1">agePb6U8(L49)/agePb7u5(J49)</f>
        <v>#NAME?</v>
      </c>
      <c r="Z49" s="1">
        <v>2.37</v>
      </c>
      <c r="AA49" s="1">
        <v>8.5000000000000006E-2</v>
      </c>
      <c r="AB49" s="1">
        <v>0.21029999999999999</v>
      </c>
      <c r="AC49" s="1">
        <v>7.1999999999999998E-3</v>
      </c>
      <c r="AD49" s="1">
        <v>0.99016000000000004</v>
      </c>
      <c r="AE49" s="1">
        <v>4.7551119999999996</v>
      </c>
      <c r="AF49" s="1">
        <v>0.16279979999999999</v>
      </c>
      <c r="AG49" s="1">
        <v>8.1949999999999995E-2</v>
      </c>
      <c r="AH49" s="1">
        <v>3.8999999999999999E-4</v>
      </c>
      <c r="AI49" s="1">
        <v>-0.24081</v>
      </c>
      <c r="AJ49" s="1">
        <v>7.3099999999999998E-2</v>
      </c>
      <c r="AK49" s="1">
        <v>2.3E-3</v>
      </c>
      <c r="AL49" s="1">
        <v>3.8410000000000002</v>
      </c>
      <c r="AM49" s="1">
        <v>2.7E-2</v>
      </c>
      <c r="AN49" s="1">
        <v>1232</v>
      </c>
      <c r="AO49" s="1">
        <v>26</v>
      </c>
      <c r="AP49" s="1">
        <v>1230</v>
      </c>
      <c r="AQ49" s="1">
        <v>38</v>
      </c>
      <c r="AR49" s="1">
        <v>1425</v>
      </c>
      <c r="AS49" s="1">
        <v>44</v>
      </c>
      <c r="AT49" s="1">
        <v>1244.2</v>
      </c>
      <c r="AU49" s="1">
        <v>9.4</v>
      </c>
      <c r="AV49" s="1">
        <v>28.389999999999997</v>
      </c>
      <c r="AW49" s="1">
        <v>0.73</v>
      </c>
      <c r="AX49" s="1">
        <v>8.41</v>
      </c>
      <c r="AY49" s="1">
        <v>0.34</v>
      </c>
      <c r="AZ49" s="1">
        <v>48934.799999999996</v>
      </c>
      <c r="BA49" s="1">
        <v>1428.3</v>
      </c>
      <c r="BB49" s="1">
        <v>18959.13</v>
      </c>
      <c r="BC49" s="1">
        <v>509.21999999999991</v>
      </c>
      <c r="BD49" s="1">
        <v>234303.3</v>
      </c>
      <c r="BE49" s="1">
        <v>5961.6</v>
      </c>
      <c r="BF49" s="1">
        <v>4.4712000000000005</v>
      </c>
      <c r="BG49" s="1">
        <v>5.0922000000000001</v>
      </c>
      <c r="BH49" s="1">
        <f t="shared" si="14"/>
        <v>52402.777777777766</v>
      </c>
      <c r="BI49" s="1">
        <f t="shared" si="15"/>
        <v>59695.833515897553</v>
      </c>
    </row>
    <row r="50" spans="1:61" x14ac:dyDescent="0.2">
      <c r="A50" t="s">
        <v>1037</v>
      </c>
      <c r="B50" t="s">
        <v>38</v>
      </c>
      <c r="C50" t="s">
        <v>1038</v>
      </c>
      <c r="D50" t="s">
        <v>1039</v>
      </c>
      <c r="E50">
        <v>81444</v>
      </c>
      <c r="F50">
        <v>52695</v>
      </c>
      <c r="G50" t="s">
        <v>1039</v>
      </c>
      <c r="H50" s="1">
        <v>541</v>
      </c>
      <c r="I50" s="1">
        <v>1300</v>
      </c>
      <c r="J50" s="10">
        <v>0.71099999999999997</v>
      </c>
      <c r="K50" s="10">
        <f t="shared" ca="1" si="8"/>
        <v>2.5361553580173279E-2</v>
      </c>
      <c r="L50" s="7">
        <v>6.7199999999999996E-2</v>
      </c>
      <c r="M50" s="7">
        <f t="shared" ca="1" si="9"/>
        <v>2.3273023009484609E-3</v>
      </c>
      <c r="N50" s="7">
        <v>0.98892999999999998</v>
      </c>
      <c r="O50" s="8">
        <v>14.88095</v>
      </c>
      <c r="P50" s="8">
        <f t="shared" ca="1" si="10"/>
        <v>0.51536416885386971</v>
      </c>
      <c r="Q50" s="9">
        <v>7.6910000000000006E-2</v>
      </c>
      <c r="R50" s="9">
        <f t="shared" ca="1" si="11"/>
        <v>1.643915825095677E-3</v>
      </c>
      <c r="S50" s="8">
        <f t="shared" si="12"/>
        <v>0.4265614453309502</v>
      </c>
      <c r="T50" s="11">
        <v>1.464E-2</v>
      </c>
      <c r="U50" s="11">
        <f t="shared" ca="1" si="13"/>
        <v>7.6800510414970545E-4</v>
      </c>
      <c r="V50" s="6" t="e">
        <f ca="1">IF(agePb6U8(1/O50)&lt;1400,age7corr(1/O50,Q50,$W$2),agePb76(Q50))</f>
        <v>#NAME?</v>
      </c>
      <c r="W50" s="6" t="e">
        <f ca="1">IF(agePb6U8(1/O50)&lt;1400,ageer7corr(V50,1/O50,P50/O50*(1/O50),Q50,R50,$W$2,0.05),ageerPb76(Q50,R50))</f>
        <v>#NAME?</v>
      </c>
      <c r="X50" s="4" t="e">
        <f ca="1">agePb6U8(L50)/agePb7u5(J50)</f>
        <v>#NAME?</v>
      </c>
      <c r="Z50" s="1">
        <v>0.71099999999999997</v>
      </c>
      <c r="AA50" s="1">
        <v>2.1000000000000001E-2</v>
      </c>
      <c r="AB50" s="1">
        <v>6.7199999999999996E-2</v>
      </c>
      <c r="AC50" s="1">
        <v>1.9E-3</v>
      </c>
      <c r="AD50" s="1">
        <v>0.98892999999999998</v>
      </c>
      <c r="AE50" s="1">
        <v>14.88095</v>
      </c>
      <c r="AF50" s="1">
        <v>0.42074119999999998</v>
      </c>
      <c r="AG50" s="1">
        <v>7.6910000000000006E-2</v>
      </c>
      <c r="AH50" s="1">
        <v>5.8E-4</v>
      </c>
      <c r="AI50" s="1">
        <v>-0.47972999999999999</v>
      </c>
      <c r="AJ50" s="1">
        <v>1.464E-2</v>
      </c>
      <c r="AK50" s="1">
        <v>7.1000000000000002E-4</v>
      </c>
      <c r="AL50" s="1">
        <v>2.0840000000000001</v>
      </c>
      <c r="AM50" s="1">
        <v>6.9000000000000006E-2</v>
      </c>
      <c r="AN50" s="1">
        <v>545</v>
      </c>
      <c r="AO50" s="1">
        <v>12</v>
      </c>
      <c r="AP50" s="1">
        <v>419</v>
      </c>
      <c r="AQ50" s="1">
        <v>11</v>
      </c>
      <c r="AR50" s="1">
        <v>294</v>
      </c>
      <c r="AS50" s="1">
        <v>14</v>
      </c>
      <c r="AT50" s="1">
        <v>1119</v>
      </c>
      <c r="AU50" s="1">
        <v>15</v>
      </c>
      <c r="AV50" s="1">
        <v>115.8</v>
      </c>
      <c r="AW50" s="1">
        <v>2.9</v>
      </c>
      <c r="AX50" s="1">
        <v>101.8</v>
      </c>
      <c r="AY50" s="1">
        <v>7.1000000000000005</v>
      </c>
      <c r="AZ50" s="1">
        <v>119542.5</v>
      </c>
      <c r="BA50" s="1">
        <v>3850.2</v>
      </c>
      <c r="BB50" s="1">
        <v>23349.599999999999</v>
      </c>
      <c r="BC50" s="1">
        <v>621</v>
      </c>
      <c r="BD50" s="1">
        <v>306773.99999999994</v>
      </c>
      <c r="BE50" s="1">
        <v>6831</v>
      </c>
      <c r="BF50" s="1">
        <v>131.03100000000003</v>
      </c>
      <c r="BG50" s="1">
        <v>13.662000000000001</v>
      </c>
      <c r="BH50" s="1">
        <f t="shared" si="14"/>
        <v>2341.2322274881508</v>
      </c>
      <c r="BI50" s="1">
        <f t="shared" si="15"/>
        <v>249.61425634567556</v>
      </c>
    </row>
    <row r="51" spans="1:61" x14ac:dyDescent="0.2">
      <c r="A51" t="s">
        <v>1040</v>
      </c>
      <c r="B51" t="s">
        <v>38</v>
      </c>
      <c r="C51" t="s">
        <v>1041</v>
      </c>
      <c r="D51" t="s">
        <v>1042</v>
      </c>
      <c r="E51">
        <v>81368</v>
      </c>
      <c r="F51">
        <v>53031</v>
      </c>
      <c r="G51" t="s">
        <v>1042</v>
      </c>
      <c r="H51" s="1">
        <v>58.8</v>
      </c>
      <c r="I51" s="1">
        <v>47.39</v>
      </c>
      <c r="J51" s="10">
        <v>3.11</v>
      </c>
      <c r="K51" s="10">
        <f t="shared" ca="1" si="8"/>
        <v>0.11776603924731442</v>
      </c>
      <c r="L51" s="7">
        <v>0.24610000000000001</v>
      </c>
      <c r="M51" s="7">
        <f t="shared" ca="1" si="9"/>
        <v>9.7358145011087784E-3</v>
      </c>
      <c r="N51" s="7">
        <v>0.98992999999999998</v>
      </c>
      <c r="O51" s="8">
        <v>4.0633889999999999</v>
      </c>
      <c r="P51" s="8">
        <f t="shared" ca="1" si="10"/>
        <v>0.1607493048457081</v>
      </c>
      <c r="Q51" s="9">
        <v>9.1880000000000003E-2</v>
      </c>
      <c r="R51" s="9">
        <f t="shared" ca="1" si="11"/>
        <v>1.9018080239603578E-3</v>
      </c>
      <c r="S51" s="8">
        <f t="shared" si="12"/>
        <v>0.46237866332530153</v>
      </c>
      <c r="T51" s="11">
        <v>8.9099999999999999E-2</v>
      </c>
      <c r="U51" s="11">
        <f t="shared" ca="1" si="13"/>
        <v>3.4037514597866866E-3</v>
      </c>
      <c r="V51" s="6" t="e">
        <f ca="1">IF(agePb6U8(1/O51)&lt;1400,age7corr(1/O51,Q51,$W$2),agePb76(Q51))</f>
        <v>#NAME?</v>
      </c>
      <c r="W51" s="6" t="e">
        <f ca="1">IF(agePb6U8(1/O51)&lt;1400,ageer7corr(V51,1/O51,P51/O51*(1/O51),Q51,R51,$W$2,0.05),ageerPb76(Q51,R51))</f>
        <v>#NAME?</v>
      </c>
      <c r="X51" s="4" t="e">
        <f ca="1">agePb6U8(L51)/agePb7u5(J51)</f>
        <v>#NAME?</v>
      </c>
      <c r="Z51" s="1">
        <v>3.11</v>
      </c>
      <c r="AA51" s="1">
        <v>0.1</v>
      </c>
      <c r="AB51" s="1">
        <v>0.24610000000000001</v>
      </c>
      <c r="AC51" s="1">
        <v>8.3999999999999995E-3</v>
      </c>
      <c r="AD51" s="1">
        <v>0.98992999999999998</v>
      </c>
      <c r="AE51" s="1">
        <v>4.0633889999999999</v>
      </c>
      <c r="AF51" s="1">
        <v>0.1386935</v>
      </c>
      <c r="AG51" s="1">
        <v>9.1880000000000003E-2</v>
      </c>
      <c r="AH51" s="1">
        <v>4.8999999999999998E-4</v>
      </c>
      <c r="AI51" s="1">
        <v>0.25841999999999998</v>
      </c>
      <c r="AJ51" s="1">
        <v>8.9099999999999999E-2</v>
      </c>
      <c r="AK51" s="1">
        <v>2.8999999999999998E-3</v>
      </c>
      <c r="AL51" s="1">
        <v>3.6469999999999998</v>
      </c>
      <c r="AM51" s="1">
        <v>2.1000000000000001E-2</v>
      </c>
      <c r="AN51" s="1">
        <v>1435</v>
      </c>
      <c r="AO51" s="1">
        <v>25</v>
      </c>
      <c r="AP51" s="1">
        <v>1418</v>
      </c>
      <c r="AQ51" s="1">
        <v>43</v>
      </c>
      <c r="AR51" s="1">
        <v>1725</v>
      </c>
      <c r="AS51" s="1">
        <v>54</v>
      </c>
      <c r="AT51" s="1">
        <v>1467</v>
      </c>
      <c r="AU51" s="1">
        <v>11</v>
      </c>
      <c r="AV51" s="1">
        <v>12.56</v>
      </c>
      <c r="AW51" s="1">
        <v>0.49</v>
      </c>
      <c r="AX51" s="1">
        <v>3.7109999999999999</v>
      </c>
      <c r="AY51" s="1">
        <v>6.4999999999999988E-2</v>
      </c>
      <c r="AZ51" s="1">
        <v>27137.7</v>
      </c>
      <c r="BA51" s="1">
        <v>993.6</v>
      </c>
      <c r="BB51" s="1">
        <v>11103.480000000001</v>
      </c>
      <c r="BC51" s="1">
        <v>459.54</v>
      </c>
      <c r="BD51" s="1">
        <v>123268.49999999999</v>
      </c>
      <c r="BE51" s="1">
        <v>4595.3999999999996</v>
      </c>
      <c r="BF51" s="1">
        <v>6.5826000000000002</v>
      </c>
      <c r="BG51" s="1">
        <v>4.2848999999999995</v>
      </c>
      <c r="BH51" s="1">
        <f t="shared" si="14"/>
        <v>18726.41509433962</v>
      </c>
      <c r="BI51" s="1">
        <f t="shared" si="15"/>
        <v>12209.810384462922</v>
      </c>
    </row>
    <row r="52" spans="1:61" x14ac:dyDescent="0.2">
      <c r="A52" t="s">
        <v>1043</v>
      </c>
      <c r="B52" t="s">
        <v>38</v>
      </c>
      <c r="C52" t="s">
        <v>1044</v>
      </c>
      <c r="D52" t="s">
        <v>1045</v>
      </c>
      <c r="E52">
        <v>81383</v>
      </c>
      <c r="F52">
        <v>53496</v>
      </c>
      <c r="G52" t="s">
        <v>1045</v>
      </c>
      <c r="H52" s="1">
        <v>66.3</v>
      </c>
      <c r="I52" s="1">
        <v>29.32</v>
      </c>
      <c r="J52" s="10">
        <v>2.145</v>
      </c>
      <c r="K52" s="10">
        <f t="shared" ca="1" si="8"/>
        <v>6.6643904447443642E-2</v>
      </c>
      <c r="L52" s="7">
        <v>0.19489999999999999</v>
      </c>
      <c r="M52" s="7">
        <f t="shared" ca="1" si="9"/>
        <v>6.3399056775318039E-3</v>
      </c>
      <c r="N52" s="7">
        <v>0.93960999999999995</v>
      </c>
      <c r="O52" s="8">
        <v>5.1308360000000004</v>
      </c>
      <c r="P52" s="8">
        <f t="shared" ca="1" si="10"/>
        <v>0.16690105947632089</v>
      </c>
      <c r="Q52" s="9">
        <v>8.0210000000000004E-2</v>
      </c>
      <c r="R52" s="9">
        <f t="shared" ca="1" si="11"/>
        <v>1.8201806613630418E-3</v>
      </c>
      <c r="S52" s="8">
        <f t="shared" si="12"/>
        <v>0.48311454427618322</v>
      </c>
      <c r="T52" s="11">
        <v>7.1999999999999995E-2</v>
      </c>
      <c r="U52" s="11">
        <f t="shared" ca="1" si="13"/>
        <v>2.384030201150984E-3</v>
      </c>
      <c r="V52" s="6" t="e">
        <f ca="1">IF(agePb6U8(1/O52)&lt;1400,age7corr(1/O52,Q52,$W$2),agePb76(Q52))</f>
        <v>#NAME?</v>
      </c>
      <c r="W52" s="6" t="e">
        <f ca="1">IF(agePb6U8(1/O52)&lt;1400,ageer7corr(V52,1/O52,P52/O52*(1/O52),Q52,R52,$W$2,0.05),ageerPb76(Q52,R52))</f>
        <v>#NAME?</v>
      </c>
      <c r="X52" s="4" t="e">
        <f ca="1">agePb6U8(L52)/agePb7u5(J52)</f>
        <v>#NAME?</v>
      </c>
      <c r="Z52" s="1">
        <v>2.145</v>
      </c>
      <c r="AA52" s="1">
        <v>5.0999999999999997E-2</v>
      </c>
      <c r="AB52" s="1">
        <v>0.19489999999999999</v>
      </c>
      <c r="AC52" s="1">
        <v>5.0000000000000001E-3</v>
      </c>
      <c r="AD52" s="1">
        <v>0.93960999999999995</v>
      </c>
      <c r="AE52" s="1">
        <v>5.1308360000000004</v>
      </c>
      <c r="AF52" s="1">
        <v>0.13162740000000001</v>
      </c>
      <c r="AG52" s="1">
        <v>8.0210000000000004E-2</v>
      </c>
      <c r="AH52" s="1">
        <v>8.5999999999999998E-4</v>
      </c>
      <c r="AI52" s="1">
        <v>5.5109999999999999E-2</v>
      </c>
      <c r="AJ52" s="1">
        <v>7.1999999999999995E-2</v>
      </c>
      <c r="AK52" s="1">
        <v>1.9E-3</v>
      </c>
      <c r="AL52" s="1">
        <v>6.5049999999999999</v>
      </c>
      <c r="AM52" s="1">
        <v>4.2000000000000003E-2</v>
      </c>
      <c r="AN52" s="1">
        <v>1163</v>
      </c>
      <c r="AO52" s="1">
        <v>17</v>
      </c>
      <c r="AP52" s="1">
        <v>1148</v>
      </c>
      <c r="AQ52" s="1">
        <v>27</v>
      </c>
      <c r="AR52" s="1">
        <v>1404</v>
      </c>
      <c r="AS52" s="1">
        <v>37</v>
      </c>
      <c r="AT52" s="1">
        <v>1201</v>
      </c>
      <c r="AU52" s="1">
        <v>21</v>
      </c>
      <c r="AV52" s="1">
        <v>14.18</v>
      </c>
      <c r="AW52" s="1">
        <v>0.35</v>
      </c>
      <c r="AX52" s="1">
        <v>2.2959999999999998</v>
      </c>
      <c r="AY52" s="1">
        <v>3.0000000000000002E-2</v>
      </c>
      <c r="AZ52" s="1">
        <v>13382.55</v>
      </c>
      <c r="BA52" s="1">
        <v>316.71000000000004</v>
      </c>
      <c r="BB52" s="1">
        <v>8644.32</v>
      </c>
      <c r="BC52" s="1">
        <v>142.82999999999998</v>
      </c>
      <c r="BD52" s="1">
        <v>109171.8</v>
      </c>
      <c r="BE52" s="1">
        <v>2173.5</v>
      </c>
      <c r="BF52" s="1">
        <v>25.460999999999999</v>
      </c>
      <c r="BG52" s="1">
        <v>7.4519999999999991</v>
      </c>
      <c r="BH52" s="1">
        <f t="shared" si="14"/>
        <v>4287.8048780487807</v>
      </c>
      <c r="BI52" s="1">
        <f t="shared" si="15"/>
        <v>1257.8673246036274</v>
      </c>
    </row>
    <row r="53" spans="1:61" x14ac:dyDescent="0.2">
      <c r="A53" t="s">
        <v>1046</v>
      </c>
      <c r="B53" t="s">
        <v>38</v>
      </c>
      <c r="C53" t="s">
        <v>1047</v>
      </c>
      <c r="D53" t="s">
        <v>1048</v>
      </c>
      <c r="E53">
        <v>81356</v>
      </c>
      <c r="F53">
        <v>53613</v>
      </c>
      <c r="G53" t="s">
        <v>1048</v>
      </c>
      <c r="H53" s="1">
        <v>202.8</v>
      </c>
      <c r="I53" s="1">
        <v>186.5</v>
      </c>
      <c r="J53" s="10">
        <v>3.0329999999999999</v>
      </c>
      <c r="K53" s="10">
        <f t="shared" ca="1" si="8"/>
        <v>0.10524084568265307</v>
      </c>
      <c r="L53" s="7">
        <v>0.2359</v>
      </c>
      <c r="M53" s="7">
        <f t="shared" ca="1" si="9"/>
        <v>7.6327926737204121E-3</v>
      </c>
      <c r="N53" s="7">
        <v>0.98107999999999995</v>
      </c>
      <c r="O53" s="8">
        <v>4.2390840000000001</v>
      </c>
      <c r="P53" s="8">
        <f t="shared" ca="1" si="10"/>
        <v>0.13716001612941869</v>
      </c>
      <c r="Q53" s="9">
        <v>9.3289999999999998E-2</v>
      </c>
      <c r="R53" s="9">
        <f t="shared" ca="1" si="11"/>
        <v>1.9480271148010235E-3</v>
      </c>
      <c r="S53" s="8">
        <f t="shared" si="12"/>
        <v>0.3777939959586511</v>
      </c>
      <c r="T53" s="11">
        <v>8.5199999999999998E-2</v>
      </c>
      <c r="U53" s="11">
        <f t="shared" ca="1" si="13"/>
        <v>2.7827353449438917E-3</v>
      </c>
      <c r="V53" s="6" t="e">
        <f ca="1">IF(agePb6U8(1/O53)&lt;1400,age7corr(1/O53,Q53,$W$2),agePb76(Q53))</f>
        <v>#NAME?</v>
      </c>
      <c r="W53" s="6" t="e">
        <f ca="1">IF(agePb6U8(1/O53)&lt;1400,ageer7corr(V53,1/O53,P53/O53*(1/O53),Q53,R53,$W$2,0.05),ageerPb76(Q53,R53))</f>
        <v>#NAME?</v>
      </c>
      <c r="X53" s="4" t="e">
        <f ca="1">agePb6U8(L53)/agePb7u5(J53)</f>
        <v>#NAME?</v>
      </c>
      <c r="Z53" s="1">
        <v>3.0329999999999999</v>
      </c>
      <c r="AA53" s="1">
        <v>8.5999999999999993E-2</v>
      </c>
      <c r="AB53" s="1">
        <v>0.2359</v>
      </c>
      <c r="AC53" s="1">
        <v>6.0000000000000001E-3</v>
      </c>
      <c r="AD53" s="1">
        <v>0.98107999999999995</v>
      </c>
      <c r="AE53" s="1">
        <v>4.2390840000000001</v>
      </c>
      <c r="AF53" s="1">
        <v>0.107819</v>
      </c>
      <c r="AG53" s="1">
        <v>9.3289999999999998E-2</v>
      </c>
      <c r="AH53" s="1">
        <v>5.5999999999999995E-4</v>
      </c>
      <c r="AI53" s="1">
        <v>-0.30223</v>
      </c>
      <c r="AJ53" s="1">
        <v>8.5199999999999998E-2</v>
      </c>
      <c r="AK53" s="1">
        <v>2.2000000000000001E-3</v>
      </c>
      <c r="AL53" s="1">
        <v>3.1829999999999998</v>
      </c>
      <c r="AM53" s="1">
        <v>1.4999999999999999E-2</v>
      </c>
      <c r="AN53" s="1">
        <v>1415</v>
      </c>
      <c r="AO53" s="1">
        <v>22</v>
      </c>
      <c r="AP53" s="1">
        <v>1365</v>
      </c>
      <c r="AQ53" s="1">
        <v>31</v>
      </c>
      <c r="AR53" s="1">
        <v>1653</v>
      </c>
      <c r="AS53" s="1">
        <v>41</v>
      </c>
      <c r="AT53" s="1">
        <v>1494</v>
      </c>
      <c r="AU53" s="1">
        <v>11</v>
      </c>
      <c r="AV53" s="1">
        <v>43.4</v>
      </c>
      <c r="AW53" s="1">
        <v>1.3</v>
      </c>
      <c r="AX53" s="1">
        <v>14.61</v>
      </c>
      <c r="AY53" s="1">
        <v>0.33</v>
      </c>
      <c r="AZ53" s="1">
        <v>101347.2</v>
      </c>
      <c r="BA53" s="1">
        <v>2484</v>
      </c>
      <c r="BB53" s="1">
        <v>37073.699999999997</v>
      </c>
      <c r="BC53" s="1">
        <v>931.50000000000011</v>
      </c>
      <c r="BD53" s="1">
        <v>405513</v>
      </c>
      <c r="BE53" s="1">
        <v>8694</v>
      </c>
      <c r="BF53" s="1">
        <v>7.4519999999999991</v>
      </c>
      <c r="BG53" s="1">
        <v>8.0729999999999986</v>
      </c>
      <c r="BH53" s="1">
        <f t="shared" si="14"/>
        <v>54416.666666666672</v>
      </c>
      <c r="BI53" s="1">
        <f t="shared" si="15"/>
        <v>58962.932110268433</v>
      </c>
    </row>
    <row r="54" spans="1:61" x14ac:dyDescent="0.2">
      <c r="X54" s="4"/>
    </row>
    <row r="55" spans="1:61" x14ac:dyDescent="0.2">
      <c r="X55" s="4"/>
    </row>
    <row r="56" spans="1:61" x14ac:dyDescent="0.2">
      <c r="A56" t="s">
        <v>140</v>
      </c>
      <c r="B56" t="s">
        <v>38</v>
      </c>
      <c r="C56" t="s">
        <v>141</v>
      </c>
      <c r="D56" t="s">
        <v>142</v>
      </c>
      <c r="E56">
        <v>82778</v>
      </c>
      <c r="F56">
        <v>40006</v>
      </c>
      <c r="G56" t="s">
        <v>142</v>
      </c>
      <c r="H56" s="1">
        <v>110.2</v>
      </c>
      <c r="I56" s="1">
        <v>43.5</v>
      </c>
      <c r="J56" s="10">
        <v>1.89</v>
      </c>
      <c r="K56" s="10">
        <f t="shared" ref="K56:K87" ca="1" si="16">SQRT(K$2^2+(AA56/Z56)^2)*J56</f>
        <v>4.2764938910280229E-2</v>
      </c>
      <c r="L56" s="7">
        <v>0.17960000000000001</v>
      </c>
      <c r="M56" s="7">
        <f t="shared" ref="M56:M87" ca="1" si="17">SQRT(M$2^2+(AC56/AB56)^2)*L56</f>
        <v>4.0635531250372498E-3</v>
      </c>
      <c r="N56" s="7">
        <v>0.97848000000000002</v>
      </c>
      <c r="O56" s="8">
        <v>5.5679290000000004</v>
      </c>
      <c r="P56" s="8">
        <f t="shared" ref="P56:P87" ca="1" si="18">SQRT(P$2^2+(AF56/AE56)^2)*O56</f>
        <v>0.12597759045055118</v>
      </c>
      <c r="Q56" s="9">
        <v>7.5980000000000006E-2</v>
      </c>
      <c r="R56" s="9">
        <f t="shared" ref="R56:R87" ca="1" si="19">SQRT(R$2^2+(AH56/AG56)^2)*Q56</f>
        <v>1.5400273244329144E-3</v>
      </c>
      <c r="S56" s="8">
        <f t="shared" ref="S56:S87" si="20">(((BE56/BD56)^2+(AW56/AV56)^2)+((BE56/BD56)^2+(BC56/BB56)^2)-((BC56/BB56)^2+(AW56/AV56)^2))/(2*SQRT((BE56/BD56)^2+(AW56/AV56)^2)*SQRT((BE56/BD56)^2+(BC56/BB56)^2))</f>
        <v>0.42122376640023501</v>
      </c>
      <c r="T56" s="11">
        <v>0.05</v>
      </c>
      <c r="U56" s="11">
        <f t="shared" ref="U56:U87" ca="1" si="21">SQRT(U$2^2+(AK56/AJ56)^2)*T56</f>
        <v>1.5620499351813308E-3</v>
      </c>
      <c r="V56" s="6" t="e">
        <f ca="1">IF(agePb6U8(1/O56)&lt;1400,age7corr(1/O56,Q56,$W$2),agePb76(Q56))</f>
        <v>#NAME?</v>
      </c>
      <c r="W56" s="6" t="e">
        <f ca="1">IF(agePb6U8(1/O56)&lt;1400,ageer7corr(V56,1/O56,P56/O56*(1/O56),Q56,R56,$W$2,0.05),ageerPb76(Q56,R56))</f>
        <v>#NAME?</v>
      </c>
      <c r="X56" s="4" t="e">
        <f ca="1">agePb6U8(L56)/agePb7u5(J56)</f>
        <v>#NAME?</v>
      </c>
      <c r="Z56" s="1">
        <v>1.89</v>
      </c>
      <c r="AA56" s="1">
        <v>0.02</v>
      </c>
      <c r="AB56" s="1">
        <v>0.17960000000000001</v>
      </c>
      <c r="AC56" s="1">
        <v>1.9E-3</v>
      </c>
      <c r="AD56" s="1">
        <v>0.97848000000000002</v>
      </c>
      <c r="AE56" s="1">
        <v>5.5679290000000004</v>
      </c>
      <c r="AF56" s="1">
        <v>5.8903480000000001E-2</v>
      </c>
      <c r="AG56" s="1">
        <v>7.5980000000000006E-2</v>
      </c>
      <c r="AH56" s="1">
        <v>2.5000000000000001E-4</v>
      </c>
      <c r="AI56" s="1">
        <v>0.10596999999999999</v>
      </c>
      <c r="AJ56" s="1">
        <v>0.05</v>
      </c>
      <c r="AK56" s="1">
        <v>1.1999999999999999E-3</v>
      </c>
      <c r="AL56" s="1">
        <v>10.17</v>
      </c>
      <c r="AM56" s="1">
        <v>0.73</v>
      </c>
      <c r="AN56" s="1">
        <v>1077.4000000000001</v>
      </c>
      <c r="AO56" s="1">
        <v>7</v>
      </c>
      <c r="AP56" s="1">
        <v>1065</v>
      </c>
      <c r="AQ56" s="1">
        <v>10</v>
      </c>
      <c r="AR56" s="1">
        <v>986</v>
      </c>
      <c r="AS56" s="1">
        <v>22</v>
      </c>
      <c r="AT56" s="1">
        <v>1094.5999999999999</v>
      </c>
      <c r="AU56" s="1">
        <v>6.6</v>
      </c>
      <c r="AV56" s="1">
        <v>24.29</v>
      </c>
      <c r="AW56" s="1">
        <v>0.51</v>
      </c>
      <c r="AX56" s="1">
        <v>3.4499999999999997</v>
      </c>
      <c r="AY56" s="1">
        <v>0.22</v>
      </c>
      <c r="AZ56" s="1">
        <v>14096.699999999999</v>
      </c>
      <c r="BA56" s="1">
        <v>807.3</v>
      </c>
      <c r="BB56" s="1">
        <v>12929.22</v>
      </c>
      <c r="BC56" s="1">
        <v>217.35</v>
      </c>
      <c r="BD56" s="1">
        <v>169595.1</v>
      </c>
      <c r="BE56" s="1">
        <v>2732.3999999999996</v>
      </c>
      <c r="BF56" s="1">
        <v>3.7259999999999995</v>
      </c>
      <c r="BG56" s="1">
        <v>3.6017999999999999</v>
      </c>
      <c r="BH56" s="1">
        <f t="shared" ref="BH56:BH87" si="22">BD56/BF56</f>
        <v>45516.666666666672</v>
      </c>
      <c r="BI56" s="1">
        <f t="shared" ref="BI56:BI87" si="23">SQRT((BG56/BF56)^2+(BE56/BD56)^2)*BH56</f>
        <v>44005.555208377176</v>
      </c>
    </row>
    <row r="57" spans="1:61" x14ac:dyDescent="0.2">
      <c r="A57" t="s">
        <v>173</v>
      </c>
      <c r="B57" t="s">
        <v>38</v>
      </c>
      <c r="C57" t="s">
        <v>174</v>
      </c>
      <c r="D57" t="s">
        <v>175</v>
      </c>
      <c r="E57">
        <v>83123</v>
      </c>
      <c r="F57">
        <v>43316</v>
      </c>
      <c r="G57" t="s">
        <v>175</v>
      </c>
      <c r="H57" s="1">
        <v>157.9</v>
      </c>
      <c r="I57" s="1">
        <v>58.95</v>
      </c>
      <c r="J57" s="10">
        <v>2.2450000000000001</v>
      </c>
      <c r="K57" s="10">
        <f t="shared" ca="1" si="16"/>
        <v>5.8821849681899671E-2</v>
      </c>
      <c r="L57" s="7">
        <v>0.20069999999999999</v>
      </c>
      <c r="M57" s="7">
        <f t="shared" ca="1" si="17"/>
        <v>5.3256169595644028E-3</v>
      </c>
      <c r="N57" s="7">
        <v>0.97187999999999997</v>
      </c>
      <c r="O57" s="8">
        <v>4.9825609999999996</v>
      </c>
      <c r="P57" s="8">
        <f t="shared" ca="1" si="18"/>
        <v>0.13221331019976165</v>
      </c>
      <c r="Q57" s="9">
        <v>8.097E-2</v>
      </c>
      <c r="R57" s="9">
        <f t="shared" ca="1" si="19"/>
        <v>1.6547073336393963E-3</v>
      </c>
      <c r="S57" s="8">
        <f t="shared" si="20"/>
        <v>0.50687189510379671</v>
      </c>
      <c r="T57" s="11">
        <v>6.13E-2</v>
      </c>
      <c r="U57" s="11">
        <f t="shared" ca="1" si="21"/>
        <v>1.7869180171457223E-3</v>
      </c>
      <c r="V57" s="6" t="e">
        <f ca="1">IF(agePb6U8(1/O57)&lt;1400,age7corr(1/O57,Q57,$W$2),agePb76(Q57))</f>
        <v>#NAME?</v>
      </c>
      <c r="W57" s="6" t="e">
        <f ca="1">IF(agePb6U8(1/O57)&lt;1400,ageer7corr(V57,1/O57,P57/O57*(1/O57),Q57,R57,$W$2,0.05),ageerPb76(Q57,R57))</f>
        <v>#NAME?</v>
      </c>
      <c r="X57" s="4" t="e">
        <f ca="1">agePb6U8(L57)/agePb7u5(J57)</f>
        <v>#NAME?</v>
      </c>
      <c r="Z57" s="1">
        <v>2.2450000000000001</v>
      </c>
      <c r="AA57" s="1">
        <v>3.7999999999999999E-2</v>
      </c>
      <c r="AB57" s="1">
        <v>0.20069999999999999</v>
      </c>
      <c r="AC57" s="1">
        <v>3.5000000000000001E-3</v>
      </c>
      <c r="AD57" s="1">
        <v>0.97187999999999997</v>
      </c>
      <c r="AE57" s="1">
        <v>4.9825609999999996</v>
      </c>
      <c r="AF57" s="1">
        <v>8.6890700000000001E-2</v>
      </c>
      <c r="AG57" s="1">
        <v>8.097E-2</v>
      </c>
      <c r="AH57" s="1">
        <v>3.4000000000000002E-4</v>
      </c>
      <c r="AI57" s="1">
        <v>0.14610000000000001</v>
      </c>
      <c r="AJ57" s="1">
        <v>6.13E-2</v>
      </c>
      <c r="AK57" s="1">
        <v>1.2999999999999999E-3</v>
      </c>
      <c r="AL57" s="1">
        <v>9.5440000000000005</v>
      </c>
      <c r="AM57" s="1">
        <v>3.3000000000000002E-2</v>
      </c>
      <c r="AN57" s="1">
        <v>1195</v>
      </c>
      <c r="AO57" s="1">
        <v>12</v>
      </c>
      <c r="AP57" s="1">
        <v>1179</v>
      </c>
      <c r="AQ57" s="1">
        <v>19</v>
      </c>
      <c r="AR57" s="1">
        <v>1203</v>
      </c>
      <c r="AS57" s="1">
        <v>25</v>
      </c>
      <c r="AT57" s="1">
        <v>1220.5</v>
      </c>
      <c r="AU57" s="1">
        <v>8.3000000000000007</v>
      </c>
      <c r="AV57" s="1">
        <v>34.770000000000003</v>
      </c>
      <c r="AW57" s="1">
        <v>0.46</v>
      </c>
      <c r="AX57" s="1">
        <v>4.6779999999999999</v>
      </c>
      <c r="AY57" s="1">
        <v>5.8000000000000003E-2</v>
      </c>
      <c r="AZ57" s="1">
        <v>23399.280000000002</v>
      </c>
      <c r="BA57" s="1">
        <v>310.5</v>
      </c>
      <c r="BB57" s="1">
        <v>22076.550000000003</v>
      </c>
      <c r="BC57" s="1">
        <v>267.02999999999997</v>
      </c>
      <c r="BD57" s="1">
        <v>270880.2</v>
      </c>
      <c r="BE57" s="1">
        <v>3477.6</v>
      </c>
      <c r="BF57" s="1">
        <v>1.1799000000000002</v>
      </c>
      <c r="BG57" s="1">
        <v>4.4091000000000005</v>
      </c>
      <c r="BH57" s="1">
        <f t="shared" si="22"/>
        <v>229578.94736842104</v>
      </c>
      <c r="BI57" s="1">
        <f t="shared" si="23"/>
        <v>857905.33992483385</v>
      </c>
    </row>
    <row r="58" spans="1:61" x14ac:dyDescent="0.2">
      <c r="A58" t="s">
        <v>176</v>
      </c>
      <c r="B58" t="s">
        <v>38</v>
      </c>
      <c r="C58" t="s">
        <v>177</v>
      </c>
      <c r="D58" t="s">
        <v>178</v>
      </c>
      <c r="E58">
        <v>83138</v>
      </c>
      <c r="F58">
        <v>43505</v>
      </c>
      <c r="G58" t="s">
        <v>178</v>
      </c>
      <c r="H58" s="1">
        <v>123.5</v>
      </c>
      <c r="I58" s="1">
        <v>127.2</v>
      </c>
      <c r="J58" s="10">
        <v>9.85</v>
      </c>
      <c r="K58" s="10">
        <f t="shared" ca="1" si="16"/>
        <v>0.29531169973436538</v>
      </c>
      <c r="L58" s="7">
        <v>0.42230000000000001</v>
      </c>
      <c r="M58" s="7">
        <f t="shared" ca="1" si="17"/>
        <v>1.2562838691951751E-2</v>
      </c>
      <c r="N58" s="7">
        <v>0.99102999999999997</v>
      </c>
      <c r="O58" s="8">
        <v>2.367985</v>
      </c>
      <c r="P58" s="8">
        <f t="shared" ca="1" si="18"/>
        <v>7.0444266769655581E-2</v>
      </c>
      <c r="Q58" s="9">
        <v>0.16844000000000001</v>
      </c>
      <c r="R58" s="9">
        <f t="shared" ca="1" si="19"/>
        <v>3.4102365665742316E-3</v>
      </c>
      <c r="S58" s="8">
        <f t="shared" si="20"/>
        <v>0.4220867435086334</v>
      </c>
      <c r="T58" s="11">
        <v>0.126</v>
      </c>
      <c r="U58" s="11">
        <f t="shared" ca="1" si="21"/>
        <v>3.6932912151629747E-3</v>
      </c>
      <c r="V58" s="6" t="e">
        <f ca="1">IF(agePb6U8(1/O58)&lt;1400,age7corr(1/O58,Q58,$W$2),agePb76(Q58))</f>
        <v>#NAME?</v>
      </c>
      <c r="W58" s="6" t="e">
        <f ca="1">IF(agePb6U8(1/O58)&lt;1400,ageer7corr(V58,1/O58,P58/O58*(1/O58),Q58,R58,$W$2,0.05),ageerPb76(Q58,R58))</f>
        <v>#NAME?</v>
      </c>
      <c r="X58" s="4" t="e">
        <f ca="1">agePb6U8(L58)/agePb7u5(J58)</f>
        <v>#NAME?</v>
      </c>
      <c r="Z58" s="1">
        <v>9.85</v>
      </c>
      <c r="AA58" s="1">
        <v>0.22</v>
      </c>
      <c r="AB58" s="1">
        <v>0.42230000000000001</v>
      </c>
      <c r="AC58" s="1">
        <v>9.2999999999999992E-3</v>
      </c>
      <c r="AD58" s="1">
        <v>0.99102999999999997</v>
      </c>
      <c r="AE58" s="1">
        <v>2.367985</v>
      </c>
      <c r="AF58" s="1">
        <v>5.2148380000000001E-2</v>
      </c>
      <c r="AG58" s="1">
        <v>0.16844000000000001</v>
      </c>
      <c r="AH58" s="1">
        <v>5.2999999999999998E-4</v>
      </c>
      <c r="AI58" s="1">
        <v>0.19405</v>
      </c>
      <c r="AJ58" s="1">
        <v>0.126</v>
      </c>
      <c r="AK58" s="1">
        <v>2.7000000000000001E-3</v>
      </c>
      <c r="AL58" s="1">
        <v>3.6040000000000001</v>
      </c>
      <c r="AM58" s="1">
        <v>9.7000000000000003E-3</v>
      </c>
      <c r="AN58" s="1">
        <v>2425</v>
      </c>
      <c r="AO58" s="1">
        <v>19</v>
      </c>
      <c r="AP58" s="1">
        <v>2270</v>
      </c>
      <c r="AQ58" s="1">
        <v>42</v>
      </c>
      <c r="AR58" s="1">
        <v>2399</v>
      </c>
      <c r="AS58" s="1">
        <v>48</v>
      </c>
      <c r="AT58" s="1">
        <v>2542.1999999999998</v>
      </c>
      <c r="AU58" s="1">
        <v>5.3</v>
      </c>
      <c r="AV58" s="1">
        <v>27.18</v>
      </c>
      <c r="AW58" s="1">
        <v>0.4</v>
      </c>
      <c r="AX58" s="1">
        <v>10.1</v>
      </c>
      <c r="AY58" s="1">
        <v>0.12000000000000001</v>
      </c>
      <c r="AZ58" s="1">
        <v>102899.7</v>
      </c>
      <c r="BA58" s="1">
        <v>1117.8000000000002</v>
      </c>
      <c r="BB58" s="1">
        <v>76072.499999999985</v>
      </c>
      <c r="BC58" s="1">
        <v>869.4</v>
      </c>
      <c r="BD58" s="1">
        <v>450783.89999999997</v>
      </c>
      <c r="BE58" s="1">
        <v>5030.1000000000004</v>
      </c>
      <c r="BF58" s="1">
        <v>20.492999999999999</v>
      </c>
      <c r="BG58" s="1">
        <v>6.2099999999999991</v>
      </c>
      <c r="BH58" s="1">
        <f t="shared" si="22"/>
        <v>21996.969696969696</v>
      </c>
      <c r="BI58" s="1">
        <f t="shared" si="23"/>
        <v>6670.2660796214068</v>
      </c>
    </row>
    <row r="59" spans="1:61" x14ac:dyDescent="0.2">
      <c r="A59" t="s">
        <v>179</v>
      </c>
      <c r="B59" t="s">
        <v>38</v>
      </c>
      <c r="C59" t="s">
        <v>180</v>
      </c>
      <c r="D59" t="s">
        <v>181</v>
      </c>
      <c r="E59">
        <v>83219</v>
      </c>
      <c r="F59">
        <v>43798</v>
      </c>
      <c r="G59" t="s">
        <v>181</v>
      </c>
      <c r="H59" s="1">
        <v>129</v>
      </c>
      <c r="I59" s="1">
        <v>77.900000000000006</v>
      </c>
      <c r="J59" s="10">
        <v>2.6549999999999998</v>
      </c>
      <c r="K59" s="10">
        <f t="shared" ca="1" si="16"/>
        <v>7.4320992996595517E-2</v>
      </c>
      <c r="L59" s="7">
        <v>0.2218</v>
      </c>
      <c r="M59" s="7">
        <f t="shared" ca="1" si="17"/>
        <v>6.8350637158698093E-3</v>
      </c>
      <c r="N59" s="7">
        <v>0.97677999999999998</v>
      </c>
      <c r="O59" s="8">
        <v>4.5085660000000001</v>
      </c>
      <c r="P59" s="8">
        <f t="shared" ca="1" si="18"/>
        <v>0.1389375103139264</v>
      </c>
      <c r="Q59" s="9">
        <v>8.6129999999999998E-2</v>
      </c>
      <c r="R59" s="9">
        <f t="shared" ca="1" si="19"/>
        <v>1.7936975107302792E-3</v>
      </c>
      <c r="S59" s="8">
        <f t="shared" si="20"/>
        <v>0.47637408316160368</v>
      </c>
      <c r="T59" s="11">
        <v>6.7500000000000004E-2</v>
      </c>
      <c r="U59" s="11">
        <f t="shared" ca="1" si="21"/>
        <v>1.8062391868188443E-3</v>
      </c>
      <c r="V59" s="6" t="e">
        <f ca="1">IF(agePb6U8(1/O59)&lt;1400,age7corr(1/O59,Q59,$W$2),agePb76(Q59))</f>
        <v>#NAME?</v>
      </c>
      <c r="W59" s="6" t="e">
        <f ca="1">IF(agePb6U8(1/O59)&lt;1400,ageer7corr(V59,1/O59,P59/O59*(1/O59),Q59,R59,$W$2,0.05),ageerPb76(Q59,R59))</f>
        <v>#NAME?</v>
      </c>
      <c r="X59" s="4" t="e">
        <f ca="1">agePb6U8(L59)/agePb7u5(J59)</f>
        <v>#NAME?</v>
      </c>
      <c r="Z59" s="1">
        <v>2.6549999999999998</v>
      </c>
      <c r="AA59" s="1">
        <v>5.1999999999999998E-2</v>
      </c>
      <c r="AB59" s="1">
        <v>0.2218</v>
      </c>
      <c r="AC59" s="1">
        <v>5.1999999999999998E-3</v>
      </c>
      <c r="AD59" s="1">
        <v>0.97677999999999998</v>
      </c>
      <c r="AE59" s="1">
        <v>4.5085660000000001</v>
      </c>
      <c r="AF59" s="1">
        <v>0.1057013</v>
      </c>
      <c r="AG59" s="1">
        <v>8.6129999999999998E-2</v>
      </c>
      <c r="AH59" s="1">
        <v>5.0000000000000001E-4</v>
      </c>
      <c r="AI59" s="1">
        <v>0.31568000000000002</v>
      </c>
      <c r="AJ59" s="1">
        <v>6.7500000000000004E-2</v>
      </c>
      <c r="AK59" s="1">
        <v>1.1999999999999999E-3</v>
      </c>
      <c r="AL59" s="1">
        <v>5.8659999999999997</v>
      </c>
      <c r="AM59" s="1">
        <v>2.5999999999999999E-2</v>
      </c>
      <c r="AN59" s="1">
        <v>1316</v>
      </c>
      <c r="AO59" s="1">
        <v>14</v>
      </c>
      <c r="AP59" s="1">
        <v>1291</v>
      </c>
      <c r="AQ59" s="1">
        <v>27</v>
      </c>
      <c r="AR59" s="1">
        <v>1320</v>
      </c>
      <c r="AS59" s="1">
        <v>22</v>
      </c>
      <c r="AT59" s="1">
        <v>1343</v>
      </c>
      <c r="AU59" s="1">
        <v>11</v>
      </c>
      <c r="AV59" s="1">
        <v>28.41</v>
      </c>
      <c r="AW59" s="1">
        <v>0.95</v>
      </c>
      <c r="AX59" s="1">
        <v>6.18</v>
      </c>
      <c r="AY59" s="1">
        <v>0.33</v>
      </c>
      <c r="AZ59" s="1">
        <v>34155</v>
      </c>
      <c r="BA59" s="1">
        <v>1242</v>
      </c>
      <c r="BB59" s="1">
        <v>21051.9</v>
      </c>
      <c r="BC59" s="1">
        <v>745.2</v>
      </c>
      <c r="BD59" s="1">
        <v>245916</v>
      </c>
      <c r="BE59" s="1">
        <v>8072.9999999999982</v>
      </c>
      <c r="BF59" s="1">
        <v>1.3041</v>
      </c>
      <c r="BG59" s="1">
        <v>5.6510999999999996</v>
      </c>
      <c r="BH59" s="1">
        <f t="shared" si="22"/>
        <v>188571.42857142858</v>
      </c>
      <c r="BI59" s="1">
        <f t="shared" si="23"/>
        <v>817166.30557987187</v>
      </c>
    </row>
    <row r="60" spans="1:61" x14ac:dyDescent="0.2">
      <c r="A60" t="s">
        <v>182</v>
      </c>
      <c r="B60" t="s">
        <v>38</v>
      </c>
      <c r="C60" t="s">
        <v>183</v>
      </c>
      <c r="D60" t="s">
        <v>184</v>
      </c>
      <c r="E60">
        <v>83222</v>
      </c>
      <c r="F60">
        <v>44189</v>
      </c>
      <c r="G60" t="s">
        <v>184</v>
      </c>
      <c r="H60" s="1">
        <v>110.7</v>
      </c>
      <c r="I60" s="1">
        <v>33.9</v>
      </c>
      <c r="J60" s="10">
        <v>1.8520000000000001</v>
      </c>
      <c r="K60" s="10">
        <f t="shared" ca="1" si="16"/>
        <v>5.8283459060011179E-2</v>
      </c>
      <c r="L60" s="7">
        <v>0.17549999999999999</v>
      </c>
      <c r="M60" s="7">
        <f t="shared" ca="1" si="17"/>
        <v>4.9568235796727733E-3</v>
      </c>
      <c r="N60" s="7">
        <v>0.9546</v>
      </c>
      <c r="O60" s="8">
        <v>5.6980060000000003</v>
      </c>
      <c r="P60" s="8">
        <f t="shared" ca="1" si="18"/>
        <v>0.16093449935788906</v>
      </c>
      <c r="Q60" s="9">
        <v>7.5600000000000001E-2</v>
      </c>
      <c r="R60" s="9">
        <f t="shared" ca="1" si="19"/>
        <v>1.5894162450409272E-3</v>
      </c>
      <c r="S60" s="8">
        <f t="shared" si="20"/>
        <v>0.46166556032943862</v>
      </c>
      <c r="T60" s="11">
        <v>6.2399999999999997E-2</v>
      </c>
      <c r="U60" s="11">
        <f t="shared" ca="1" si="21"/>
        <v>2.8840083217633056E-3</v>
      </c>
      <c r="V60" s="6" t="e">
        <f ca="1">IF(agePb6U8(1/O60)&lt;1400,age7corr(1/O60,Q60,$W$2),agePb76(Q60))</f>
        <v>#NAME?</v>
      </c>
      <c r="W60" s="6" t="e">
        <f ca="1">IF(agePb6U8(1/O60)&lt;1400,ageer7corr(V60,1/O60,P60/O60*(1/O60),Q60,R60,$W$2,0.05),ageerPb76(Q60,R60))</f>
        <v>#NAME?</v>
      </c>
      <c r="X60" s="4" t="e">
        <f ca="1">agePb6U8(L60)/agePb7u5(J60)</f>
        <v>#NAME?</v>
      </c>
      <c r="Z60" s="1">
        <v>1.8520000000000001</v>
      </c>
      <c r="AA60" s="1">
        <v>4.4999999999999998E-2</v>
      </c>
      <c r="AB60" s="1">
        <v>0.17549999999999999</v>
      </c>
      <c r="AC60" s="1">
        <v>3.5000000000000001E-3</v>
      </c>
      <c r="AD60" s="1">
        <v>0.9546</v>
      </c>
      <c r="AE60" s="1">
        <v>5.6980060000000003</v>
      </c>
      <c r="AF60" s="1">
        <v>0.1136354</v>
      </c>
      <c r="AG60" s="1">
        <v>7.5600000000000001E-2</v>
      </c>
      <c r="AH60" s="1">
        <v>4.8999999999999998E-4</v>
      </c>
      <c r="AI60" s="1">
        <v>4.7104E-2</v>
      </c>
      <c r="AJ60" s="1">
        <v>6.2399999999999997E-2</v>
      </c>
      <c r="AK60" s="1">
        <v>2.5999999999999999E-3</v>
      </c>
      <c r="AL60" s="1">
        <v>10.103999999999999</v>
      </c>
      <c r="AM60" s="1">
        <v>8.4000000000000005E-2</v>
      </c>
      <c r="AN60" s="1">
        <v>1067</v>
      </c>
      <c r="AO60" s="1">
        <v>15</v>
      </c>
      <c r="AP60" s="1">
        <v>1042</v>
      </c>
      <c r="AQ60" s="1">
        <v>19</v>
      </c>
      <c r="AR60" s="1">
        <v>1223</v>
      </c>
      <c r="AS60" s="1">
        <v>50</v>
      </c>
      <c r="AT60" s="1">
        <v>1084</v>
      </c>
      <c r="AU60" s="1">
        <v>13</v>
      </c>
      <c r="AV60" s="1">
        <v>24.400000000000002</v>
      </c>
      <c r="AW60" s="1">
        <v>1.1000000000000001</v>
      </c>
      <c r="AX60" s="1">
        <v>2.69</v>
      </c>
      <c r="AY60" s="1">
        <v>0.11</v>
      </c>
      <c r="AZ60" s="1">
        <v>13798.62</v>
      </c>
      <c r="BA60" s="1">
        <v>372.6</v>
      </c>
      <c r="BB60" s="1">
        <v>12860.91</v>
      </c>
      <c r="BC60" s="1">
        <v>416.07</v>
      </c>
      <c r="BD60" s="1">
        <v>168166.8</v>
      </c>
      <c r="BE60" s="1">
        <v>6023.7</v>
      </c>
      <c r="BF60" s="1">
        <v>8.4456000000000007</v>
      </c>
      <c r="BG60" s="1">
        <v>5.8995000000000006</v>
      </c>
      <c r="BH60" s="1">
        <f t="shared" si="22"/>
        <v>19911.76470588235</v>
      </c>
      <c r="BI60" s="1">
        <f t="shared" si="23"/>
        <v>13927.228228553222</v>
      </c>
    </row>
    <row r="61" spans="1:61" x14ac:dyDescent="0.2">
      <c r="A61" t="s">
        <v>185</v>
      </c>
      <c r="B61" t="s">
        <v>38</v>
      </c>
      <c r="C61" t="s">
        <v>186</v>
      </c>
      <c r="D61" t="s">
        <v>187</v>
      </c>
      <c r="E61">
        <v>83313</v>
      </c>
      <c r="F61">
        <v>44380</v>
      </c>
      <c r="G61" t="s">
        <v>187</v>
      </c>
      <c r="H61" s="1">
        <v>98.3</v>
      </c>
      <c r="I61" s="1">
        <v>35.32</v>
      </c>
      <c r="J61" s="10">
        <v>1.7130000000000001</v>
      </c>
      <c r="K61" s="10">
        <f t="shared" ca="1" si="16"/>
        <v>6.3109013619292137E-2</v>
      </c>
      <c r="L61" s="7">
        <v>0.1699</v>
      </c>
      <c r="M61" s="7">
        <f t="shared" ca="1" si="17"/>
        <v>6.2957449122403308E-3</v>
      </c>
      <c r="N61" s="7">
        <v>0.96536</v>
      </c>
      <c r="O61" s="8">
        <v>5.885815</v>
      </c>
      <c r="P61" s="8">
        <f t="shared" ca="1" si="18"/>
        <v>0.21810231776232916</v>
      </c>
      <c r="Q61" s="9">
        <v>7.2620000000000004E-2</v>
      </c>
      <c r="R61" s="9">
        <f t="shared" ca="1" si="19"/>
        <v>1.5235044338629278E-3</v>
      </c>
      <c r="S61" s="8">
        <f t="shared" si="20"/>
        <v>0.46095877755411785</v>
      </c>
      <c r="T61" s="11">
        <v>5.4300000000000001E-2</v>
      </c>
      <c r="U61" s="11">
        <f t="shared" ca="1" si="21"/>
        <v>2.0172743987866399E-3</v>
      </c>
      <c r="V61" s="6" t="e">
        <f ca="1">IF(agePb6U8(1/O61)&lt;1400,age7corr(1/O61,Q61,$W$2),agePb76(Q61))</f>
        <v>#NAME?</v>
      </c>
      <c r="W61" s="6" t="e">
        <f ca="1">IF(agePb6U8(1/O61)&lt;1400,ageer7corr(V61,1/O61,P61/O61*(1/O61),Q61,R61,$W$2,0.05),ageerPb76(Q61,R61))</f>
        <v>#NAME?</v>
      </c>
      <c r="X61" s="4" t="e">
        <f ca="1">agePb6U8(L61)/agePb7u5(J61)</f>
        <v>#NAME?</v>
      </c>
      <c r="Z61" s="1">
        <v>1.7130000000000001</v>
      </c>
      <c r="AA61" s="1">
        <v>5.2999999999999999E-2</v>
      </c>
      <c r="AB61" s="1">
        <v>0.1699</v>
      </c>
      <c r="AC61" s="1">
        <v>5.3E-3</v>
      </c>
      <c r="AD61" s="1">
        <v>0.96536</v>
      </c>
      <c r="AE61" s="1">
        <v>5.885815</v>
      </c>
      <c r="AF61" s="1">
        <v>0.18360689999999999</v>
      </c>
      <c r="AG61" s="1">
        <v>7.2620000000000004E-2</v>
      </c>
      <c r="AH61" s="1">
        <v>4.6000000000000001E-4</v>
      </c>
      <c r="AI61" s="1">
        <v>3.9736E-2</v>
      </c>
      <c r="AJ61" s="1">
        <v>5.4300000000000001E-2</v>
      </c>
      <c r="AK61" s="1">
        <v>1.6999999999999999E-3</v>
      </c>
      <c r="AL61" s="1">
        <v>9.4600000000000009</v>
      </c>
      <c r="AM61" s="1">
        <v>5.5E-2</v>
      </c>
      <c r="AN61" s="1">
        <v>1012</v>
      </c>
      <c r="AO61" s="1">
        <v>20</v>
      </c>
      <c r="AP61" s="1">
        <v>1011</v>
      </c>
      <c r="AQ61" s="1">
        <v>29</v>
      </c>
      <c r="AR61" s="1">
        <v>1069</v>
      </c>
      <c r="AS61" s="1">
        <v>33</v>
      </c>
      <c r="AT61" s="1">
        <v>1003</v>
      </c>
      <c r="AU61" s="1">
        <v>13</v>
      </c>
      <c r="AV61" s="1">
        <v>21.63</v>
      </c>
      <c r="AW61" s="1">
        <v>0.38</v>
      </c>
      <c r="AX61" s="1">
        <v>2.8019999999999996</v>
      </c>
      <c r="AY61" s="1">
        <v>6.4000000000000001E-2</v>
      </c>
      <c r="AZ61" s="1">
        <v>12401.369999999999</v>
      </c>
      <c r="BA61" s="1">
        <v>229.77</v>
      </c>
      <c r="BB61" s="1">
        <v>10470.06</v>
      </c>
      <c r="BC61" s="1">
        <v>198.71999999999997</v>
      </c>
      <c r="BD61" s="1">
        <v>143326.80000000002</v>
      </c>
      <c r="BE61" s="1">
        <v>2421.9</v>
      </c>
      <c r="BF61" s="1">
        <v>-2.9186999999999999</v>
      </c>
      <c r="BG61" s="1">
        <v>5.1543000000000001</v>
      </c>
      <c r="BH61" s="1">
        <f t="shared" si="22"/>
        <v>-49106.382978723414</v>
      </c>
      <c r="BI61" s="1">
        <f t="shared" si="23"/>
        <v>-86723.752568841766</v>
      </c>
    </row>
    <row r="62" spans="1:61" x14ac:dyDescent="0.2">
      <c r="A62" t="s">
        <v>188</v>
      </c>
      <c r="B62" t="s">
        <v>38</v>
      </c>
      <c r="C62" t="s">
        <v>189</v>
      </c>
      <c r="D62" t="s">
        <v>190</v>
      </c>
      <c r="E62">
        <v>83261</v>
      </c>
      <c r="F62">
        <v>44549</v>
      </c>
      <c r="G62" t="s">
        <v>190</v>
      </c>
      <c r="H62" s="1">
        <v>55.31</v>
      </c>
      <c r="I62" s="1">
        <v>86</v>
      </c>
      <c r="J62" s="10">
        <v>2.2989999999999999</v>
      </c>
      <c r="K62" s="10">
        <f t="shared" ca="1" si="16"/>
        <v>6.7194943262123524E-2</v>
      </c>
      <c r="L62" s="7">
        <v>0.20499999999999999</v>
      </c>
      <c r="M62" s="7">
        <f t="shared" ca="1" si="17"/>
        <v>5.6586217403180421E-3</v>
      </c>
      <c r="N62" s="7">
        <v>0.89602999999999999</v>
      </c>
      <c r="O62" s="8">
        <v>4.8780489999999999</v>
      </c>
      <c r="P62" s="8">
        <f t="shared" ca="1" si="18"/>
        <v>0.13464894155607166</v>
      </c>
      <c r="Q62" s="9">
        <v>8.1110000000000002E-2</v>
      </c>
      <c r="R62" s="9">
        <f t="shared" ca="1" si="19"/>
        <v>1.7667860198677145E-3</v>
      </c>
      <c r="S62" s="8">
        <f t="shared" si="20"/>
        <v>0.36211661770845355</v>
      </c>
      <c r="T62" s="11">
        <v>6.6089999999999996E-2</v>
      </c>
      <c r="U62" s="11">
        <f t="shared" ca="1" si="21"/>
        <v>1.6336325290590905E-3</v>
      </c>
      <c r="V62" s="6" t="e">
        <f ca="1">IF(agePb6U8(1/O62)&lt;1400,age7corr(1/O62,Q62,$W$2),agePb76(Q62))</f>
        <v>#NAME?</v>
      </c>
      <c r="W62" s="6" t="e">
        <f ca="1">IF(agePb6U8(1/O62)&lt;1400,ageer7corr(V62,1/O62,P62/O62*(1/O62),Q62,R62,$W$2,0.05),ageerPb76(Q62,R62))</f>
        <v>#NAME?</v>
      </c>
      <c r="X62" s="4" t="e">
        <f ca="1">agePb6U8(L62)/agePb7u5(J62)</f>
        <v>#NAME?</v>
      </c>
      <c r="Z62" s="1">
        <v>2.2989999999999999</v>
      </c>
      <c r="AA62" s="1">
        <v>4.9000000000000002E-2</v>
      </c>
      <c r="AB62" s="1">
        <v>0.20499999999999999</v>
      </c>
      <c r="AC62" s="1">
        <v>3.8999999999999998E-3</v>
      </c>
      <c r="AD62" s="1">
        <v>0.89602999999999999</v>
      </c>
      <c r="AE62" s="1">
        <v>4.8780489999999999</v>
      </c>
      <c r="AF62" s="1">
        <v>9.2801900000000007E-2</v>
      </c>
      <c r="AG62" s="1">
        <v>8.1110000000000002E-2</v>
      </c>
      <c r="AH62" s="1">
        <v>6.9999999999999999E-4</v>
      </c>
      <c r="AI62" s="1">
        <v>-0.18224000000000001</v>
      </c>
      <c r="AJ62" s="1">
        <v>6.6089999999999996E-2</v>
      </c>
      <c r="AK62" s="1">
        <v>9.6000000000000002E-4</v>
      </c>
      <c r="AL62" s="1">
        <v>2.1779999999999999</v>
      </c>
      <c r="AM62" s="1">
        <v>1.0999999999999999E-2</v>
      </c>
      <c r="AN62" s="1">
        <v>1211</v>
      </c>
      <c r="AO62" s="1">
        <v>15</v>
      </c>
      <c r="AP62" s="1">
        <v>1202</v>
      </c>
      <c r="AQ62" s="1">
        <v>21</v>
      </c>
      <c r="AR62" s="1">
        <v>1293</v>
      </c>
      <c r="AS62" s="1">
        <v>18</v>
      </c>
      <c r="AT62" s="1">
        <v>1224</v>
      </c>
      <c r="AU62" s="1">
        <v>17</v>
      </c>
      <c r="AV62" s="1">
        <v>12.17</v>
      </c>
      <c r="AW62" s="1">
        <v>0.17</v>
      </c>
      <c r="AX62" s="1">
        <v>6.8250000000000002</v>
      </c>
      <c r="AY62" s="1">
        <v>9.8000000000000004E-2</v>
      </c>
      <c r="AZ62" s="1">
        <v>36676.26</v>
      </c>
      <c r="BA62" s="1">
        <v>422.28000000000003</v>
      </c>
      <c r="BB62" s="1">
        <v>7905.33</v>
      </c>
      <c r="BC62" s="1">
        <v>117.99</v>
      </c>
      <c r="BD62" s="1">
        <v>97000.2</v>
      </c>
      <c r="BE62" s="1">
        <v>1055.7</v>
      </c>
      <c r="BF62" s="1">
        <v>-1.4282999999999999</v>
      </c>
      <c r="BG62" s="1">
        <v>5.8995000000000006</v>
      </c>
      <c r="BH62" s="1">
        <f t="shared" si="22"/>
        <v>-67913.043478260879</v>
      </c>
      <c r="BI62" s="1">
        <f t="shared" si="23"/>
        <v>-280511.37075903069</v>
      </c>
    </row>
    <row r="63" spans="1:61" x14ac:dyDescent="0.2">
      <c r="A63" t="s">
        <v>197</v>
      </c>
      <c r="B63" t="s">
        <v>38</v>
      </c>
      <c r="C63" t="s">
        <v>198</v>
      </c>
      <c r="D63" t="s">
        <v>199</v>
      </c>
      <c r="E63">
        <v>83379</v>
      </c>
      <c r="F63">
        <v>44702</v>
      </c>
      <c r="G63" t="s">
        <v>199</v>
      </c>
      <c r="H63" s="1">
        <v>157.9</v>
      </c>
      <c r="I63" s="1">
        <v>80.5</v>
      </c>
      <c r="J63" s="10">
        <v>2.9820000000000002</v>
      </c>
      <c r="K63" s="10">
        <f t="shared" ca="1" si="16"/>
        <v>8.9699105904128162E-2</v>
      </c>
      <c r="L63" s="7">
        <v>0.23169999999999999</v>
      </c>
      <c r="M63" s="7">
        <f t="shared" ca="1" si="17"/>
        <v>6.8908603236460982E-3</v>
      </c>
      <c r="N63" s="7">
        <v>0.96921000000000002</v>
      </c>
      <c r="O63" s="8">
        <v>4.3159260000000002</v>
      </c>
      <c r="P63" s="8">
        <f t="shared" ca="1" si="18"/>
        <v>0.12835754320035267</v>
      </c>
      <c r="Q63" s="9">
        <v>9.3210000000000001E-2</v>
      </c>
      <c r="R63" s="9">
        <f t="shared" ca="1" si="19"/>
        <v>1.9583772976625316E-3</v>
      </c>
      <c r="S63" s="8">
        <f t="shared" si="20"/>
        <v>0.4067814971385727</v>
      </c>
      <c r="T63" s="11">
        <v>7.6200000000000004E-2</v>
      </c>
      <c r="U63" s="11">
        <f t="shared" ca="1" si="21"/>
        <v>2.7590897049570538E-3</v>
      </c>
      <c r="V63" s="6" t="e">
        <f ca="1">IF(agePb6U8(1/O63)&lt;1400,age7corr(1/O63,Q63,$W$2),agePb76(Q63))</f>
        <v>#NAME?</v>
      </c>
      <c r="W63" s="6" t="e">
        <f ca="1">IF(agePb6U8(1/O63)&lt;1400,ageer7corr(V63,1/O63,P63/O63*(1/O63),Q63,R63,$W$2,0.05),ageerPb76(Q63,R63))</f>
        <v>#NAME?</v>
      </c>
      <c r="X63" s="4" t="e">
        <f ca="1">agePb6U8(L63)/agePb7u5(J63)</f>
        <v>#NAME?</v>
      </c>
      <c r="Z63" s="1">
        <v>2.9820000000000002</v>
      </c>
      <c r="AA63" s="1">
        <v>6.7000000000000004E-2</v>
      </c>
      <c r="AB63" s="1">
        <v>0.23169999999999999</v>
      </c>
      <c r="AC63" s="1">
        <v>5.1000000000000004E-3</v>
      </c>
      <c r="AD63" s="1">
        <v>0.96921000000000002</v>
      </c>
      <c r="AE63" s="1">
        <v>4.3159260000000002</v>
      </c>
      <c r="AF63" s="1">
        <v>9.4998799999999994E-2</v>
      </c>
      <c r="AG63" s="1">
        <v>9.3210000000000001E-2</v>
      </c>
      <c r="AH63" s="1">
        <v>5.9999999999999995E-4</v>
      </c>
      <c r="AI63" s="1">
        <v>-0.12091</v>
      </c>
      <c r="AJ63" s="1">
        <v>7.6200000000000004E-2</v>
      </c>
      <c r="AK63" s="1">
        <v>2.3E-3</v>
      </c>
      <c r="AL63" s="1">
        <v>6.52</v>
      </c>
      <c r="AM63" s="1">
        <v>6.7000000000000004E-2</v>
      </c>
      <c r="AN63" s="1">
        <v>1402</v>
      </c>
      <c r="AO63" s="1">
        <v>17</v>
      </c>
      <c r="AP63" s="1">
        <v>1343</v>
      </c>
      <c r="AQ63" s="1">
        <v>27</v>
      </c>
      <c r="AR63" s="1">
        <v>1485</v>
      </c>
      <c r="AS63" s="1">
        <v>43</v>
      </c>
      <c r="AT63" s="1">
        <v>1492</v>
      </c>
      <c r="AU63" s="1">
        <v>12</v>
      </c>
      <c r="AV63" s="1">
        <v>34.700000000000003</v>
      </c>
      <c r="AW63" s="1">
        <v>1.2</v>
      </c>
      <c r="AX63" s="1">
        <v>6.39</v>
      </c>
      <c r="AY63" s="1">
        <v>0.19</v>
      </c>
      <c r="AZ63" s="1">
        <v>39557.699999999997</v>
      </c>
      <c r="BA63" s="1">
        <v>1366.1999999999998</v>
      </c>
      <c r="BB63" s="1">
        <v>29311.199999999997</v>
      </c>
      <c r="BC63" s="1">
        <v>807.3</v>
      </c>
      <c r="BD63" s="1">
        <v>314226.00000000006</v>
      </c>
      <c r="BE63" s="1">
        <v>8072.9999999999982</v>
      </c>
      <c r="BF63" s="1">
        <v>26.082000000000001</v>
      </c>
      <c r="BG63" s="1">
        <v>6.2099999999999991</v>
      </c>
      <c r="BH63" s="1">
        <f t="shared" si="22"/>
        <v>12047.61904761905</v>
      </c>
      <c r="BI63" s="1">
        <f t="shared" si="23"/>
        <v>2885.1320007819618</v>
      </c>
    </row>
    <row r="64" spans="1:61" x14ac:dyDescent="0.2">
      <c r="A64" t="s">
        <v>200</v>
      </c>
      <c r="B64" t="s">
        <v>38</v>
      </c>
      <c r="C64" t="s">
        <v>201</v>
      </c>
      <c r="D64" t="s">
        <v>202</v>
      </c>
      <c r="E64">
        <v>82471</v>
      </c>
      <c r="F64">
        <v>40028</v>
      </c>
      <c r="G64" t="s">
        <v>202</v>
      </c>
      <c r="H64" s="1">
        <v>257.60000000000002</v>
      </c>
      <c r="I64" s="1">
        <v>211.7</v>
      </c>
      <c r="J64" s="10">
        <v>12.08</v>
      </c>
      <c r="K64" s="10">
        <f t="shared" ca="1" si="16"/>
        <v>0.33357242092235384</v>
      </c>
      <c r="L64" s="7">
        <v>0.48299999999999998</v>
      </c>
      <c r="M64" s="7">
        <f t="shared" ca="1" si="17"/>
        <v>1.2353363914335235E-2</v>
      </c>
      <c r="N64" s="7">
        <v>0.97875000000000001</v>
      </c>
      <c r="O64" s="8">
        <v>2.0703930000000001</v>
      </c>
      <c r="P64" s="8">
        <f t="shared" ca="1" si="18"/>
        <v>5.2953042680213384E-2</v>
      </c>
      <c r="Q64" s="9">
        <v>0.18071000000000001</v>
      </c>
      <c r="R64" s="9">
        <f t="shared" ca="1" si="19"/>
        <v>3.6408847331383621E-3</v>
      </c>
      <c r="S64" s="8">
        <f t="shared" si="20"/>
        <v>0.34648762849900167</v>
      </c>
      <c r="T64" s="11">
        <v>0.1193</v>
      </c>
      <c r="U64" s="11">
        <f t="shared" ca="1" si="21"/>
        <v>3.6787220607161939E-3</v>
      </c>
      <c r="V64" s="6" t="e">
        <f ca="1">IF(agePb6U8(1/O64)&lt;1400,age7corr(1/O64,Q64,$W$2),agePb76(Q64))</f>
        <v>#NAME?</v>
      </c>
      <c r="W64" s="6" t="e">
        <f ca="1">IF(agePb6U8(1/O64)&lt;1400,ageer7corr(V64,1/O64,P64/O64*(1/O64),Q64,R64,$W$2,0.05),ageerPb76(Q64,R64))</f>
        <v>#NAME?</v>
      </c>
      <c r="X64" s="4" t="e">
        <f ca="1">agePb6U8(L64)/agePb7u5(J64)</f>
        <v>#NAME?</v>
      </c>
      <c r="Z64" s="1">
        <v>12.08</v>
      </c>
      <c r="AA64" s="1">
        <v>0.23</v>
      </c>
      <c r="AB64" s="1">
        <v>0.48299999999999998</v>
      </c>
      <c r="AC64" s="1">
        <v>7.7000000000000002E-3</v>
      </c>
      <c r="AD64" s="1">
        <v>0.97875000000000001</v>
      </c>
      <c r="AE64" s="1">
        <v>2.0703930000000001</v>
      </c>
      <c r="AF64" s="1">
        <v>3.3006269999999997E-2</v>
      </c>
      <c r="AG64" s="1">
        <v>0.18071000000000001</v>
      </c>
      <c r="AH64" s="1">
        <v>4.4000000000000002E-4</v>
      </c>
      <c r="AI64" s="1">
        <v>-0.43356</v>
      </c>
      <c r="AJ64" s="1">
        <v>0.1193</v>
      </c>
      <c r="AK64" s="1">
        <v>2.8E-3</v>
      </c>
      <c r="AL64" s="1">
        <v>5.3150000000000004</v>
      </c>
      <c r="AM64" s="1">
        <v>1.2E-2</v>
      </c>
      <c r="AN64" s="1">
        <v>2610</v>
      </c>
      <c r="AO64" s="1">
        <v>18</v>
      </c>
      <c r="AP64" s="1">
        <v>2540</v>
      </c>
      <c r="AQ64" s="1">
        <v>34</v>
      </c>
      <c r="AR64" s="1">
        <v>2278</v>
      </c>
      <c r="AS64" s="1">
        <v>51</v>
      </c>
      <c r="AT64" s="1">
        <v>2659.4</v>
      </c>
      <c r="AU64" s="1">
        <v>4</v>
      </c>
      <c r="AV64" s="1">
        <v>56.7</v>
      </c>
      <c r="AW64" s="1">
        <v>1</v>
      </c>
      <c r="AX64" s="1">
        <v>16.79</v>
      </c>
      <c r="AY64" s="1">
        <v>0.17</v>
      </c>
      <c r="AZ64" s="1">
        <v>162764.1</v>
      </c>
      <c r="BA64" s="1">
        <v>1863.0000000000002</v>
      </c>
      <c r="BB64" s="1">
        <v>192199.5</v>
      </c>
      <c r="BC64" s="1">
        <v>2235.6000000000004</v>
      </c>
      <c r="BD64" s="1">
        <v>1055700</v>
      </c>
      <c r="BE64" s="1">
        <v>11178.000000000002</v>
      </c>
      <c r="BF64" s="1">
        <v>-31.05</v>
      </c>
      <c r="BG64" s="1">
        <v>6.8310000000000004</v>
      </c>
      <c r="BH64" s="1">
        <f t="shared" si="22"/>
        <v>-34000</v>
      </c>
      <c r="BI64" s="1">
        <f t="shared" si="23"/>
        <v>-7488.6580907396219</v>
      </c>
    </row>
    <row r="65" spans="1:61" x14ac:dyDescent="0.2">
      <c r="A65" t="s">
        <v>203</v>
      </c>
      <c r="B65" t="s">
        <v>38</v>
      </c>
      <c r="C65" t="s">
        <v>204</v>
      </c>
      <c r="D65" t="s">
        <v>205</v>
      </c>
      <c r="E65">
        <v>82403</v>
      </c>
      <c r="F65">
        <v>40213</v>
      </c>
      <c r="G65" t="s">
        <v>205</v>
      </c>
      <c r="H65" s="1">
        <v>212.6</v>
      </c>
      <c r="I65" s="1">
        <v>185.3</v>
      </c>
      <c r="J65" s="10">
        <v>2.8959999999999999</v>
      </c>
      <c r="K65" s="10">
        <f t="shared" ca="1" si="16"/>
        <v>7.3346618190615984E-2</v>
      </c>
      <c r="L65" s="7">
        <v>0.23530000000000001</v>
      </c>
      <c r="M65" s="7">
        <f t="shared" ca="1" si="17"/>
        <v>6.0486722509985619E-3</v>
      </c>
      <c r="N65" s="7">
        <v>0.97816999999999998</v>
      </c>
      <c r="O65" s="8">
        <v>4.2498940000000003</v>
      </c>
      <c r="P65" s="8">
        <f t="shared" ca="1" si="18"/>
        <v>0.10924868497725408</v>
      </c>
      <c r="Q65" s="9">
        <v>8.9090000000000003E-2</v>
      </c>
      <c r="R65" s="9">
        <f t="shared" ca="1" si="19"/>
        <v>1.8068788669969001E-3</v>
      </c>
      <c r="S65" s="8">
        <f t="shared" si="20"/>
        <v>0.51022545648643136</v>
      </c>
      <c r="T65" s="11">
        <v>6.2300000000000001E-2</v>
      </c>
      <c r="U65" s="11">
        <f t="shared" ca="1" si="21"/>
        <v>1.729889013780942E-3</v>
      </c>
      <c r="V65" s="6" t="e">
        <f ca="1">IF(agePb6U8(1/O65)&lt;1400,age7corr(1/O65,Q65,$W$2),agePb76(Q65))</f>
        <v>#NAME?</v>
      </c>
      <c r="W65" s="6" t="e">
        <f ca="1">IF(agePb6U8(1/O65)&lt;1400,ageer7corr(V65,1/O65,P65/O65*(1/O65),Q65,R65,$W$2,0.05),ageerPb76(Q65,R65))</f>
        <v>#NAME?</v>
      </c>
      <c r="X65" s="4" t="e">
        <f ca="1">agePb6U8(L65)/agePb7u5(J65)</f>
        <v>#NAME?</v>
      </c>
      <c r="Z65" s="1">
        <v>2.8959999999999999</v>
      </c>
      <c r="AA65" s="1">
        <v>4.4999999999999998E-2</v>
      </c>
      <c r="AB65" s="1">
        <v>0.23530000000000001</v>
      </c>
      <c r="AC65" s="1">
        <v>3.8E-3</v>
      </c>
      <c r="AD65" s="1">
        <v>0.97816999999999998</v>
      </c>
      <c r="AE65" s="1">
        <v>4.2498940000000003</v>
      </c>
      <c r="AF65" s="1">
        <v>6.8634070000000005E-2</v>
      </c>
      <c r="AG65" s="1">
        <v>8.9090000000000003E-2</v>
      </c>
      <c r="AH65" s="1">
        <v>2.9999999999999997E-4</v>
      </c>
      <c r="AI65" s="1">
        <v>6.9080000000000003E-2</v>
      </c>
      <c r="AJ65" s="1">
        <v>6.2300000000000001E-2</v>
      </c>
      <c r="AK65" s="1">
        <v>1.1999999999999999E-3</v>
      </c>
      <c r="AL65" s="1">
        <v>4.6950000000000003</v>
      </c>
      <c r="AM65" s="1">
        <v>1.6E-2</v>
      </c>
      <c r="AN65" s="1">
        <v>1380</v>
      </c>
      <c r="AO65" s="1">
        <v>12</v>
      </c>
      <c r="AP65" s="1">
        <v>1362</v>
      </c>
      <c r="AQ65" s="1">
        <v>20</v>
      </c>
      <c r="AR65" s="1">
        <v>1221</v>
      </c>
      <c r="AS65" s="1">
        <v>22</v>
      </c>
      <c r="AT65" s="1">
        <v>1406</v>
      </c>
      <c r="AU65" s="1">
        <v>6.6</v>
      </c>
      <c r="AV65" s="1">
        <v>46.769999999999996</v>
      </c>
      <c r="AW65" s="1">
        <v>0.67</v>
      </c>
      <c r="AX65" s="1">
        <v>14.7</v>
      </c>
      <c r="AY65" s="1">
        <v>0.32</v>
      </c>
      <c r="AZ65" s="1">
        <v>75327.3</v>
      </c>
      <c r="BA65" s="1">
        <v>1242</v>
      </c>
      <c r="BB65" s="1">
        <v>38315.699999999997</v>
      </c>
      <c r="BC65" s="1">
        <v>745.2</v>
      </c>
      <c r="BD65" s="1">
        <v>432216</v>
      </c>
      <c r="BE65" s="1">
        <v>7452.0000000000009</v>
      </c>
      <c r="BF65" s="1">
        <v>-31.05</v>
      </c>
      <c r="BG65" s="1">
        <v>6.2099999999999991</v>
      </c>
      <c r="BH65" s="1">
        <f t="shared" si="22"/>
        <v>-13920</v>
      </c>
      <c r="BI65" s="1">
        <f t="shared" si="23"/>
        <v>-2794.3256789429533</v>
      </c>
    </row>
    <row r="66" spans="1:61" x14ac:dyDescent="0.2">
      <c r="A66" t="s">
        <v>206</v>
      </c>
      <c r="B66" t="s">
        <v>38</v>
      </c>
      <c r="C66" t="s">
        <v>207</v>
      </c>
      <c r="D66" t="s">
        <v>208</v>
      </c>
      <c r="E66">
        <v>82441</v>
      </c>
      <c r="F66">
        <v>40386</v>
      </c>
      <c r="G66" t="s">
        <v>208</v>
      </c>
      <c r="H66" s="1">
        <v>91.1</v>
      </c>
      <c r="I66" s="1">
        <v>57.2</v>
      </c>
      <c r="J66" s="10">
        <v>3.1379999999999999</v>
      </c>
      <c r="K66" s="10">
        <f t="shared" ca="1" si="16"/>
        <v>8.4780997870985225E-2</v>
      </c>
      <c r="L66" s="7">
        <v>0.248</v>
      </c>
      <c r="M66" s="7">
        <f t="shared" ca="1" si="17"/>
        <v>6.3719384805567608E-3</v>
      </c>
      <c r="N66" s="7">
        <v>0.92945</v>
      </c>
      <c r="O66" s="8">
        <v>4.0322579999999997</v>
      </c>
      <c r="P66" s="8">
        <f t="shared" ca="1" si="18"/>
        <v>0.10360201618618239</v>
      </c>
      <c r="Q66" s="9">
        <v>9.1310000000000002E-2</v>
      </c>
      <c r="R66" s="9">
        <f t="shared" ca="1" si="19"/>
        <v>1.8857111231575213E-3</v>
      </c>
      <c r="S66" s="8">
        <f t="shared" si="20"/>
        <v>0.49048257792952482</v>
      </c>
      <c r="T66" s="11">
        <v>6.5000000000000002E-2</v>
      </c>
      <c r="U66" s="11">
        <f t="shared" ca="1" si="21"/>
        <v>1.7691806012954132E-3</v>
      </c>
      <c r="V66" s="6" t="e">
        <f ca="1">IF(agePb6U8(1/O66)&lt;1400,age7corr(1/O66,Q66,$W$2),agePb76(Q66))</f>
        <v>#NAME?</v>
      </c>
      <c r="W66" s="6" t="e">
        <f ca="1">IF(agePb6U8(1/O66)&lt;1400,ageer7corr(V66,1/O66,P66/O66*(1/O66),Q66,R66,$W$2,0.05),ageerPb76(Q66,R66))</f>
        <v>#NAME?</v>
      </c>
      <c r="X66" s="4" t="e">
        <f ca="1">agePb6U8(L66)/agePb7u5(J66)</f>
        <v>#NAME?</v>
      </c>
      <c r="Z66" s="1">
        <v>3.1379999999999999</v>
      </c>
      <c r="AA66" s="1">
        <v>5.7000000000000002E-2</v>
      </c>
      <c r="AB66" s="1">
        <v>0.248</v>
      </c>
      <c r="AC66" s="1">
        <v>4.0000000000000001E-3</v>
      </c>
      <c r="AD66" s="1">
        <v>0.92945</v>
      </c>
      <c r="AE66" s="1">
        <v>4.0322579999999997</v>
      </c>
      <c r="AF66" s="1">
        <v>6.5036419999999998E-2</v>
      </c>
      <c r="AG66" s="1">
        <v>9.1310000000000002E-2</v>
      </c>
      <c r="AH66" s="1">
        <v>4.6999999999999999E-4</v>
      </c>
      <c r="AI66" s="1">
        <v>-4.2321999999999999E-2</v>
      </c>
      <c r="AJ66" s="1">
        <v>6.5000000000000002E-2</v>
      </c>
      <c r="AK66" s="1">
        <v>1.1999999999999999E-3</v>
      </c>
      <c r="AL66" s="1">
        <v>6.5810000000000004</v>
      </c>
      <c r="AM66" s="1">
        <v>2.4E-2</v>
      </c>
      <c r="AN66" s="1">
        <v>1442</v>
      </c>
      <c r="AO66" s="1">
        <v>14</v>
      </c>
      <c r="AP66" s="1">
        <v>1428</v>
      </c>
      <c r="AQ66" s="1">
        <v>21</v>
      </c>
      <c r="AR66" s="1">
        <v>1273</v>
      </c>
      <c r="AS66" s="1">
        <v>23</v>
      </c>
      <c r="AT66" s="1">
        <v>1452.9</v>
      </c>
      <c r="AU66" s="1">
        <v>9.8000000000000007</v>
      </c>
      <c r="AV66" s="1">
        <v>20.029999999999998</v>
      </c>
      <c r="AW66" s="1">
        <v>0.23</v>
      </c>
      <c r="AX66" s="1">
        <v>4.5360000000000005</v>
      </c>
      <c r="AY66" s="1">
        <v>6.4000000000000001E-2</v>
      </c>
      <c r="AZ66" s="1">
        <v>23858.820000000003</v>
      </c>
      <c r="BA66" s="1">
        <v>353.96999999999997</v>
      </c>
      <c r="BB66" s="1">
        <v>17630.190000000002</v>
      </c>
      <c r="BC66" s="1">
        <v>298.08</v>
      </c>
      <c r="BD66" s="1">
        <v>191764.80000000002</v>
      </c>
      <c r="BE66" s="1">
        <v>2670.3</v>
      </c>
      <c r="BF66" s="1">
        <v>6.0858000000000008</v>
      </c>
      <c r="BG66" s="1">
        <v>5.0922000000000001</v>
      </c>
      <c r="BH66" s="1">
        <f t="shared" si="22"/>
        <v>31510.204081632652</v>
      </c>
      <c r="BI66" s="1">
        <f t="shared" si="23"/>
        <v>26369.331746617572</v>
      </c>
    </row>
    <row r="67" spans="1:61" x14ac:dyDescent="0.2">
      <c r="A67" t="s">
        <v>143</v>
      </c>
      <c r="B67" t="s">
        <v>38</v>
      </c>
      <c r="C67" t="s">
        <v>144</v>
      </c>
      <c r="D67" t="s">
        <v>145</v>
      </c>
      <c r="E67">
        <v>82760</v>
      </c>
      <c r="F67">
        <v>40200</v>
      </c>
      <c r="G67" t="s">
        <v>145</v>
      </c>
      <c r="H67" s="1">
        <v>105</v>
      </c>
      <c r="I67" s="1">
        <v>36.1</v>
      </c>
      <c r="J67" s="10">
        <v>2.1259999999999999</v>
      </c>
      <c r="K67" s="10">
        <f t="shared" ca="1" si="16"/>
        <v>5.9067337844192706E-2</v>
      </c>
      <c r="L67" s="7">
        <v>0.19339999999999999</v>
      </c>
      <c r="M67" s="7">
        <f t="shared" ca="1" si="17"/>
        <v>5.2164570351916056E-3</v>
      </c>
      <c r="N67" s="7">
        <v>0.98446</v>
      </c>
      <c r="O67" s="8">
        <v>5.1706310000000002</v>
      </c>
      <c r="P67" s="8">
        <f t="shared" ca="1" si="18"/>
        <v>0.13946418790608867</v>
      </c>
      <c r="Q67" s="9">
        <v>7.9509999999999997E-2</v>
      </c>
      <c r="R67" s="9">
        <f t="shared" ca="1" si="19"/>
        <v>1.6220776923439888E-3</v>
      </c>
      <c r="S67" s="8">
        <f t="shared" si="20"/>
        <v>0.47030284285171675</v>
      </c>
      <c r="T67" s="11">
        <v>5.1900000000000002E-2</v>
      </c>
      <c r="U67" s="11">
        <f t="shared" ca="1" si="21"/>
        <v>1.8241282849624366E-3</v>
      </c>
      <c r="V67" s="6" t="e">
        <f ca="1">IF(agePb6U8(1/O67)&lt;1400,age7corr(1/O67,Q67,$W$2),agePb76(Q67))</f>
        <v>#NAME?</v>
      </c>
      <c r="W67" s="6" t="e">
        <f ca="1">IF(agePb6U8(1/O67)&lt;1400,ageer7corr(V67,1/O67,P67/O67*(1/O67),Q67,R67,$W$2,0.05),ageerPb76(Q67,R67))</f>
        <v>#NAME?</v>
      </c>
      <c r="X67" s="4" t="e">
        <f ca="1">agePb6U8(L67)/agePb7u5(J67)</f>
        <v>#NAME?</v>
      </c>
      <c r="Z67" s="1">
        <v>2.1259999999999999</v>
      </c>
      <c r="AA67" s="1">
        <v>4.1000000000000002E-2</v>
      </c>
      <c r="AB67" s="1">
        <v>0.19339999999999999</v>
      </c>
      <c r="AC67" s="1">
        <v>3.5000000000000001E-3</v>
      </c>
      <c r="AD67" s="1">
        <v>0.98446</v>
      </c>
      <c r="AE67" s="1">
        <v>5.1706310000000002</v>
      </c>
      <c r="AF67" s="1">
        <v>9.3573980000000001E-2</v>
      </c>
      <c r="AG67" s="1">
        <v>7.9509999999999997E-2</v>
      </c>
      <c r="AH67" s="1">
        <v>3.2000000000000003E-4</v>
      </c>
      <c r="AI67" s="1">
        <v>-9.9561999999999998E-2</v>
      </c>
      <c r="AJ67" s="1">
        <v>5.1900000000000002E-2</v>
      </c>
      <c r="AK67" s="1">
        <v>1.5E-3</v>
      </c>
      <c r="AL67" s="1">
        <v>11.87</v>
      </c>
      <c r="AM67" s="1">
        <v>0.64</v>
      </c>
      <c r="AN67" s="1">
        <v>1157</v>
      </c>
      <c r="AO67" s="1">
        <v>13</v>
      </c>
      <c r="AP67" s="1">
        <v>1140</v>
      </c>
      <c r="AQ67" s="1">
        <v>19</v>
      </c>
      <c r="AR67" s="1">
        <v>1023</v>
      </c>
      <c r="AS67" s="1">
        <v>28</v>
      </c>
      <c r="AT67" s="1">
        <v>1184.7</v>
      </c>
      <c r="AU67" s="1">
        <v>8</v>
      </c>
      <c r="AV67" s="1">
        <v>23.099999999999998</v>
      </c>
      <c r="AW67" s="1">
        <v>2.4</v>
      </c>
      <c r="AX67" s="1">
        <v>2.8600000000000003</v>
      </c>
      <c r="AY67" s="1">
        <v>0.22</v>
      </c>
      <c r="AZ67" s="1">
        <v>12295.8</v>
      </c>
      <c r="BA67" s="1">
        <v>1055.7</v>
      </c>
      <c r="BB67" s="1">
        <v>14158.800000000001</v>
      </c>
      <c r="BC67" s="1">
        <v>1366.1999999999998</v>
      </c>
      <c r="BD67" s="1">
        <v>177606.00000000003</v>
      </c>
      <c r="BE67" s="1">
        <v>16767</v>
      </c>
      <c r="BF67" s="1">
        <v>5.1543000000000001</v>
      </c>
      <c r="BG67" s="1">
        <v>5.2164000000000001</v>
      </c>
      <c r="BH67" s="1">
        <f t="shared" si="22"/>
        <v>34457.831325301209</v>
      </c>
      <c r="BI67" s="1">
        <f t="shared" si="23"/>
        <v>35024.380570297712</v>
      </c>
    </row>
    <row r="68" spans="1:61" x14ac:dyDescent="0.2">
      <c r="A68" t="s">
        <v>209</v>
      </c>
      <c r="B68" t="s">
        <v>38</v>
      </c>
      <c r="C68" t="s">
        <v>210</v>
      </c>
      <c r="D68" t="s">
        <v>211</v>
      </c>
      <c r="E68">
        <v>82517</v>
      </c>
      <c r="F68">
        <v>40539</v>
      </c>
      <c r="G68" t="s">
        <v>211</v>
      </c>
      <c r="H68" s="1">
        <v>115.6</v>
      </c>
      <c r="I68" s="1">
        <v>89.9</v>
      </c>
      <c r="J68" s="10">
        <v>1.964</v>
      </c>
      <c r="K68" s="10">
        <f t="shared" ca="1" si="16"/>
        <v>6.2800624200719538E-2</v>
      </c>
      <c r="L68" s="7">
        <v>0.18509999999999999</v>
      </c>
      <c r="M68" s="7">
        <f t="shared" ca="1" si="17"/>
        <v>5.8270750810333651E-3</v>
      </c>
      <c r="N68" s="7">
        <v>0.97745000000000004</v>
      </c>
      <c r="O68" s="8">
        <v>5.4024850000000004</v>
      </c>
      <c r="P68" s="8">
        <f t="shared" ca="1" si="18"/>
        <v>0.17007393514213162</v>
      </c>
      <c r="Q68" s="9">
        <v>7.6740000000000003E-2</v>
      </c>
      <c r="R68" s="9">
        <f t="shared" ca="1" si="19"/>
        <v>1.5835753976366266E-3</v>
      </c>
      <c r="S68" s="8">
        <f t="shared" si="20"/>
        <v>0.39803561985532915</v>
      </c>
      <c r="T68" s="11">
        <v>5.1999999999999998E-2</v>
      </c>
      <c r="U68" s="11">
        <f t="shared" ca="1" si="21"/>
        <v>1.7440183485273313E-3</v>
      </c>
      <c r="V68" s="6" t="e">
        <f ca="1">IF(agePb6U8(1/O68)&lt;1400,age7corr(1/O68,Q68,$W$2),agePb76(Q68))</f>
        <v>#NAME?</v>
      </c>
      <c r="W68" s="6" t="e">
        <f ca="1">IF(agePb6U8(1/O68)&lt;1400,ageer7corr(V68,1/O68,P68/O68*(1/O68),Q68,R68,$W$2,0.05),ageerPb76(Q68,R68))</f>
        <v>#NAME?</v>
      </c>
      <c r="X68" s="4" t="e">
        <f ca="1">agePb6U8(L68)/agePb7u5(J68)</f>
        <v>#NAME?</v>
      </c>
      <c r="Z68" s="1">
        <v>1.964</v>
      </c>
      <c r="AA68" s="1">
        <v>4.9000000000000002E-2</v>
      </c>
      <c r="AB68" s="1">
        <v>0.18509999999999999</v>
      </c>
      <c r="AC68" s="1">
        <v>4.4999999999999997E-3</v>
      </c>
      <c r="AD68" s="1">
        <v>0.97745000000000004</v>
      </c>
      <c r="AE68" s="1">
        <v>5.4024850000000004</v>
      </c>
      <c r="AF68" s="1">
        <v>0.13134080000000001</v>
      </c>
      <c r="AG68" s="1">
        <v>7.6740000000000003E-2</v>
      </c>
      <c r="AH68" s="1">
        <v>3.8999999999999999E-4</v>
      </c>
      <c r="AI68" s="1">
        <v>-3.2992E-2</v>
      </c>
      <c r="AJ68" s="1">
        <v>5.1999999999999998E-2</v>
      </c>
      <c r="AK68" s="1">
        <v>1.4E-3</v>
      </c>
      <c r="AL68" s="1">
        <v>4.9450000000000003</v>
      </c>
      <c r="AM68" s="1">
        <v>2.4E-2</v>
      </c>
      <c r="AN68" s="1">
        <v>1103</v>
      </c>
      <c r="AO68" s="1">
        <v>17</v>
      </c>
      <c r="AP68" s="1">
        <v>1095</v>
      </c>
      <c r="AQ68" s="1">
        <v>24</v>
      </c>
      <c r="AR68" s="1">
        <v>1025</v>
      </c>
      <c r="AS68" s="1">
        <v>26</v>
      </c>
      <c r="AT68" s="1">
        <v>1114</v>
      </c>
      <c r="AU68" s="1">
        <v>10</v>
      </c>
      <c r="AV68" s="1">
        <v>25.43</v>
      </c>
      <c r="AW68" s="1">
        <v>0.78</v>
      </c>
      <c r="AX68" s="1">
        <v>7.13</v>
      </c>
      <c r="AY68" s="1">
        <v>0.15</v>
      </c>
      <c r="AZ68" s="1">
        <v>30180.6</v>
      </c>
      <c r="BA68" s="1">
        <v>745.2</v>
      </c>
      <c r="BB68" s="1">
        <v>14028.39</v>
      </c>
      <c r="BC68" s="1">
        <v>310.5</v>
      </c>
      <c r="BD68" s="1">
        <v>182698.2</v>
      </c>
      <c r="BE68" s="1">
        <v>3912.3</v>
      </c>
      <c r="BF68" s="1">
        <v>-0.74519999999999997</v>
      </c>
      <c r="BG68" s="1">
        <v>5.0301</v>
      </c>
      <c r="BH68" s="1">
        <f t="shared" si="22"/>
        <v>-245166.66666666669</v>
      </c>
      <c r="BI68" s="1">
        <f t="shared" si="23"/>
        <v>-1654883.3276472997</v>
      </c>
    </row>
    <row r="69" spans="1:61" x14ac:dyDescent="0.2">
      <c r="A69" t="s">
        <v>212</v>
      </c>
      <c r="B69" t="s">
        <v>38</v>
      </c>
      <c r="C69" t="s">
        <v>213</v>
      </c>
      <c r="D69" t="s">
        <v>214</v>
      </c>
      <c r="E69">
        <v>82500</v>
      </c>
      <c r="F69">
        <v>40668</v>
      </c>
      <c r="G69" t="s">
        <v>214</v>
      </c>
      <c r="H69" s="1">
        <v>28.26</v>
      </c>
      <c r="I69" s="1">
        <v>23.58</v>
      </c>
      <c r="J69" s="10">
        <v>1.8580000000000001</v>
      </c>
      <c r="K69" s="10">
        <f t="shared" ca="1" si="16"/>
        <v>5.7592235587794298E-2</v>
      </c>
      <c r="L69" s="7">
        <v>0.17430000000000001</v>
      </c>
      <c r="M69" s="7">
        <f t="shared" ca="1" si="17"/>
        <v>4.5991516609044329E-3</v>
      </c>
      <c r="N69" s="7">
        <v>0.81723999999999997</v>
      </c>
      <c r="O69" s="8">
        <v>5.7372350000000001</v>
      </c>
      <c r="P69" s="8">
        <f t="shared" ca="1" si="18"/>
        <v>0.1513850413150071</v>
      </c>
      <c r="Q69" s="9">
        <v>7.6799999999999993E-2</v>
      </c>
      <c r="R69" s="9">
        <f t="shared" ca="1" si="19"/>
        <v>1.8166441588819751E-3</v>
      </c>
      <c r="S69" s="8">
        <f t="shared" si="20"/>
        <v>0.26820149539870664</v>
      </c>
      <c r="T69" s="11">
        <v>5.11E-2</v>
      </c>
      <c r="U69" s="11">
        <f t="shared" ca="1" si="21"/>
        <v>1.6536275275889671E-3</v>
      </c>
      <c r="V69" s="6" t="e">
        <f ca="1">IF(agePb6U8(1/O69)&lt;1400,age7corr(1/O69,Q69,$W$2),agePb76(Q69))</f>
        <v>#NAME?</v>
      </c>
      <c r="W69" s="6" t="e">
        <f ca="1">IF(agePb6U8(1/O69)&lt;1400,ageer7corr(V69,1/O69,P69/O69*(1/O69),Q69,R69,$W$2,0.05),ageerPb76(Q69,R69))</f>
        <v>#NAME?</v>
      </c>
      <c r="X69" s="4" t="e">
        <f ca="1">agePb6U8(L69)/agePb7u5(J69)</f>
        <v>#NAME?</v>
      </c>
      <c r="Z69" s="1">
        <v>1.8580000000000001</v>
      </c>
      <c r="AA69" s="1">
        <v>4.3999999999999997E-2</v>
      </c>
      <c r="AB69" s="1">
        <v>0.17430000000000001</v>
      </c>
      <c r="AC69" s="1">
        <v>3.0000000000000001E-3</v>
      </c>
      <c r="AD69" s="1">
        <v>0.81723999999999997</v>
      </c>
      <c r="AE69" s="1">
        <v>5.7372350000000001</v>
      </c>
      <c r="AF69" s="1">
        <v>9.8747580000000001E-2</v>
      </c>
      <c r="AG69" s="1">
        <v>7.6799999999999993E-2</v>
      </c>
      <c r="AH69" s="1">
        <v>9.7000000000000005E-4</v>
      </c>
      <c r="AI69" s="1">
        <v>-3.3329999999999999E-2</v>
      </c>
      <c r="AJ69" s="1">
        <v>5.11E-2</v>
      </c>
      <c r="AK69" s="1">
        <v>1.2999999999999999E-3</v>
      </c>
      <c r="AL69" s="1">
        <v>4.4610000000000003</v>
      </c>
      <c r="AM69" s="1">
        <v>3.4000000000000002E-2</v>
      </c>
      <c r="AN69" s="1">
        <v>1069</v>
      </c>
      <c r="AO69" s="1">
        <v>17</v>
      </c>
      <c r="AP69" s="1">
        <v>1036</v>
      </c>
      <c r="AQ69" s="1">
        <v>16</v>
      </c>
      <c r="AR69" s="1">
        <v>1007</v>
      </c>
      <c r="AS69" s="1">
        <v>25</v>
      </c>
      <c r="AT69" s="1">
        <v>1115</v>
      </c>
      <c r="AU69" s="1">
        <v>25</v>
      </c>
      <c r="AV69" s="1">
        <v>6.21</v>
      </c>
      <c r="AW69" s="1">
        <v>0.11</v>
      </c>
      <c r="AX69" s="1">
        <v>1.8699999999999999</v>
      </c>
      <c r="AY69" s="1">
        <v>3.0000000000000002E-2</v>
      </c>
      <c r="AZ69" s="1">
        <v>7781.130000000001</v>
      </c>
      <c r="BA69" s="1">
        <v>124.2</v>
      </c>
      <c r="BB69" s="1">
        <v>3253.4189999999999</v>
      </c>
      <c r="BC69" s="1">
        <v>57.132000000000005</v>
      </c>
      <c r="BD69" s="1">
        <v>42457.77</v>
      </c>
      <c r="BE69" s="1">
        <v>453.33</v>
      </c>
      <c r="BF69" s="1">
        <v>10.556999999999999</v>
      </c>
      <c r="BG69" s="1">
        <v>8.6940000000000008</v>
      </c>
      <c r="BH69" s="1">
        <f t="shared" si="22"/>
        <v>4021.7647058823532</v>
      </c>
      <c r="BI69" s="1">
        <f t="shared" si="23"/>
        <v>3312.3198805887546</v>
      </c>
    </row>
    <row r="70" spans="1:61" x14ac:dyDescent="0.2">
      <c r="A70" t="s">
        <v>215</v>
      </c>
      <c r="B70" t="s">
        <v>38</v>
      </c>
      <c r="C70" t="s">
        <v>216</v>
      </c>
      <c r="D70" t="s">
        <v>217</v>
      </c>
      <c r="E70">
        <v>82487</v>
      </c>
      <c r="F70">
        <v>40933</v>
      </c>
      <c r="G70" t="s">
        <v>217</v>
      </c>
      <c r="H70" s="1">
        <v>153.6</v>
      </c>
      <c r="I70" s="1">
        <v>63.22</v>
      </c>
      <c r="J70" s="10">
        <v>6.27</v>
      </c>
      <c r="K70" s="10">
        <f t="shared" ca="1" si="16"/>
        <v>0.16680875276795279</v>
      </c>
      <c r="L70" s="7">
        <v>0.35239999999999999</v>
      </c>
      <c r="M70" s="7">
        <f t="shared" ca="1" si="17"/>
        <v>9.7935848390668465E-3</v>
      </c>
      <c r="N70" s="7">
        <v>0.98348999999999998</v>
      </c>
      <c r="O70" s="8">
        <v>2.8376839999999999</v>
      </c>
      <c r="P70" s="8">
        <f t="shared" ca="1" si="18"/>
        <v>7.8862375047704464E-2</v>
      </c>
      <c r="Q70" s="9">
        <v>0.12906999999999999</v>
      </c>
      <c r="R70" s="9">
        <f t="shared" ca="1" si="19"/>
        <v>2.6024077236282556E-3</v>
      </c>
      <c r="S70" s="8">
        <f t="shared" si="20"/>
        <v>0.50255205638958844</v>
      </c>
      <c r="T70" s="11">
        <v>9.7500000000000003E-2</v>
      </c>
      <c r="U70" s="11">
        <f t="shared" ca="1" si="21"/>
        <v>2.9398129192178203E-3</v>
      </c>
      <c r="V70" s="6" t="e">
        <f ca="1">IF(agePb6U8(1/O70)&lt;1400,age7corr(1/O70,Q70,$W$2),agePb76(Q70))</f>
        <v>#NAME?</v>
      </c>
      <c r="W70" s="6" t="e">
        <f ca="1">IF(agePb6U8(1/O70)&lt;1400,ageer7corr(V70,1/O70,P70/O70*(1/O70),Q70,R70,$W$2,0.05),ageerPb76(Q70,R70))</f>
        <v>#NAME?</v>
      </c>
      <c r="X70" s="4" t="e">
        <f ca="1">agePb6U8(L70)/agePb7u5(J70)</f>
        <v>#NAME?</v>
      </c>
      <c r="Z70" s="1">
        <v>6.27</v>
      </c>
      <c r="AA70" s="1">
        <v>0.11</v>
      </c>
      <c r="AB70" s="1">
        <v>0.35239999999999999</v>
      </c>
      <c r="AC70" s="1">
        <v>6.7999999999999996E-3</v>
      </c>
      <c r="AD70" s="1">
        <v>0.98348999999999998</v>
      </c>
      <c r="AE70" s="1">
        <v>2.8376839999999999</v>
      </c>
      <c r="AF70" s="1">
        <v>5.4756680000000002E-2</v>
      </c>
      <c r="AG70" s="1">
        <v>0.12906999999999999</v>
      </c>
      <c r="AH70" s="1">
        <v>3.3E-4</v>
      </c>
      <c r="AI70" s="1">
        <v>0.12194000000000001</v>
      </c>
      <c r="AJ70" s="1">
        <v>9.7500000000000003E-2</v>
      </c>
      <c r="AK70" s="1">
        <v>2.2000000000000001E-3</v>
      </c>
      <c r="AL70" s="1">
        <v>9.6</v>
      </c>
      <c r="AM70" s="1">
        <v>0.16</v>
      </c>
      <c r="AN70" s="1">
        <v>2014</v>
      </c>
      <c r="AO70" s="1">
        <v>16</v>
      </c>
      <c r="AP70" s="1">
        <v>1946</v>
      </c>
      <c r="AQ70" s="1">
        <v>33</v>
      </c>
      <c r="AR70" s="1">
        <v>1880</v>
      </c>
      <c r="AS70" s="1">
        <v>41</v>
      </c>
      <c r="AT70" s="1">
        <v>2085.3000000000002</v>
      </c>
      <c r="AU70" s="1">
        <v>4.5</v>
      </c>
      <c r="AV70" s="1">
        <v>33.799999999999997</v>
      </c>
      <c r="AW70" s="1">
        <v>1.1000000000000001</v>
      </c>
      <c r="AX70" s="1">
        <v>5.0129999999999999</v>
      </c>
      <c r="AY70" s="1">
        <v>7.5999999999999998E-2</v>
      </c>
      <c r="AZ70" s="1">
        <v>39992.400000000001</v>
      </c>
      <c r="BA70" s="1">
        <v>683.09999999999991</v>
      </c>
      <c r="BB70" s="1">
        <v>60858</v>
      </c>
      <c r="BC70" s="1">
        <v>1552.5</v>
      </c>
      <c r="BD70" s="1">
        <v>468234</v>
      </c>
      <c r="BE70" s="1">
        <v>13662</v>
      </c>
      <c r="BF70" s="1">
        <v>17.7606</v>
      </c>
      <c r="BG70" s="1">
        <v>5.3406000000000002</v>
      </c>
      <c r="BH70" s="1">
        <f t="shared" si="22"/>
        <v>26363.636363636364</v>
      </c>
      <c r="BI70" s="1">
        <f t="shared" si="23"/>
        <v>7964.7599213263093</v>
      </c>
    </row>
    <row r="71" spans="1:61" x14ac:dyDescent="0.2">
      <c r="A71" t="s">
        <v>218</v>
      </c>
      <c r="B71" t="s">
        <v>38</v>
      </c>
      <c r="C71" t="s">
        <v>219</v>
      </c>
      <c r="D71" t="s">
        <v>220</v>
      </c>
      <c r="E71">
        <v>82503</v>
      </c>
      <c r="F71">
        <v>41118</v>
      </c>
      <c r="G71" t="s">
        <v>220</v>
      </c>
      <c r="H71" s="1">
        <v>231.5</v>
      </c>
      <c r="I71" s="1">
        <v>84.3</v>
      </c>
      <c r="J71" s="10">
        <v>1.722</v>
      </c>
      <c r="K71" s="10">
        <f t="shared" ca="1" si="16"/>
        <v>4.1413930023604377E-2</v>
      </c>
      <c r="L71" s="7">
        <v>0.16930000000000001</v>
      </c>
      <c r="M71" s="7">
        <f t="shared" ca="1" si="17"/>
        <v>3.984343860662631E-3</v>
      </c>
      <c r="N71" s="7">
        <v>0.97782999999999998</v>
      </c>
      <c r="O71" s="8">
        <v>5.9066749999999999</v>
      </c>
      <c r="P71" s="8">
        <f t="shared" ca="1" si="18"/>
        <v>0.13900900107248487</v>
      </c>
      <c r="Q71" s="9">
        <v>7.356E-2</v>
      </c>
      <c r="R71" s="9">
        <f t="shared" ca="1" si="19"/>
        <v>1.4995097332128257E-3</v>
      </c>
      <c r="S71" s="8">
        <f t="shared" si="20"/>
        <v>0.42698573329669987</v>
      </c>
      <c r="T71" s="11">
        <v>4.947E-2</v>
      </c>
      <c r="U71" s="11">
        <f t="shared" ca="1" si="21"/>
        <v>1.2119869471244316E-3</v>
      </c>
      <c r="V71" s="6" t="e">
        <f ca="1">IF(agePb6U8(1/O71)&lt;1400,age7corr(1/O71,Q71,$W$2),agePb76(Q71))</f>
        <v>#NAME?</v>
      </c>
      <c r="W71" s="6" t="e">
        <f ca="1">IF(agePb6U8(1/O71)&lt;1400,ageer7corr(V71,1/O71,P71/O71*(1/O71),Q71,R71,$W$2,0.05),ageerPb76(Q71,R71))</f>
        <v>#NAME?</v>
      </c>
      <c r="X71" s="4" t="e">
        <f ca="1">agePb6U8(L71)/agePb7u5(J71)</f>
        <v>#NAME?</v>
      </c>
      <c r="Z71" s="1">
        <v>1.722</v>
      </c>
      <c r="AA71" s="1">
        <v>2.3E-2</v>
      </c>
      <c r="AB71" s="1">
        <v>0.16930000000000001</v>
      </c>
      <c r="AC71" s="1">
        <v>2.0999999999999999E-3</v>
      </c>
      <c r="AD71" s="1">
        <v>0.97782999999999998</v>
      </c>
      <c r="AE71" s="1">
        <v>5.9066749999999999</v>
      </c>
      <c r="AF71" s="1">
        <v>7.3266490000000004E-2</v>
      </c>
      <c r="AG71" s="1">
        <v>7.356E-2</v>
      </c>
      <c r="AH71" s="1">
        <v>2.9E-4</v>
      </c>
      <c r="AI71" s="1">
        <v>-9.8502999999999993E-2</v>
      </c>
      <c r="AJ71" s="1">
        <v>4.947E-2</v>
      </c>
      <c r="AK71" s="1">
        <v>6.9999999999999999E-4</v>
      </c>
      <c r="AL71" s="1">
        <v>10.16</v>
      </c>
      <c r="AM71" s="1">
        <v>0.14000000000000001</v>
      </c>
      <c r="AN71" s="1">
        <v>1016.6</v>
      </c>
      <c r="AO71" s="1">
        <v>8.5</v>
      </c>
      <c r="AP71" s="1">
        <v>1008</v>
      </c>
      <c r="AQ71" s="1">
        <v>11</v>
      </c>
      <c r="AR71" s="1">
        <v>976</v>
      </c>
      <c r="AS71" s="1">
        <v>13</v>
      </c>
      <c r="AT71" s="1">
        <v>1029.3</v>
      </c>
      <c r="AU71" s="1">
        <v>8</v>
      </c>
      <c r="AV71" s="1">
        <v>50.9</v>
      </c>
      <c r="AW71" s="1">
        <v>1.8</v>
      </c>
      <c r="AX71" s="1">
        <v>6.6880000000000006</v>
      </c>
      <c r="AY71" s="1">
        <v>8.3000000000000004E-2</v>
      </c>
      <c r="AZ71" s="1">
        <v>26827.200000000001</v>
      </c>
      <c r="BA71" s="1">
        <v>416.07</v>
      </c>
      <c r="BB71" s="1">
        <v>24467.399999999998</v>
      </c>
      <c r="BC71" s="1">
        <v>621</v>
      </c>
      <c r="BD71" s="1">
        <v>332235</v>
      </c>
      <c r="BE71" s="1">
        <v>8694</v>
      </c>
      <c r="BF71" s="1">
        <v>3.6017999999999999</v>
      </c>
      <c r="BG71" s="1">
        <v>4.968</v>
      </c>
      <c r="BH71" s="1">
        <f t="shared" si="22"/>
        <v>92241.379310344826</v>
      </c>
      <c r="BI71" s="1">
        <f t="shared" si="23"/>
        <v>127252.38384017863</v>
      </c>
    </row>
    <row r="72" spans="1:61" x14ac:dyDescent="0.2">
      <c r="A72" t="s">
        <v>221</v>
      </c>
      <c r="B72" t="s">
        <v>38</v>
      </c>
      <c r="C72" t="s">
        <v>222</v>
      </c>
      <c r="D72" t="s">
        <v>223</v>
      </c>
      <c r="E72">
        <v>82433</v>
      </c>
      <c r="F72">
        <v>41325</v>
      </c>
      <c r="G72" t="s">
        <v>223</v>
      </c>
      <c r="H72" s="1">
        <v>64.64</v>
      </c>
      <c r="I72" s="1">
        <v>57.7</v>
      </c>
      <c r="J72" s="10">
        <v>2.1970000000000001</v>
      </c>
      <c r="K72" s="10">
        <f t="shared" ca="1" si="16"/>
        <v>6.2182984810959338E-2</v>
      </c>
      <c r="L72" s="7">
        <v>0.19939999999999999</v>
      </c>
      <c r="M72" s="7">
        <f t="shared" ca="1" si="17"/>
        <v>5.5085518968237017E-3</v>
      </c>
      <c r="N72" s="7">
        <v>0.94121999999999995</v>
      </c>
      <c r="O72" s="8">
        <v>5.0150449999999998</v>
      </c>
      <c r="P72" s="8">
        <f t="shared" ca="1" si="18"/>
        <v>0.1385438146893119</v>
      </c>
      <c r="Q72" s="9">
        <v>7.9880000000000007E-2</v>
      </c>
      <c r="R72" s="9">
        <f t="shared" ca="1" si="19"/>
        <v>1.6710552833464247E-3</v>
      </c>
      <c r="S72" s="8">
        <f t="shared" si="20"/>
        <v>0.53642330050627107</v>
      </c>
      <c r="T72" s="11">
        <v>5.7000000000000002E-2</v>
      </c>
      <c r="U72" s="11">
        <f t="shared" ca="1" si="21"/>
        <v>1.5841717078650282E-3</v>
      </c>
      <c r="V72" s="6" t="e">
        <f ca="1">IF(agePb6U8(1/O72)&lt;1400,age7corr(1/O72,Q72,$W$2),agePb76(Q72))</f>
        <v>#NAME?</v>
      </c>
      <c r="W72" s="6" t="e">
        <f ca="1">IF(agePb6U8(1/O72)&lt;1400,ageer7corr(V72,1/O72,P72/O72*(1/O72),Q72,R72,$W$2,0.05),ageerPb76(Q72,R72))</f>
        <v>#NAME?</v>
      </c>
      <c r="X72" s="4" t="e">
        <f ca="1">agePb6U8(L72)/agePb7u5(J72)</f>
        <v>#NAME?</v>
      </c>
      <c r="Z72" s="1">
        <v>2.1970000000000001</v>
      </c>
      <c r="AA72" s="1">
        <v>4.3999999999999997E-2</v>
      </c>
      <c r="AB72" s="1">
        <v>0.19939999999999999</v>
      </c>
      <c r="AC72" s="1">
        <v>3.8E-3</v>
      </c>
      <c r="AD72" s="1">
        <v>0.94121999999999995</v>
      </c>
      <c r="AE72" s="1">
        <v>5.0150449999999998</v>
      </c>
      <c r="AF72" s="1">
        <v>9.5572580000000004E-2</v>
      </c>
      <c r="AG72" s="1">
        <v>7.9880000000000007E-2</v>
      </c>
      <c r="AH72" s="1">
        <v>4.8999999999999998E-4</v>
      </c>
      <c r="AI72" s="1">
        <v>4.5906999999999996E-3</v>
      </c>
      <c r="AJ72" s="1">
        <v>5.7000000000000002E-2</v>
      </c>
      <c r="AK72" s="1">
        <v>1.1000000000000001E-3</v>
      </c>
      <c r="AL72" s="1">
        <v>4.274</v>
      </c>
      <c r="AM72" s="1">
        <v>1.7999999999999999E-2</v>
      </c>
      <c r="AN72" s="1">
        <v>1180</v>
      </c>
      <c r="AO72" s="1">
        <v>14</v>
      </c>
      <c r="AP72" s="1">
        <v>1172</v>
      </c>
      <c r="AQ72" s="1">
        <v>21</v>
      </c>
      <c r="AR72" s="1">
        <v>1121</v>
      </c>
      <c r="AS72" s="1">
        <v>20</v>
      </c>
      <c r="AT72" s="1">
        <v>1194</v>
      </c>
      <c r="AU72" s="1">
        <v>12</v>
      </c>
      <c r="AV72" s="1">
        <v>14.21</v>
      </c>
      <c r="AW72" s="1">
        <v>0.16</v>
      </c>
      <c r="AX72" s="1">
        <v>4.5750000000000002</v>
      </c>
      <c r="AY72" s="1">
        <v>7.1000000000000008E-2</v>
      </c>
      <c r="AZ72" s="1">
        <v>21281.670000000002</v>
      </c>
      <c r="BA72" s="1">
        <v>242.19</v>
      </c>
      <c r="BB72" s="1">
        <v>8824.41</v>
      </c>
      <c r="BC72" s="1">
        <v>111.78</v>
      </c>
      <c r="BD72" s="1">
        <v>110972.7</v>
      </c>
      <c r="BE72" s="1">
        <v>1428.3</v>
      </c>
      <c r="BF72" s="1">
        <v>7.4519999999999991</v>
      </c>
      <c r="BG72" s="1">
        <v>6.8310000000000004</v>
      </c>
      <c r="BH72" s="1">
        <f t="shared" si="22"/>
        <v>14891.666666666668</v>
      </c>
      <c r="BI72" s="1">
        <f t="shared" si="23"/>
        <v>13652.039954772241</v>
      </c>
    </row>
    <row r="73" spans="1:61" x14ac:dyDescent="0.2">
      <c r="A73" t="s">
        <v>224</v>
      </c>
      <c r="B73" t="s">
        <v>38</v>
      </c>
      <c r="C73" t="s">
        <v>225</v>
      </c>
      <c r="D73" t="s">
        <v>226</v>
      </c>
      <c r="E73">
        <v>82476</v>
      </c>
      <c r="F73">
        <v>41753</v>
      </c>
      <c r="G73" t="s">
        <v>226</v>
      </c>
      <c r="H73" s="1">
        <v>30.4</v>
      </c>
      <c r="I73" s="1">
        <v>24.89</v>
      </c>
      <c r="J73" s="10">
        <v>2.63</v>
      </c>
      <c r="K73" s="10">
        <f t="shared" ca="1" si="16"/>
        <v>0.18752802457232889</v>
      </c>
      <c r="L73" s="7">
        <v>0.21099999999999999</v>
      </c>
      <c r="M73" s="7">
        <f t="shared" ca="1" si="17"/>
        <v>1.4622188618671284E-2</v>
      </c>
      <c r="N73" s="7">
        <v>0.99600999999999995</v>
      </c>
      <c r="O73" s="8">
        <v>4.7393359999999998</v>
      </c>
      <c r="P73" s="8">
        <f t="shared" ca="1" si="18"/>
        <v>0.32843347077794682</v>
      </c>
      <c r="Q73" s="9">
        <v>8.9660000000000004E-2</v>
      </c>
      <c r="R73" s="9">
        <f t="shared" ca="1" si="19"/>
        <v>1.9178024507232232E-3</v>
      </c>
      <c r="S73" s="8">
        <f t="shared" si="20"/>
        <v>0.58083627282455019</v>
      </c>
      <c r="T73" s="11">
        <v>5.4100000000000002E-2</v>
      </c>
      <c r="U73" s="11">
        <f t="shared" ca="1" si="21"/>
        <v>1.7693852039620994E-3</v>
      </c>
      <c r="V73" s="6" t="e">
        <f ca="1">IF(agePb6U8(1/O73)&lt;1400,age7corr(1/O73,Q73,$W$2),agePb76(Q73))</f>
        <v>#NAME?</v>
      </c>
      <c r="W73" s="6" t="e">
        <f ca="1">IF(agePb6U8(1/O73)&lt;1400,ageer7corr(V73,1/O73,P73/O73*(1/O73),Q73,R73,$W$2,0.05),ageerPb76(Q73,R73))</f>
        <v>#NAME?</v>
      </c>
      <c r="X73" s="4" t="e">
        <f ca="1">agePb6U8(L73)/agePb7u5(J73)</f>
        <v>#NAME?</v>
      </c>
      <c r="Z73" s="1">
        <v>2.63</v>
      </c>
      <c r="AA73" s="1">
        <v>0.18</v>
      </c>
      <c r="AB73" s="1">
        <v>0.21099999999999999</v>
      </c>
      <c r="AC73" s="1">
        <v>1.4E-2</v>
      </c>
      <c r="AD73" s="1">
        <v>0.99600999999999995</v>
      </c>
      <c r="AE73" s="1">
        <v>4.7393359999999998</v>
      </c>
      <c r="AF73" s="1">
        <v>0.31445830000000002</v>
      </c>
      <c r="AG73" s="1">
        <v>8.9660000000000004E-2</v>
      </c>
      <c r="AH73" s="1">
        <v>6.8000000000000005E-4</v>
      </c>
      <c r="AI73" s="1">
        <v>0.23415</v>
      </c>
      <c r="AJ73" s="1">
        <v>5.4100000000000002E-2</v>
      </c>
      <c r="AK73" s="1">
        <v>1.4E-3</v>
      </c>
      <c r="AL73" s="1">
        <v>6.2</v>
      </c>
      <c r="AM73" s="1">
        <v>1.7</v>
      </c>
      <c r="AN73" s="1">
        <v>1303</v>
      </c>
      <c r="AO73" s="1">
        <v>48</v>
      </c>
      <c r="AP73" s="1">
        <v>1234</v>
      </c>
      <c r="AQ73" s="1">
        <v>75</v>
      </c>
      <c r="AR73" s="1">
        <v>1065</v>
      </c>
      <c r="AS73" s="1">
        <v>27</v>
      </c>
      <c r="AT73" s="1">
        <v>1418</v>
      </c>
      <c r="AU73" s="1">
        <v>14</v>
      </c>
      <c r="AV73" s="1">
        <v>6.7</v>
      </c>
      <c r="AW73" s="1">
        <v>1.1000000000000001</v>
      </c>
      <c r="AX73" s="1">
        <v>1.974</v>
      </c>
      <c r="AY73" s="1">
        <v>3.4000000000000002E-2</v>
      </c>
      <c r="AZ73" s="1">
        <v>8513.91</v>
      </c>
      <c r="BA73" s="1">
        <v>347.76</v>
      </c>
      <c r="BB73" s="1">
        <v>5837.4</v>
      </c>
      <c r="BC73" s="1">
        <v>1304.0999999999999</v>
      </c>
      <c r="BD73" s="1">
        <v>65205</v>
      </c>
      <c r="BE73" s="1">
        <v>14904.000000000002</v>
      </c>
      <c r="BF73" s="1">
        <v>1.6766999999999999</v>
      </c>
      <c r="BG73" s="1">
        <v>5.6510999999999996</v>
      </c>
      <c r="BH73" s="1">
        <f t="shared" si="22"/>
        <v>38888.888888888891</v>
      </c>
      <c r="BI73" s="1">
        <f t="shared" si="23"/>
        <v>131371.02594570231</v>
      </c>
    </row>
    <row r="74" spans="1:61" x14ac:dyDescent="0.2">
      <c r="A74" t="s">
        <v>233</v>
      </c>
      <c r="B74" t="s">
        <v>38</v>
      </c>
      <c r="C74" t="s">
        <v>234</v>
      </c>
      <c r="D74" t="s">
        <v>235</v>
      </c>
      <c r="E74">
        <v>82507</v>
      </c>
      <c r="F74">
        <v>42013</v>
      </c>
      <c r="G74" t="s">
        <v>235</v>
      </c>
      <c r="H74" s="1">
        <v>68.8</v>
      </c>
      <c r="I74" s="1">
        <v>83.5</v>
      </c>
      <c r="J74" s="10">
        <v>5.27</v>
      </c>
      <c r="K74" s="10">
        <f t="shared" ca="1" si="16"/>
        <v>0.16735937380379984</v>
      </c>
      <c r="L74" s="7">
        <v>0.33310000000000001</v>
      </c>
      <c r="M74" s="7">
        <f t="shared" ca="1" si="17"/>
        <v>1.0565142876459363E-2</v>
      </c>
      <c r="N74" s="7">
        <v>0.97794000000000003</v>
      </c>
      <c r="O74" s="8">
        <v>3.0021010000000001</v>
      </c>
      <c r="P74" s="8">
        <f t="shared" ca="1" si="18"/>
        <v>9.5219541751918255E-2</v>
      </c>
      <c r="Q74" s="9">
        <v>0.11447</v>
      </c>
      <c r="R74" s="9">
        <f t="shared" ca="1" si="19"/>
        <v>2.3477121544175725E-3</v>
      </c>
      <c r="S74" s="8">
        <f t="shared" si="20"/>
        <v>0.41012537343743771</v>
      </c>
      <c r="T74" s="11">
        <v>9.2399999999999996E-2</v>
      </c>
      <c r="U74" s="11">
        <f t="shared" ca="1" si="21"/>
        <v>2.7230688570067411E-3</v>
      </c>
      <c r="V74" s="6" t="e">
        <f ca="1">IF(agePb6U8(1/O74)&lt;1400,age7corr(1/O74,Q74,$W$2),agePb76(Q74))</f>
        <v>#NAME?</v>
      </c>
      <c r="W74" s="6" t="e">
        <f ca="1">IF(agePb6U8(1/O74)&lt;1400,ageer7corr(V74,1/O74,P74/O74*(1/O74),Q74,R74,$W$2,0.05),ageerPb76(Q74,R74))</f>
        <v>#NAME?</v>
      </c>
      <c r="X74" s="4" t="e">
        <f ca="1">agePb6U8(L74)/agePb7u5(J74)</f>
        <v>#NAME?</v>
      </c>
      <c r="Z74" s="1">
        <v>5.27</v>
      </c>
      <c r="AA74" s="1">
        <v>0.13</v>
      </c>
      <c r="AB74" s="1">
        <v>0.33310000000000001</v>
      </c>
      <c r="AC74" s="1">
        <v>8.2000000000000007E-3</v>
      </c>
      <c r="AD74" s="1">
        <v>0.97794000000000003</v>
      </c>
      <c r="AE74" s="1">
        <v>3.0021010000000001</v>
      </c>
      <c r="AF74" s="1">
        <v>7.3903430000000006E-2</v>
      </c>
      <c r="AG74" s="1">
        <v>0.11447</v>
      </c>
      <c r="AH74" s="1">
        <v>5.1999999999999995E-4</v>
      </c>
      <c r="AI74" s="1">
        <v>-8.9291999999999996E-2</v>
      </c>
      <c r="AJ74" s="1">
        <v>9.2399999999999996E-2</v>
      </c>
      <c r="AK74" s="1">
        <v>2E-3</v>
      </c>
      <c r="AL74" s="1">
        <v>3.1846000000000001</v>
      </c>
      <c r="AM74" s="1">
        <v>8.8000000000000005E-3</v>
      </c>
      <c r="AN74" s="1">
        <v>1863</v>
      </c>
      <c r="AO74" s="1">
        <v>21</v>
      </c>
      <c r="AP74" s="1">
        <v>1853</v>
      </c>
      <c r="AQ74" s="1">
        <v>40</v>
      </c>
      <c r="AR74" s="1">
        <v>1787</v>
      </c>
      <c r="AS74" s="1">
        <v>38</v>
      </c>
      <c r="AT74" s="1">
        <v>1871.4</v>
      </c>
      <c r="AU74" s="1">
        <v>8.1999999999999993</v>
      </c>
      <c r="AV74" s="1">
        <v>15.11</v>
      </c>
      <c r="AW74" s="1">
        <v>0.38</v>
      </c>
      <c r="AX74" s="1">
        <v>6.62</v>
      </c>
      <c r="AY74" s="1">
        <v>0.1</v>
      </c>
      <c r="AZ74" s="1">
        <v>49804.2</v>
      </c>
      <c r="BA74" s="1">
        <v>869.4</v>
      </c>
      <c r="BB74" s="1">
        <v>22064.13</v>
      </c>
      <c r="BC74" s="1">
        <v>409.86</v>
      </c>
      <c r="BD74" s="1">
        <v>194559.3</v>
      </c>
      <c r="BE74" s="1">
        <v>3539.7000000000003</v>
      </c>
      <c r="BF74" s="1">
        <v>-6.7688999999999995</v>
      </c>
      <c r="BG74" s="1">
        <v>5.8373999999999997</v>
      </c>
      <c r="BH74" s="1">
        <f t="shared" si="22"/>
        <v>-28743.119266055048</v>
      </c>
      <c r="BI74" s="1">
        <f t="shared" si="23"/>
        <v>-24793.159615648194</v>
      </c>
    </row>
    <row r="75" spans="1:61" x14ac:dyDescent="0.2">
      <c r="A75" t="s">
        <v>236</v>
      </c>
      <c r="B75" t="s">
        <v>38</v>
      </c>
      <c r="C75" t="s">
        <v>237</v>
      </c>
      <c r="D75" t="s">
        <v>238</v>
      </c>
      <c r="E75">
        <v>82568</v>
      </c>
      <c r="F75">
        <v>42174</v>
      </c>
      <c r="G75" t="s">
        <v>238</v>
      </c>
      <c r="H75" s="1">
        <v>76.900000000000006</v>
      </c>
      <c r="I75" s="1">
        <v>100.4</v>
      </c>
      <c r="J75" s="10">
        <v>2.3860000000000001</v>
      </c>
      <c r="K75" s="10">
        <f t="shared" ca="1" si="16"/>
        <v>6.1629525391649745E-2</v>
      </c>
      <c r="L75" s="7">
        <v>0.2104</v>
      </c>
      <c r="M75" s="7">
        <f t="shared" ca="1" si="17"/>
        <v>5.6033261550618302E-3</v>
      </c>
      <c r="N75" s="7">
        <v>0.91798999999999997</v>
      </c>
      <c r="O75" s="8">
        <v>4.7528519999999999</v>
      </c>
      <c r="P75" s="8">
        <f t="shared" ca="1" si="18"/>
        <v>0.12657689891552881</v>
      </c>
      <c r="Q75" s="9">
        <v>8.1930000000000003E-2</v>
      </c>
      <c r="R75" s="9">
        <f t="shared" ca="1" si="19"/>
        <v>1.7415826021179703E-3</v>
      </c>
      <c r="S75" s="8">
        <f t="shared" si="20"/>
        <v>0.41744983096154742</v>
      </c>
      <c r="T75" s="11">
        <v>6.3E-2</v>
      </c>
      <c r="U75" s="11">
        <f t="shared" ca="1" si="21"/>
        <v>1.8104143172213371E-3</v>
      </c>
      <c r="V75" s="6" t="e">
        <f ca="1">IF(agePb6U8(1/O75)&lt;1400,age7corr(1/O75,Q75,$W$2),agePb76(Q75))</f>
        <v>#NAME?</v>
      </c>
      <c r="W75" s="6" t="e">
        <f ca="1">IF(agePb6U8(1/O75)&lt;1400,ageer7corr(V75,1/O75,P75/O75*(1/O75),Q75,R75,$W$2,0.05),ageerPb76(Q75,R75))</f>
        <v>#NAME?</v>
      </c>
      <c r="X75" s="4" t="e">
        <f ca="1">agePb6U8(L75)/agePb7u5(J75)</f>
        <v>#NAME?</v>
      </c>
      <c r="Z75" s="1">
        <v>2.3860000000000001</v>
      </c>
      <c r="AA75" s="1">
        <v>3.9E-2</v>
      </c>
      <c r="AB75" s="1">
        <v>0.2104</v>
      </c>
      <c r="AC75" s="1">
        <v>3.7000000000000002E-3</v>
      </c>
      <c r="AD75" s="1">
        <v>0.91798999999999997</v>
      </c>
      <c r="AE75" s="1">
        <v>4.7528519999999999</v>
      </c>
      <c r="AF75" s="1">
        <v>8.3581520000000006E-2</v>
      </c>
      <c r="AG75" s="1">
        <v>8.1930000000000003E-2</v>
      </c>
      <c r="AH75" s="1">
        <v>5.9000000000000003E-4</v>
      </c>
      <c r="AI75" s="1">
        <v>0.38007000000000002</v>
      </c>
      <c r="AJ75" s="1">
        <v>6.3E-2</v>
      </c>
      <c r="AK75" s="1">
        <v>1.2999999999999999E-3</v>
      </c>
      <c r="AL75" s="1">
        <v>2.7589999999999999</v>
      </c>
      <c r="AM75" s="1">
        <v>1.7999999999999999E-2</v>
      </c>
      <c r="AN75" s="1">
        <v>1241</v>
      </c>
      <c r="AO75" s="1">
        <v>11</v>
      </c>
      <c r="AP75" s="1">
        <v>1231</v>
      </c>
      <c r="AQ75" s="1">
        <v>20</v>
      </c>
      <c r="AR75" s="1">
        <v>1234</v>
      </c>
      <c r="AS75" s="1">
        <v>25</v>
      </c>
      <c r="AT75" s="1">
        <v>1243</v>
      </c>
      <c r="AU75" s="1">
        <v>14</v>
      </c>
      <c r="AV75" s="1">
        <v>16.889999999999997</v>
      </c>
      <c r="AW75" s="1">
        <v>0.23</v>
      </c>
      <c r="AX75" s="1">
        <v>7.96</v>
      </c>
      <c r="AY75" s="1">
        <v>0.19</v>
      </c>
      <c r="AZ75" s="1">
        <v>41290.289999999994</v>
      </c>
      <c r="BA75" s="1">
        <v>521.64</v>
      </c>
      <c r="BB75" s="1">
        <v>11457.45</v>
      </c>
      <c r="BC75" s="1">
        <v>180.09</v>
      </c>
      <c r="BD75" s="1">
        <v>140097.60000000001</v>
      </c>
      <c r="BE75" s="1">
        <v>1738.8</v>
      </c>
      <c r="BF75" s="1">
        <v>4.0985999999999994</v>
      </c>
      <c r="BG75" s="1">
        <v>3.9744000000000006</v>
      </c>
      <c r="BH75" s="1">
        <f t="shared" si="22"/>
        <v>34181.818181818191</v>
      </c>
      <c r="BI75" s="1">
        <f t="shared" si="23"/>
        <v>33148.720380728693</v>
      </c>
    </row>
    <row r="76" spans="1:61" x14ac:dyDescent="0.2">
      <c r="A76" t="s">
        <v>239</v>
      </c>
      <c r="B76" t="s">
        <v>38</v>
      </c>
      <c r="C76" t="s">
        <v>240</v>
      </c>
      <c r="D76" t="s">
        <v>241</v>
      </c>
      <c r="E76">
        <v>82630</v>
      </c>
      <c r="F76">
        <v>42315</v>
      </c>
      <c r="G76" t="s">
        <v>241</v>
      </c>
      <c r="H76" s="1">
        <v>116</v>
      </c>
      <c r="I76" s="1">
        <v>37.700000000000003</v>
      </c>
      <c r="J76" s="10">
        <v>2.67</v>
      </c>
      <c r="K76" s="10">
        <f t="shared" ca="1" si="16"/>
        <v>0.11336472114374913</v>
      </c>
      <c r="L76" s="7">
        <v>0.2271</v>
      </c>
      <c r="M76" s="7">
        <f t="shared" ca="1" si="17"/>
        <v>9.6374147985857708E-3</v>
      </c>
      <c r="N76" s="7">
        <v>0.98946999999999996</v>
      </c>
      <c r="O76" s="8">
        <v>4.4033470000000001</v>
      </c>
      <c r="P76" s="8">
        <f t="shared" ca="1" si="18"/>
        <v>0.18686426589672944</v>
      </c>
      <c r="Q76" s="9">
        <v>8.5199999999999998E-2</v>
      </c>
      <c r="R76" s="9">
        <f t="shared" ca="1" si="19"/>
        <v>1.7936599454746154E-3</v>
      </c>
      <c r="S76" s="8">
        <f t="shared" si="20"/>
        <v>0.56328589949347441</v>
      </c>
      <c r="T76" s="11">
        <v>7.1300000000000002E-2</v>
      </c>
      <c r="U76" s="11">
        <f t="shared" ca="1" si="21"/>
        <v>3.9652838486040317E-3</v>
      </c>
      <c r="V76" s="6" t="e">
        <f ca="1">IF(agePb6U8(1/O76)&lt;1400,age7corr(1/O76,Q76,$W$2),agePb76(Q76))</f>
        <v>#NAME?</v>
      </c>
      <c r="W76" s="6" t="e">
        <f ca="1">IF(agePb6U8(1/O76)&lt;1400,ageer7corr(V76,1/O76,P76/O76*(1/O76),Q76,R76,$W$2,0.05),ageerPb76(Q76,R76))</f>
        <v>#NAME?</v>
      </c>
      <c r="X76" s="4" t="e">
        <f ca="1">agePb6U8(L76)/agePb7u5(J76)</f>
        <v>#NAME?</v>
      </c>
      <c r="Z76" s="1">
        <v>2.67</v>
      </c>
      <c r="AA76" s="1">
        <v>0.1</v>
      </c>
      <c r="AB76" s="1">
        <v>0.2271</v>
      </c>
      <c r="AC76" s="1">
        <v>8.5000000000000006E-3</v>
      </c>
      <c r="AD76" s="1">
        <v>0.98946999999999996</v>
      </c>
      <c r="AE76" s="1">
        <v>4.4033470000000001</v>
      </c>
      <c r="AF76" s="1">
        <v>0.1648104</v>
      </c>
      <c r="AG76" s="1">
        <v>8.5199999999999998E-2</v>
      </c>
      <c r="AH76" s="1">
        <v>5.5999999999999995E-4</v>
      </c>
      <c r="AI76" s="1">
        <v>9.2229000000000005E-2</v>
      </c>
      <c r="AJ76" s="1">
        <v>7.1300000000000002E-2</v>
      </c>
      <c r="AK76" s="1">
        <v>3.7000000000000002E-3</v>
      </c>
      <c r="AL76" s="1">
        <v>10.9</v>
      </c>
      <c r="AM76" s="1">
        <v>0.63</v>
      </c>
      <c r="AN76" s="1">
        <v>1327</v>
      </c>
      <c r="AO76" s="1">
        <v>31</v>
      </c>
      <c r="AP76" s="1">
        <v>1332</v>
      </c>
      <c r="AQ76" s="1">
        <v>50</v>
      </c>
      <c r="AR76" s="1">
        <v>1392</v>
      </c>
      <c r="AS76" s="1">
        <v>70</v>
      </c>
      <c r="AT76" s="1">
        <v>1320</v>
      </c>
      <c r="AU76" s="1">
        <v>13</v>
      </c>
      <c r="AV76" s="1">
        <v>25.5</v>
      </c>
      <c r="AW76" s="1">
        <v>2.4</v>
      </c>
      <c r="AX76" s="1">
        <v>2.99</v>
      </c>
      <c r="AY76" s="1">
        <v>0.51</v>
      </c>
      <c r="AZ76" s="1">
        <v>19623.599999999999</v>
      </c>
      <c r="BA76" s="1">
        <v>3912.3</v>
      </c>
      <c r="BB76" s="1">
        <v>21176.1</v>
      </c>
      <c r="BC76" s="1">
        <v>2856.6</v>
      </c>
      <c r="BD76" s="1">
        <v>247779</v>
      </c>
      <c r="BE76" s="1">
        <v>32291.999999999993</v>
      </c>
      <c r="BF76" s="1">
        <v>13.662000000000001</v>
      </c>
      <c r="BG76" s="1">
        <v>6.2099999999999991</v>
      </c>
      <c r="BH76" s="1">
        <f t="shared" si="22"/>
        <v>18136.363636363636</v>
      </c>
      <c r="BI76" s="1">
        <f t="shared" si="23"/>
        <v>8575.9572382176812</v>
      </c>
    </row>
    <row r="77" spans="1:61" x14ac:dyDescent="0.2">
      <c r="A77" t="s">
        <v>242</v>
      </c>
      <c r="B77" t="s">
        <v>38</v>
      </c>
      <c r="C77" t="s">
        <v>243</v>
      </c>
      <c r="D77" t="s">
        <v>244</v>
      </c>
      <c r="E77">
        <v>82546</v>
      </c>
      <c r="F77">
        <v>42395</v>
      </c>
      <c r="G77" t="s">
        <v>244</v>
      </c>
      <c r="H77" s="1">
        <v>22.7</v>
      </c>
      <c r="I77" s="1">
        <v>14.05</v>
      </c>
      <c r="J77" s="10">
        <v>2.2850000000000001</v>
      </c>
      <c r="K77" s="10">
        <f t="shared" ca="1" si="16"/>
        <v>6.4136495071059202E-2</v>
      </c>
      <c r="L77" s="7">
        <v>0.20669999999999999</v>
      </c>
      <c r="M77" s="7">
        <f t="shared" ca="1" si="17"/>
        <v>5.8223668726730031E-3</v>
      </c>
      <c r="N77" s="7">
        <v>0.86909000000000003</v>
      </c>
      <c r="O77" s="8">
        <v>4.8379289999999999</v>
      </c>
      <c r="P77" s="8">
        <f t="shared" ca="1" si="18"/>
        <v>0.13627575641858092</v>
      </c>
      <c r="Q77" s="9">
        <v>7.9869999999999997E-2</v>
      </c>
      <c r="R77" s="9">
        <f t="shared" ca="1" si="19"/>
        <v>1.782073724625331E-3</v>
      </c>
      <c r="S77" s="8">
        <f t="shared" si="20"/>
        <v>0.45185914469583927</v>
      </c>
      <c r="T77" s="11">
        <v>6.2399999999999997E-2</v>
      </c>
      <c r="U77" s="11">
        <f t="shared" ca="1" si="21"/>
        <v>2.2732144641454313E-3</v>
      </c>
      <c r="V77" s="6" t="e">
        <f ca="1">IF(agePb6U8(1/O77)&lt;1400,age7corr(1/O77,Q77,$W$2),agePb76(Q77))</f>
        <v>#NAME?</v>
      </c>
      <c r="W77" s="6" t="e">
        <f ca="1">IF(agePb6U8(1/O77)&lt;1400,ageer7corr(V77,1/O77,P77/O77*(1/O77),Q77,R77,$W$2,0.05),ageerPb76(Q77,R77))</f>
        <v>#NAME?</v>
      </c>
      <c r="X77" s="4" t="e">
        <f ca="1">agePb6U8(L77)/agePb7u5(J77)</f>
        <v>#NAME?</v>
      </c>
      <c r="Z77" s="1">
        <v>2.2850000000000001</v>
      </c>
      <c r="AA77" s="1">
        <v>4.4999999999999998E-2</v>
      </c>
      <c r="AB77" s="1">
        <v>0.20669999999999999</v>
      </c>
      <c r="AC77" s="1">
        <v>4.1000000000000003E-3</v>
      </c>
      <c r="AD77" s="1">
        <v>0.86909000000000003</v>
      </c>
      <c r="AE77" s="1">
        <v>4.8379289999999999</v>
      </c>
      <c r="AF77" s="1">
        <v>9.5962800000000001E-2</v>
      </c>
      <c r="AG77" s="1">
        <v>7.9869999999999997E-2</v>
      </c>
      <c r="AH77" s="1">
        <v>7.9000000000000001E-4</v>
      </c>
      <c r="AI77" s="1">
        <v>0.31397000000000003</v>
      </c>
      <c r="AJ77" s="1">
        <v>6.2399999999999997E-2</v>
      </c>
      <c r="AK77" s="1">
        <v>1.9E-3</v>
      </c>
      <c r="AL77" s="1">
        <v>5.7329999999999997</v>
      </c>
      <c r="AM77" s="1">
        <v>6.3E-2</v>
      </c>
      <c r="AN77" s="1">
        <v>1207</v>
      </c>
      <c r="AO77" s="1">
        <v>14</v>
      </c>
      <c r="AP77" s="1">
        <v>1211</v>
      </c>
      <c r="AQ77" s="1">
        <v>22</v>
      </c>
      <c r="AR77" s="1">
        <v>1224</v>
      </c>
      <c r="AS77" s="1">
        <v>35</v>
      </c>
      <c r="AT77" s="1">
        <v>1193</v>
      </c>
      <c r="AU77" s="1">
        <v>20</v>
      </c>
      <c r="AV77" s="1">
        <v>4.9870000000000001</v>
      </c>
      <c r="AW77" s="1">
        <v>7.6999999999999999E-2</v>
      </c>
      <c r="AX77" s="1">
        <v>1.1139999999999999</v>
      </c>
      <c r="AY77" s="1">
        <v>2.8000000000000001E-2</v>
      </c>
      <c r="AZ77" s="1">
        <v>5706.99</v>
      </c>
      <c r="BA77" s="1">
        <v>74.52</v>
      </c>
      <c r="BB77" s="1">
        <v>3215.538</v>
      </c>
      <c r="BC77" s="1">
        <v>43.47</v>
      </c>
      <c r="BD77" s="1">
        <v>40160.07</v>
      </c>
      <c r="BE77" s="1">
        <v>527.85</v>
      </c>
      <c r="BF77" s="1">
        <v>-5.2164000000000001</v>
      </c>
      <c r="BG77" s="1">
        <v>5.7752999999999997</v>
      </c>
      <c r="BH77" s="1">
        <f t="shared" si="22"/>
        <v>-7698.8095238095239</v>
      </c>
      <c r="BI77" s="1">
        <f t="shared" si="23"/>
        <v>-8524.282602408357</v>
      </c>
    </row>
    <row r="78" spans="1:61" x14ac:dyDescent="0.2">
      <c r="A78" t="s">
        <v>146</v>
      </c>
      <c r="B78" t="s">
        <v>38</v>
      </c>
      <c r="C78" t="s">
        <v>147</v>
      </c>
      <c r="D78" t="s">
        <v>148</v>
      </c>
      <c r="E78">
        <v>82811</v>
      </c>
      <c r="F78">
        <v>40465</v>
      </c>
      <c r="G78" t="s">
        <v>148</v>
      </c>
      <c r="H78" s="1">
        <v>35.9</v>
      </c>
      <c r="I78" s="1">
        <v>59.6</v>
      </c>
      <c r="J78" s="10">
        <v>1.907</v>
      </c>
      <c r="K78" s="10">
        <f t="shared" ca="1" si="16"/>
        <v>4.6729643696480284E-2</v>
      </c>
      <c r="L78" s="7">
        <v>0.18149999999999999</v>
      </c>
      <c r="M78" s="7">
        <f t="shared" ca="1" si="17"/>
        <v>4.6461704660935551E-3</v>
      </c>
      <c r="N78" s="7">
        <v>0.85343999999999998</v>
      </c>
      <c r="O78" s="8">
        <v>5.5096420000000004</v>
      </c>
      <c r="P78" s="8">
        <f t="shared" ca="1" si="18"/>
        <v>0.14103986906682842</v>
      </c>
      <c r="Q78" s="9">
        <v>7.6039999999999996E-2</v>
      </c>
      <c r="R78" s="9">
        <f t="shared" ca="1" si="19"/>
        <v>1.7183808192598054E-3</v>
      </c>
      <c r="S78" s="8">
        <f t="shared" si="20"/>
        <v>0.56282143675869389</v>
      </c>
      <c r="T78" s="11">
        <v>5.0729999999999997E-2</v>
      </c>
      <c r="U78" s="11">
        <f t="shared" ca="1" si="21"/>
        <v>1.1540854214485165E-3</v>
      </c>
      <c r="V78" s="6" t="e">
        <f ca="1">IF(agePb6U8(1/O78)&lt;1400,age7corr(1/O78,Q78,$W$2),agePb76(Q78))</f>
        <v>#NAME?</v>
      </c>
      <c r="W78" s="6" t="e">
        <f ca="1">IF(agePb6U8(1/O78)&lt;1400,ageer7corr(V78,1/O78,P78/O78*(1/O78),Q78,R78,$W$2,0.05),ageerPb76(Q78,R78))</f>
        <v>#NAME?</v>
      </c>
      <c r="X78" s="4" t="e">
        <f ca="1">agePb6U8(L78)/agePb7u5(J78)</f>
        <v>#NAME?</v>
      </c>
      <c r="Z78" s="1">
        <v>1.907</v>
      </c>
      <c r="AA78" s="1">
        <v>2.7E-2</v>
      </c>
      <c r="AB78" s="1">
        <v>0.18149999999999999</v>
      </c>
      <c r="AC78" s="1">
        <v>2.8999999999999998E-3</v>
      </c>
      <c r="AD78" s="1">
        <v>0.85343999999999998</v>
      </c>
      <c r="AE78" s="1">
        <v>5.5096420000000004</v>
      </c>
      <c r="AF78" s="1">
        <v>8.8032849999999996E-2</v>
      </c>
      <c r="AG78" s="1">
        <v>7.6039999999999996E-2</v>
      </c>
      <c r="AH78" s="1">
        <v>8.0000000000000004E-4</v>
      </c>
      <c r="AI78" s="1">
        <v>0.34017999999999998</v>
      </c>
      <c r="AJ78" s="1">
        <v>5.0729999999999997E-2</v>
      </c>
      <c r="AK78" s="1">
        <v>5.5000000000000003E-4</v>
      </c>
      <c r="AL78" s="1">
        <v>2.3340000000000001</v>
      </c>
      <c r="AM78" s="1">
        <v>5.7000000000000002E-2</v>
      </c>
      <c r="AN78" s="1">
        <v>1083.4000000000001</v>
      </c>
      <c r="AO78" s="1">
        <v>9.5</v>
      </c>
      <c r="AP78" s="1">
        <v>1075</v>
      </c>
      <c r="AQ78" s="1">
        <v>16</v>
      </c>
      <c r="AR78" s="1">
        <v>1000</v>
      </c>
      <c r="AS78" s="1">
        <v>11</v>
      </c>
      <c r="AT78" s="1">
        <v>1095</v>
      </c>
      <c r="AU78" s="1">
        <v>21</v>
      </c>
      <c r="AV78" s="1">
        <v>7.91</v>
      </c>
      <c r="AW78" s="1">
        <v>0.11</v>
      </c>
      <c r="AX78" s="1">
        <v>4.74</v>
      </c>
      <c r="AY78" s="1">
        <v>0.25999999999999995</v>
      </c>
      <c r="AZ78" s="1">
        <v>19623.599999999999</v>
      </c>
      <c r="BA78" s="1">
        <v>807.3</v>
      </c>
      <c r="BB78" s="1">
        <v>4222.8</v>
      </c>
      <c r="BC78" s="1">
        <v>74.52</v>
      </c>
      <c r="BD78" s="1">
        <v>55455.3</v>
      </c>
      <c r="BE78" s="1">
        <v>993.6</v>
      </c>
      <c r="BF78" s="1">
        <v>1.6766999999999999</v>
      </c>
      <c r="BG78" s="1">
        <v>4.4712000000000005</v>
      </c>
      <c r="BH78" s="1">
        <f t="shared" si="22"/>
        <v>33074.07407407408</v>
      </c>
      <c r="BI78" s="1">
        <f t="shared" si="23"/>
        <v>88199.521634314311</v>
      </c>
    </row>
    <row r="79" spans="1:61" x14ac:dyDescent="0.2">
      <c r="A79" t="s">
        <v>245</v>
      </c>
      <c r="B79" t="s">
        <v>38</v>
      </c>
      <c r="C79" t="s">
        <v>246</v>
      </c>
      <c r="D79" t="s">
        <v>247</v>
      </c>
      <c r="E79">
        <v>82584</v>
      </c>
      <c r="F79">
        <v>42530</v>
      </c>
      <c r="G79" t="s">
        <v>247</v>
      </c>
      <c r="H79" s="1">
        <v>197.5</v>
      </c>
      <c r="I79" s="1">
        <v>163.80000000000001</v>
      </c>
      <c r="J79" s="10">
        <v>2.2480000000000002</v>
      </c>
      <c r="K79" s="10">
        <f t="shared" ca="1" si="16"/>
        <v>7.8213819750732036E-2</v>
      </c>
      <c r="L79" s="7">
        <v>0.20080000000000001</v>
      </c>
      <c r="M79" s="7">
        <f t="shared" ca="1" si="17"/>
        <v>6.5702553983844492E-3</v>
      </c>
      <c r="N79" s="7">
        <v>0.98985999999999996</v>
      </c>
      <c r="O79" s="8">
        <v>4.9800800000000001</v>
      </c>
      <c r="P79" s="8">
        <f t="shared" ca="1" si="18"/>
        <v>0.16295017479278751</v>
      </c>
      <c r="Q79" s="9">
        <v>8.0920000000000006E-2</v>
      </c>
      <c r="R79" s="9">
        <f t="shared" ca="1" si="19"/>
        <v>1.65581356438459E-3</v>
      </c>
      <c r="S79" s="8">
        <f t="shared" si="20"/>
        <v>0.43054564562940612</v>
      </c>
      <c r="T79" s="11">
        <v>6.3200000000000006E-2</v>
      </c>
      <c r="U79" s="11">
        <f t="shared" ca="1" si="21"/>
        <v>1.8861855688134188E-3</v>
      </c>
      <c r="V79" s="6" t="e">
        <f ca="1">IF(agePb6U8(1/O79)&lt;1400,age7corr(1/O79,Q79,$W$2),agePb76(Q79))</f>
        <v>#NAME?</v>
      </c>
      <c r="W79" s="6" t="e">
        <f ca="1">IF(agePb6U8(1/O79)&lt;1400,ageer7corr(V79,1/O79,P79/O79*(1/O79),Q79,R79,$W$2,0.05),ageerPb76(Q79,R79))</f>
        <v>#NAME?</v>
      </c>
      <c r="X79" s="4" t="e">
        <f ca="1">agePb6U8(L79)/agePb7u5(J79)</f>
        <v>#NAME?</v>
      </c>
      <c r="Z79" s="1">
        <v>2.2480000000000002</v>
      </c>
      <c r="AA79" s="1">
        <v>6.4000000000000001E-2</v>
      </c>
      <c r="AB79" s="1">
        <v>0.20080000000000001</v>
      </c>
      <c r="AC79" s="1">
        <v>5.1999999999999998E-3</v>
      </c>
      <c r="AD79" s="1">
        <v>0.98985999999999996</v>
      </c>
      <c r="AE79" s="1">
        <v>4.9800800000000001</v>
      </c>
      <c r="AF79" s="1">
        <v>0.1289662</v>
      </c>
      <c r="AG79" s="1">
        <v>8.0920000000000006E-2</v>
      </c>
      <c r="AH79" s="1">
        <v>3.5E-4</v>
      </c>
      <c r="AI79" s="1">
        <v>-0.46732000000000001</v>
      </c>
      <c r="AJ79" s="1">
        <v>6.3200000000000006E-2</v>
      </c>
      <c r="AK79" s="1">
        <v>1.4E-3</v>
      </c>
      <c r="AL79" s="1">
        <v>4.1689999999999996</v>
      </c>
      <c r="AM79" s="1">
        <v>3.7999999999999999E-2</v>
      </c>
      <c r="AN79" s="1">
        <v>1195</v>
      </c>
      <c r="AO79" s="1">
        <v>20</v>
      </c>
      <c r="AP79" s="1">
        <v>1179</v>
      </c>
      <c r="AQ79" s="1">
        <v>28</v>
      </c>
      <c r="AR79" s="1">
        <v>1238</v>
      </c>
      <c r="AS79" s="1">
        <v>27</v>
      </c>
      <c r="AT79" s="1">
        <v>1219.3</v>
      </c>
      <c r="AU79" s="1">
        <v>8.4</v>
      </c>
      <c r="AV79" s="1">
        <v>43.38</v>
      </c>
      <c r="AW79" s="1">
        <v>0.63</v>
      </c>
      <c r="AX79" s="1">
        <v>12.98</v>
      </c>
      <c r="AY79" s="1">
        <v>0.15</v>
      </c>
      <c r="AZ79" s="1">
        <v>66819.599999999991</v>
      </c>
      <c r="BA79" s="1">
        <v>993.6</v>
      </c>
      <c r="BB79" s="1">
        <v>27566.190000000002</v>
      </c>
      <c r="BC79" s="1">
        <v>534.05999999999995</v>
      </c>
      <c r="BD79" s="1">
        <v>341798.40000000002</v>
      </c>
      <c r="BE79" s="1">
        <v>5030.1000000000004</v>
      </c>
      <c r="BF79" s="1">
        <v>55.89</v>
      </c>
      <c r="BG79" s="1">
        <v>6.2099999999999991</v>
      </c>
      <c r="BH79" s="1">
        <f t="shared" si="22"/>
        <v>6115.5555555555557</v>
      </c>
      <c r="BI79" s="1">
        <f t="shared" si="23"/>
        <v>685.44047073906631</v>
      </c>
    </row>
    <row r="80" spans="1:61" x14ac:dyDescent="0.2">
      <c r="A80" t="s">
        <v>248</v>
      </c>
      <c r="B80" t="s">
        <v>38</v>
      </c>
      <c r="C80" t="s">
        <v>249</v>
      </c>
      <c r="D80" t="s">
        <v>250</v>
      </c>
      <c r="E80">
        <v>82649</v>
      </c>
      <c r="F80">
        <v>42695</v>
      </c>
      <c r="G80" t="s">
        <v>250</v>
      </c>
      <c r="H80" s="1">
        <v>47.5</v>
      </c>
      <c r="I80" s="1">
        <v>41.53</v>
      </c>
      <c r="J80" s="10">
        <v>3.05</v>
      </c>
      <c r="K80" s="10">
        <f t="shared" ca="1" si="16"/>
        <v>0.14360013927569848</v>
      </c>
      <c r="L80" s="7">
        <v>0.23649999999999999</v>
      </c>
      <c r="M80" s="7">
        <f t="shared" ca="1" si="17"/>
        <v>9.2937021686731493E-3</v>
      </c>
      <c r="N80" s="7">
        <v>0.89522000000000002</v>
      </c>
      <c r="O80" s="8">
        <v>4.2283299999999997</v>
      </c>
      <c r="P80" s="8">
        <f t="shared" ca="1" si="18"/>
        <v>0.16616000706427525</v>
      </c>
      <c r="Q80" s="9">
        <v>9.2100000000000001E-2</v>
      </c>
      <c r="R80" s="9">
        <f t="shared" ca="1" si="19"/>
        <v>2.3136473369984459E-3</v>
      </c>
      <c r="S80" s="8">
        <f t="shared" si="20"/>
        <v>0.41935095160802471</v>
      </c>
      <c r="T80" s="11">
        <v>7.6999999999999999E-2</v>
      </c>
      <c r="U80" s="11">
        <f t="shared" ca="1" si="21"/>
        <v>3.1083114387075181E-3</v>
      </c>
      <c r="V80" s="6" t="e">
        <f ca="1">IF(agePb6U8(1/O80)&lt;1400,age7corr(1/O80,Q80,$W$2),agePb76(Q80))</f>
        <v>#NAME?</v>
      </c>
      <c r="W80" s="6" t="e">
        <f ca="1">IF(agePb6U8(1/O80)&lt;1400,ageer7corr(V80,1/O80,P80/O80*(1/O80),Q80,R80,$W$2,0.05),ageerPb76(Q80,R80))</f>
        <v>#NAME?</v>
      </c>
      <c r="X80" s="4" t="e">
        <f ca="1">agePb6U8(L80)/agePb7u5(J80)</f>
        <v>#NAME?</v>
      </c>
      <c r="Z80" s="1">
        <v>3.05</v>
      </c>
      <c r="AA80" s="1">
        <v>0.13</v>
      </c>
      <c r="AB80" s="1">
        <v>0.23649999999999999</v>
      </c>
      <c r="AC80" s="1">
        <v>8.0000000000000002E-3</v>
      </c>
      <c r="AD80" s="1">
        <v>0.89522000000000002</v>
      </c>
      <c r="AE80" s="1">
        <v>4.2283299999999997</v>
      </c>
      <c r="AF80" s="1">
        <v>0.1430302</v>
      </c>
      <c r="AG80" s="1">
        <v>9.2100000000000001E-2</v>
      </c>
      <c r="AH80" s="1">
        <v>1.4E-3</v>
      </c>
      <c r="AI80" s="1">
        <v>-0.17263999999999999</v>
      </c>
      <c r="AJ80" s="1">
        <v>7.6999999999999999E-2</v>
      </c>
      <c r="AK80" s="1">
        <v>2.7000000000000001E-3</v>
      </c>
      <c r="AL80" s="1">
        <v>3.806</v>
      </c>
      <c r="AM80" s="1">
        <v>5.1999999999999998E-2</v>
      </c>
      <c r="AN80" s="1">
        <v>1418</v>
      </c>
      <c r="AO80" s="1">
        <v>33</v>
      </c>
      <c r="AP80" s="1">
        <v>1378</v>
      </c>
      <c r="AQ80" s="1">
        <v>44</v>
      </c>
      <c r="AR80" s="1">
        <v>1512</v>
      </c>
      <c r="AS80" s="1">
        <v>53</v>
      </c>
      <c r="AT80" s="1">
        <v>1468</v>
      </c>
      <c r="AU80" s="1">
        <v>29</v>
      </c>
      <c r="AV80" s="1">
        <v>10.44</v>
      </c>
      <c r="AW80" s="1">
        <v>0.55000000000000004</v>
      </c>
      <c r="AX80" s="1">
        <v>3.2919999999999998</v>
      </c>
      <c r="AY80" s="1">
        <v>4.9000000000000002E-2</v>
      </c>
      <c r="AZ80" s="1">
        <v>20716.559999999998</v>
      </c>
      <c r="BA80" s="1">
        <v>397.43999999999994</v>
      </c>
      <c r="BB80" s="1">
        <v>8880.3000000000011</v>
      </c>
      <c r="BC80" s="1">
        <v>161.45999999999998</v>
      </c>
      <c r="BD80" s="1">
        <v>96068.7</v>
      </c>
      <c r="BE80" s="1">
        <v>2856.6</v>
      </c>
      <c r="BF80" s="1">
        <v>11.799000000000001</v>
      </c>
      <c r="BG80" s="1">
        <v>8.0729999999999986</v>
      </c>
      <c r="BH80" s="1">
        <f t="shared" si="22"/>
        <v>8142.1052631578932</v>
      </c>
      <c r="BI80" s="1">
        <f t="shared" si="23"/>
        <v>5576.1724483357802</v>
      </c>
    </row>
    <row r="81" spans="1:61" x14ac:dyDescent="0.2">
      <c r="A81" t="s">
        <v>251</v>
      </c>
      <c r="B81" t="s">
        <v>38</v>
      </c>
      <c r="C81" t="s">
        <v>252</v>
      </c>
      <c r="D81" t="s">
        <v>253</v>
      </c>
      <c r="E81">
        <v>82692</v>
      </c>
      <c r="F81">
        <v>43638</v>
      </c>
      <c r="G81" t="s">
        <v>253</v>
      </c>
      <c r="H81" s="1">
        <v>79.099999999999994</v>
      </c>
      <c r="I81" s="1">
        <v>33.299999999999997</v>
      </c>
      <c r="J81" s="10">
        <v>3.95</v>
      </c>
      <c r="K81" s="10">
        <f t="shared" ca="1" si="16"/>
        <v>0.22436800128360551</v>
      </c>
      <c r="L81" s="7">
        <v>0.26400000000000001</v>
      </c>
      <c r="M81" s="7">
        <f t="shared" ca="1" si="17"/>
        <v>1.2201573668998603E-2</v>
      </c>
      <c r="N81" s="7">
        <v>0.99253999999999998</v>
      </c>
      <c r="O81" s="8">
        <v>3.7878790000000002</v>
      </c>
      <c r="P81" s="8">
        <f t="shared" ca="1" si="18"/>
        <v>0.17506851004205867</v>
      </c>
      <c r="Q81" s="9">
        <v>0.10829999999999999</v>
      </c>
      <c r="R81" s="9">
        <f t="shared" ca="1" si="19"/>
        <v>2.5261741824347738E-3</v>
      </c>
      <c r="S81" s="8">
        <f t="shared" si="20"/>
        <v>0.59251120228705678</v>
      </c>
      <c r="T81" s="11">
        <v>8.0399999999999999E-2</v>
      </c>
      <c r="U81" s="11">
        <f t="shared" ca="1" si="21"/>
        <v>7.2798120854868217E-3</v>
      </c>
      <c r="V81" s="6" t="e">
        <f ca="1">IF(agePb6U8(1/O81)&lt;1400,age7corr(1/O81,Q81,$W$2),agePb76(Q81))</f>
        <v>#NAME?</v>
      </c>
      <c r="W81" s="6" t="e">
        <f ca="1">IF(agePb6U8(1/O81)&lt;1400,ageer7corr(V81,1/O81,P81/O81*(1/O81),Q81,R81,$W$2,0.05),ageerPb76(Q81,R81))</f>
        <v>#NAME?</v>
      </c>
      <c r="X81" s="4" t="e">
        <f ca="1">agePb6U8(L81)/agePb7u5(J81)</f>
        <v>#NAME?</v>
      </c>
      <c r="Z81" s="1">
        <v>3.95</v>
      </c>
      <c r="AA81" s="1">
        <v>0.21</v>
      </c>
      <c r="AB81" s="1">
        <v>0.26400000000000001</v>
      </c>
      <c r="AC81" s="1">
        <v>1.0999999999999999E-2</v>
      </c>
      <c r="AD81" s="1">
        <v>0.99253999999999998</v>
      </c>
      <c r="AE81" s="1">
        <v>3.7878790000000002</v>
      </c>
      <c r="AF81" s="1">
        <v>0.1578283</v>
      </c>
      <c r="AG81" s="1">
        <v>0.10829999999999999</v>
      </c>
      <c r="AH81" s="1">
        <v>1.2999999999999999E-3</v>
      </c>
      <c r="AI81" s="1">
        <v>-0.80428999999999995</v>
      </c>
      <c r="AJ81" s="1">
        <v>8.0399999999999999E-2</v>
      </c>
      <c r="AK81" s="1">
        <v>7.1000000000000004E-3</v>
      </c>
      <c r="AL81" s="1">
        <v>8.73</v>
      </c>
      <c r="AM81" s="1">
        <v>0.28999999999999998</v>
      </c>
      <c r="AN81" s="1">
        <v>1620</v>
      </c>
      <c r="AO81" s="1">
        <v>42</v>
      </c>
      <c r="AP81" s="1">
        <v>1510</v>
      </c>
      <c r="AQ81" s="1">
        <v>56</v>
      </c>
      <c r="AR81" s="1">
        <v>1560</v>
      </c>
      <c r="AS81" s="1">
        <v>130</v>
      </c>
      <c r="AT81" s="1">
        <v>1770</v>
      </c>
      <c r="AU81" s="1">
        <v>21</v>
      </c>
      <c r="AV81" s="1">
        <v>17.37</v>
      </c>
      <c r="AW81" s="1">
        <v>0.31</v>
      </c>
      <c r="AX81" s="1">
        <v>2.64</v>
      </c>
      <c r="AY81" s="1">
        <v>0.1</v>
      </c>
      <c r="AZ81" s="1">
        <v>16953.300000000003</v>
      </c>
      <c r="BA81" s="1">
        <v>1242</v>
      </c>
      <c r="BB81" s="1">
        <v>19747.8</v>
      </c>
      <c r="BC81" s="1">
        <v>1055.7</v>
      </c>
      <c r="BD81" s="1">
        <v>181952.99999999997</v>
      </c>
      <c r="BE81" s="1">
        <v>8072.9999999999982</v>
      </c>
      <c r="BF81" s="1">
        <v>21.734999999999999</v>
      </c>
      <c r="BG81" s="1">
        <v>8.6940000000000008</v>
      </c>
      <c r="BH81" s="1">
        <f t="shared" si="22"/>
        <v>8371.4285714285706</v>
      </c>
      <c r="BI81" s="1">
        <f t="shared" si="23"/>
        <v>3369.1081603175594</v>
      </c>
    </row>
    <row r="82" spans="1:61" s="23" customFormat="1" x14ac:dyDescent="0.2">
      <c r="A82" s="23" t="s">
        <v>254</v>
      </c>
      <c r="B82" s="23" t="s">
        <v>38</v>
      </c>
      <c r="C82" s="23" t="s">
        <v>255</v>
      </c>
      <c r="D82" s="23" t="s">
        <v>256</v>
      </c>
      <c r="E82" s="23">
        <v>82721</v>
      </c>
      <c r="F82" s="23">
        <v>43806</v>
      </c>
      <c r="G82" s="23" t="s">
        <v>256</v>
      </c>
      <c r="H82" s="24">
        <v>130.19999999999999</v>
      </c>
      <c r="I82" s="24">
        <v>99.4</v>
      </c>
      <c r="J82" s="25">
        <v>2.23</v>
      </c>
      <c r="K82" s="25">
        <f t="shared" ca="1" si="16"/>
        <v>0.30329714802483715</v>
      </c>
      <c r="L82" s="26">
        <v>0.16819999999999999</v>
      </c>
      <c r="M82" s="26">
        <f t="shared" ca="1" si="17"/>
        <v>5.3811240461450055E-3</v>
      </c>
      <c r="N82" s="26">
        <v>0.60829999999999995</v>
      </c>
      <c r="O82" s="26">
        <v>5.945303</v>
      </c>
      <c r="P82" s="26">
        <f t="shared" ca="1" si="18"/>
        <v>0.19020456266442087</v>
      </c>
      <c r="Q82" s="25">
        <v>9.5000000000000001E-2</v>
      </c>
      <c r="R82" s="25">
        <f t="shared" ca="1" si="19"/>
        <v>1.1162884931772789E-2</v>
      </c>
      <c r="S82" s="26">
        <f t="shared" si="20"/>
        <v>0.14012691991018772</v>
      </c>
      <c r="T82" s="25">
        <v>6.2100000000000002E-2</v>
      </c>
      <c r="U82" s="25">
        <f t="shared" ca="1" si="21"/>
        <v>6.7158442507252959E-3</v>
      </c>
      <c r="V82" s="24" t="e">
        <f ca="1">IF(agePb6U8(1/O82)&lt;1400,age7corr(1/O82,Q82,$W$2),agePb76(Q82))</f>
        <v>#NAME?</v>
      </c>
      <c r="W82" s="24" t="e">
        <f ca="1">IF(agePb6U8(1/O82)&lt;1400,ageer7corr(V82,1/O82,P82/O82*(1/O82),Q82,R82,$W$2,0.05),ageerPb76(Q82,R82))</f>
        <v>#NAME?</v>
      </c>
      <c r="X82" s="26" t="e">
        <f ca="1">agePb6U8(L82)/agePb7u5(J82)</f>
        <v>#NAME?</v>
      </c>
      <c r="Y82" s="24"/>
      <c r="Z82" s="24">
        <v>2.23</v>
      </c>
      <c r="AA82" s="24">
        <v>0.3</v>
      </c>
      <c r="AB82" s="24">
        <v>0.16819999999999999</v>
      </c>
      <c r="AC82" s="24">
        <v>4.1999999999999997E-3</v>
      </c>
      <c r="AD82" s="24">
        <v>0.60829999999999995</v>
      </c>
      <c r="AE82" s="24">
        <v>5.945303</v>
      </c>
      <c r="AF82" s="24">
        <v>0.1484558</v>
      </c>
      <c r="AG82" s="24">
        <v>9.5000000000000001E-2</v>
      </c>
      <c r="AH82" s="24">
        <v>1.0999999999999999E-2</v>
      </c>
      <c r="AI82" s="24">
        <v>-0.47393000000000002</v>
      </c>
      <c r="AJ82" s="24">
        <v>6.2100000000000002E-2</v>
      </c>
      <c r="AK82" s="24">
        <v>6.6E-3</v>
      </c>
      <c r="AL82" s="24">
        <v>3.97</v>
      </c>
      <c r="AM82" s="24">
        <v>0.38</v>
      </c>
      <c r="AN82" s="24">
        <v>1171</v>
      </c>
      <c r="AO82" s="24">
        <v>87</v>
      </c>
      <c r="AP82" s="24">
        <v>1002</v>
      </c>
      <c r="AQ82" s="24">
        <v>23</v>
      </c>
      <c r="AR82" s="24">
        <v>1220</v>
      </c>
      <c r="AS82" s="24">
        <v>130</v>
      </c>
      <c r="AT82" s="24">
        <v>1500</v>
      </c>
      <c r="AU82" s="24">
        <v>210</v>
      </c>
      <c r="AV82" s="24">
        <v>28.6</v>
      </c>
      <c r="AW82" s="24">
        <v>0.65</v>
      </c>
      <c r="AX82" s="24">
        <v>7.88</v>
      </c>
      <c r="AY82" s="24">
        <v>0.16</v>
      </c>
      <c r="AZ82" s="24">
        <v>41544.9</v>
      </c>
      <c r="BA82" s="24">
        <v>5837.4</v>
      </c>
      <c r="BB82" s="24">
        <v>18195.300000000003</v>
      </c>
      <c r="BC82" s="24">
        <v>2670.3</v>
      </c>
      <c r="BD82" s="24">
        <v>189218.69999999998</v>
      </c>
      <c r="BE82" s="24">
        <v>5154.3</v>
      </c>
      <c r="BF82" s="24">
        <v>372.6</v>
      </c>
      <c r="BG82" s="24">
        <v>192.51</v>
      </c>
      <c r="BH82" s="24">
        <f t="shared" si="22"/>
        <v>507.83333333333326</v>
      </c>
      <c r="BI82" s="24">
        <f t="shared" si="23"/>
        <v>262.74496578384344</v>
      </c>
    </row>
    <row r="83" spans="1:61" x14ac:dyDescent="0.2">
      <c r="A83" t="s">
        <v>257</v>
      </c>
      <c r="B83" t="s">
        <v>38</v>
      </c>
      <c r="C83" t="s">
        <v>258</v>
      </c>
      <c r="D83" t="s">
        <v>259</v>
      </c>
      <c r="E83">
        <v>82681</v>
      </c>
      <c r="F83">
        <v>44186</v>
      </c>
      <c r="G83" t="s">
        <v>259</v>
      </c>
      <c r="H83" s="1">
        <v>74.599999999999994</v>
      </c>
      <c r="I83" s="1">
        <v>17.5</v>
      </c>
      <c r="J83" s="10">
        <v>1.994</v>
      </c>
      <c r="K83" s="10">
        <f t="shared" ca="1" si="16"/>
        <v>6.7129832414508525E-2</v>
      </c>
      <c r="L83" s="7">
        <v>0.18690000000000001</v>
      </c>
      <c r="M83" s="7">
        <f t="shared" ca="1" si="17"/>
        <v>6.0052180643170644E-3</v>
      </c>
      <c r="N83" s="7">
        <v>0.96499999999999997</v>
      </c>
      <c r="O83" s="8">
        <v>5.3504550000000002</v>
      </c>
      <c r="P83" s="8">
        <f t="shared" ca="1" si="18"/>
        <v>0.17191356329495935</v>
      </c>
      <c r="Q83" s="9">
        <v>7.7219999999999997E-2</v>
      </c>
      <c r="R83" s="9">
        <f t="shared" ca="1" si="19"/>
        <v>1.6328108769848391E-3</v>
      </c>
      <c r="S83" s="8">
        <f t="shared" si="20"/>
        <v>0.42924269061744857</v>
      </c>
      <c r="T83" s="11">
        <v>5.9900000000000002E-2</v>
      </c>
      <c r="U83" s="11">
        <f t="shared" ca="1" si="21"/>
        <v>1.9988006403841283E-3</v>
      </c>
      <c r="V83" s="6" t="e">
        <f ca="1">IF(agePb6U8(1/O83)&lt;1400,age7corr(1/O83,Q83,$W$2),agePb76(Q83))</f>
        <v>#NAME?</v>
      </c>
      <c r="W83" s="6" t="e">
        <f ca="1">IF(agePb6U8(1/O83)&lt;1400,ageer7corr(V83,1/O83,P83/O83*(1/O83),Q83,R83,$W$2,0.05),ageerPb76(Q83,R83))</f>
        <v>#NAME?</v>
      </c>
      <c r="X83" s="4" t="e">
        <f ca="1">agePb6U8(L83)/agePb7u5(J83)</f>
        <v>#NAME?</v>
      </c>
      <c r="Z83" s="1">
        <v>1.994</v>
      </c>
      <c r="AA83" s="1">
        <v>5.3999999999999999E-2</v>
      </c>
      <c r="AB83" s="1">
        <v>0.18690000000000001</v>
      </c>
      <c r="AC83" s="1">
        <v>4.7000000000000002E-3</v>
      </c>
      <c r="AD83" s="1">
        <v>0.96499999999999997</v>
      </c>
      <c r="AE83" s="1">
        <v>5.3504550000000002</v>
      </c>
      <c r="AF83" s="1">
        <v>0.13454859999999999</v>
      </c>
      <c r="AG83" s="1">
        <v>7.7219999999999997E-2</v>
      </c>
      <c r="AH83" s="1">
        <v>5.2999999999999998E-4</v>
      </c>
      <c r="AI83" s="1">
        <v>-0.21052999999999999</v>
      </c>
      <c r="AJ83" s="1">
        <v>5.9900000000000002E-2</v>
      </c>
      <c r="AK83" s="1">
        <v>1.6000000000000001E-3</v>
      </c>
      <c r="AL83" s="1">
        <v>14.06</v>
      </c>
      <c r="AM83" s="1">
        <v>0.13</v>
      </c>
      <c r="AN83" s="1">
        <v>1113</v>
      </c>
      <c r="AO83" s="1">
        <v>18</v>
      </c>
      <c r="AP83" s="1">
        <v>1104</v>
      </c>
      <c r="AQ83" s="1">
        <v>25</v>
      </c>
      <c r="AR83" s="1">
        <v>1176</v>
      </c>
      <c r="AS83" s="1">
        <v>30</v>
      </c>
      <c r="AT83" s="1">
        <v>1127</v>
      </c>
      <c r="AU83" s="1">
        <v>14</v>
      </c>
      <c r="AV83" s="1">
        <v>16.38</v>
      </c>
      <c r="AW83" s="1">
        <v>0.6</v>
      </c>
      <c r="AX83" s="1">
        <v>1.387</v>
      </c>
      <c r="AY83" s="1">
        <v>2.3E-2</v>
      </c>
      <c r="AZ83" s="1">
        <v>6880.6799999999994</v>
      </c>
      <c r="BA83" s="1">
        <v>167.67000000000002</v>
      </c>
      <c r="BB83" s="1">
        <v>9252.9</v>
      </c>
      <c r="BC83" s="1">
        <v>291.87</v>
      </c>
      <c r="BD83" s="1">
        <v>119790.90000000001</v>
      </c>
      <c r="BE83" s="1">
        <v>3539.7000000000003</v>
      </c>
      <c r="BF83" s="1">
        <v>2.4218999999999999</v>
      </c>
      <c r="BG83" s="1">
        <v>5.1543000000000001</v>
      </c>
      <c r="BH83" s="1">
        <f t="shared" si="22"/>
        <v>49461.538461538468</v>
      </c>
      <c r="BI83" s="1">
        <f t="shared" si="23"/>
        <v>105274.44565344516</v>
      </c>
    </row>
    <row r="84" spans="1:61" x14ac:dyDescent="0.2">
      <c r="A84" t="s">
        <v>260</v>
      </c>
      <c r="B84" t="s">
        <v>38</v>
      </c>
      <c r="C84" t="s">
        <v>261</v>
      </c>
      <c r="D84" t="s">
        <v>262</v>
      </c>
      <c r="E84">
        <v>82765</v>
      </c>
      <c r="F84">
        <v>44338</v>
      </c>
      <c r="G84" t="s">
        <v>262</v>
      </c>
      <c r="H84" s="1">
        <v>121</v>
      </c>
      <c r="I84" s="1">
        <v>46.59</v>
      </c>
      <c r="J84" s="10">
        <v>1.72</v>
      </c>
      <c r="K84" s="10">
        <f t="shared" ca="1" si="16"/>
        <v>5.1257779897299488E-2</v>
      </c>
      <c r="L84" s="7">
        <v>0.1719</v>
      </c>
      <c r="M84" s="7">
        <f t="shared" ca="1" si="17"/>
        <v>5.5838914745901004E-3</v>
      </c>
      <c r="N84" s="7">
        <v>0.97045999999999999</v>
      </c>
      <c r="O84" s="8">
        <v>5.8173360000000001</v>
      </c>
      <c r="P84" s="8">
        <f t="shared" ca="1" si="18"/>
        <v>0.18896664954210413</v>
      </c>
      <c r="Q84" s="9">
        <v>7.3520000000000002E-2</v>
      </c>
      <c r="R84" s="9">
        <f t="shared" ca="1" si="19"/>
        <v>1.5436891396910196E-3</v>
      </c>
      <c r="S84" s="8">
        <f t="shared" si="20"/>
        <v>0.46232551970033775</v>
      </c>
      <c r="T84" s="11">
        <v>5.4899999999999997E-2</v>
      </c>
      <c r="U84" s="11">
        <f t="shared" ca="1" si="21"/>
        <v>1.5542213484571624E-3</v>
      </c>
      <c r="V84" s="6" t="e">
        <f ca="1">IF(agePb6U8(1/O84)&lt;1400,age7corr(1/O84,Q84,$W$2),agePb76(Q84))</f>
        <v>#NAME?</v>
      </c>
      <c r="W84" s="6" t="e">
        <f ca="1">IF(agePb6U8(1/O84)&lt;1400,ageer7corr(V84,1/O84,P84/O84*(1/O84),Q84,R84,$W$2,0.05),ageerPb76(Q84,R84))</f>
        <v>#NAME?</v>
      </c>
      <c r="X84" s="4" t="e">
        <f ca="1">agePb6U8(L84)/agePb7u5(J84)</f>
        <v>#NAME?</v>
      </c>
      <c r="Z84" s="1">
        <v>1.72</v>
      </c>
      <c r="AA84" s="1">
        <v>3.7999999999999999E-2</v>
      </c>
      <c r="AB84" s="1">
        <v>0.1719</v>
      </c>
      <c r="AC84" s="1">
        <v>4.4000000000000003E-3</v>
      </c>
      <c r="AD84" s="1">
        <v>0.97045999999999999</v>
      </c>
      <c r="AE84" s="1">
        <v>5.8173360000000001</v>
      </c>
      <c r="AF84" s="1">
        <v>0.14890210000000001</v>
      </c>
      <c r="AG84" s="1">
        <v>7.3520000000000002E-2</v>
      </c>
      <c r="AH84" s="1">
        <v>4.6999999999999999E-4</v>
      </c>
      <c r="AI84" s="1">
        <v>9.4979000000000001E-3</v>
      </c>
      <c r="AJ84" s="1">
        <v>5.4899999999999997E-2</v>
      </c>
      <c r="AK84" s="1">
        <v>1.1000000000000001E-3</v>
      </c>
      <c r="AL84" s="1">
        <v>8.7560000000000002</v>
      </c>
      <c r="AM84" s="1">
        <v>3.5000000000000003E-2</v>
      </c>
      <c r="AN84" s="1">
        <v>1015</v>
      </c>
      <c r="AO84" s="1">
        <v>14</v>
      </c>
      <c r="AP84" s="1">
        <v>1022</v>
      </c>
      <c r="AQ84" s="1">
        <v>24</v>
      </c>
      <c r="AR84" s="1">
        <v>1081</v>
      </c>
      <c r="AS84" s="1">
        <v>22</v>
      </c>
      <c r="AT84" s="1">
        <v>1028</v>
      </c>
      <c r="AU84" s="1">
        <v>13</v>
      </c>
      <c r="AV84" s="1">
        <v>26.57</v>
      </c>
      <c r="AW84" s="1">
        <v>0.45</v>
      </c>
      <c r="AX84" s="1">
        <v>3.6930000000000001</v>
      </c>
      <c r="AY84" s="1">
        <v>6.4000000000000001E-2</v>
      </c>
      <c r="AZ84" s="1">
        <v>16499.97</v>
      </c>
      <c r="BA84" s="1">
        <v>229.77</v>
      </c>
      <c r="BB84" s="1">
        <v>13034.79</v>
      </c>
      <c r="BC84" s="1">
        <v>161.45999999999998</v>
      </c>
      <c r="BD84" s="1">
        <v>178289.1</v>
      </c>
      <c r="BE84" s="1">
        <v>2421.9</v>
      </c>
      <c r="BF84" s="1">
        <v>2.2976999999999999</v>
      </c>
      <c r="BG84" s="1">
        <v>5.2784999999999993</v>
      </c>
      <c r="BH84" s="1">
        <f t="shared" si="22"/>
        <v>77594.5945945946</v>
      </c>
      <c r="BI84" s="1">
        <f t="shared" si="23"/>
        <v>178260.96877606193</v>
      </c>
    </row>
    <row r="85" spans="1:61" s="23" customFormat="1" x14ac:dyDescent="0.2">
      <c r="A85" s="23" t="s">
        <v>269</v>
      </c>
      <c r="B85" s="23" t="s">
        <v>38</v>
      </c>
      <c r="C85" s="23" t="s">
        <v>270</v>
      </c>
      <c r="D85" s="23" t="s">
        <v>271</v>
      </c>
      <c r="E85" s="23">
        <v>82645</v>
      </c>
      <c r="F85" s="23">
        <v>44454</v>
      </c>
      <c r="G85" s="23" t="s">
        <v>271</v>
      </c>
      <c r="H85" s="24">
        <v>74.8</v>
      </c>
      <c r="I85" s="24">
        <v>67</v>
      </c>
      <c r="J85" s="25">
        <v>3.49</v>
      </c>
      <c r="K85" s="25">
        <f t="shared" ca="1" si="16"/>
        <v>0.13882377318024458</v>
      </c>
      <c r="L85" s="26">
        <v>0.191</v>
      </c>
      <c r="M85" s="26">
        <f t="shared" ca="1" si="17"/>
        <v>5.9793310662648539E-3</v>
      </c>
      <c r="N85" s="26">
        <v>0.10484</v>
      </c>
      <c r="O85" s="26">
        <v>5.2356020000000001</v>
      </c>
      <c r="P85" s="26">
        <f t="shared" ca="1" si="18"/>
        <v>0.1639025807300227</v>
      </c>
      <c r="Q85" s="25">
        <v>0.1331</v>
      </c>
      <c r="R85" s="25">
        <f t="shared" ca="1" si="19"/>
        <v>6.2005035279402909E-3</v>
      </c>
      <c r="S85" s="26">
        <f t="shared" si="20"/>
        <v>0.14211696403096125</v>
      </c>
      <c r="T85" s="25">
        <v>8.1000000000000003E-2</v>
      </c>
      <c r="U85" s="25">
        <f t="shared" ca="1" si="21"/>
        <v>1.0130370180797935E-2</v>
      </c>
      <c r="V85" s="24" t="e">
        <f ca="1">IF(agePb6U8(1/O85)&lt;1400,age7corr(1/O85,Q85,$W$2),agePb76(Q85))</f>
        <v>#NAME?</v>
      </c>
      <c r="W85" s="24" t="e">
        <f ca="1">IF(agePb6U8(1/O85)&lt;1400,ageer7corr(V85,1/O85,P85/O85*(1/O85),Q85,R85,$W$2,0.05),ageerPb76(Q85,R85))</f>
        <v>#NAME?</v>
      </c>
      <c r="X85" s="26" t="e">
        <f ca="1">agePb6U8(L85)/agePb7u5(J85)</f>
        <v>#NAME?</v>
      </c>
      <c r="Y85" s="24"/>
      <c r="Z85" s="24">
        <v>3.49</v>
      </c>
      <c r="AA85" s="24">
        <v>0.12</v>
      </c>
      <c r="AB85" s="24">
        <v>0.191</v>
      </c>
      <c r="AC85" s="24">
        <v>4.5999999999999999E-3</v>
      </c>
      <c r="AD85" s="24">
        <v>0.10484</v>
      </c>
      <c r="AE85" s="24">
        <v>5.2356020000000001</v>
      </c>
      <c r="AF85" s="24">
        <v>0.12609300000000001</v>
      </c>
      <c r="AG85" s="24">
        <v>0.1331</v>
      </c>
      <c r="AH85" s="24">
        <v>5.5999999999999999E-3</v>
      </c>
      <c r="AI85" s="24">
        <v>0.60777999999999999</v>
      </c>
      <c r="AJ85" s="24">
        <v>8.1000000000000003E-2</v>
      </c>
      <c r="AK85" s="24">
        <v>0.01</v>
      </c>
      <c r="AL85" s="24">
        <v>3.24</v>
      </c>
      <c r="AM85" s="24">
        <v>0.27</v>
      </c>
      <c r="AN85" s="24">
        <v>1523</v>
      </c>
      <c r="AO85" s="24">
        <v>27</v>
      </c>
      <c r="AP85" s="24">
        <v>1133</v>
      </c>
      <c r="AQ85" s="24">
        <v>27</v>
      </c>
      <c r="AR85" s="24">
        <v>1570</v>
      </c>
      <c r="AS85" s="24">
        <v>200</v>
      </c>
      <c r="AT85" s="24">
        <v>2129</v>
      </c>
      <c r="AU85" s="24">
        <v>77</v>
      </c>
      <c r="AV85" s="24">
        <v>16.41</v>
      </c>
      <c r="AW85" s="24">
        <v>0.69</v>
      </c>
      <c r="AX85" s="24">
        <v>5.3</v>
      </c>
      <c r="AY85" s="24">
        <v>1.1000000000000001</v>
      </c>
      <c r="AZ85" s="24">
        <v>32043.600000000002</v>
      </c>
      <c r="BA85" s="24">
        <v>3042.9</v>
      </c>
      <c r="BB85" s="24">
        <v>16208.1</v>
      </c>
      <c r="BC85" s="24">
        <v>993.6</v>
      </c>
      <c r="BD85" s="24">
        <v>122585.4</v>
      </c>
      <c r="BE85" s="24">
        <v>2546.1</v>
      </c>
      <c r="BF85" s="24">
        <v>521.64</v>
      </c>
      <c r="BG85" s="24">
        <v>68.31</v>
      </c>
      <c r="BH85" s="24">
        <f t="shared" si="22"/>
        <v>235</v>
      </c>
      <c r="BI85" s="24">
        <f t="shared" si="23"/>
        <v>31.158482773601708</v>
      </c>
    </row>
    <row r="86" spans="1:61" x14ac:dyDescent="0.2">
      <c r="A86" t="s">
        <v>272</v>
      </c>
      <c r="B86" t="s">
        <v>38</v>
      </c>
      <c r="C86" t="s">
        <v>273</v>
      </c>
      <c r="D86" t="s">
        <v>274</v>
      </c>
      <c r="E86">
        <v>82633</v>
      </c>
      <c r="F86">
        <v>44582</v>
      </c>
      <c r="G86" t="s">
        <v>274</v>
      </c>
      <c r="H86" s="1">
        <v>202.6</v>
      </c>
      <c r="I86" s="1">
        <v>193.1</v>
      </c>
      <c r="J86" s="10">
        <v>3.1949999999999998</v>
      </c>
      <c r="K86" s="10">
        <f t="shared" ca="1" si="16"/>
        <v>0.10634006770733222</v>
      </c>
      <c r="L86" s="7">
        <v>0.24929999999999999</v>
      </c>
      <c r="M86" s="7">
        <f t="shared" ca="1" si="17"/>
        <v>8.1920812984247159E-3</v>
      </c>
      <c r="N86" s="7">
        <v>0.99456999999999995</v>
      </c>
      <c r="O86" s="8">
        <v>4.0112310000000004</v>
      </c>
      <c r="P86" s="8">
        <f t="shared" ca="1" si="18"/>
        <v>0.13181043571035794</v>
      </c>
      <c r="Q86" s="9">
        <v>9.2670000000000002E-2</v>
      </c>
      <c r="R86" s="9">
        <f t="shared" ca="1" si="19"/>
        <v>1.8744309963292861E-3</v>
      </c>
      <c r="S86" s="8">
        <f t="shared" si="20"/>
        <v>0.5173499199620335</v>
      </c>
      <c r="T86" s="11">
        <v>8.1000000000000003E-2</v>
      </c>
      <c r="U86" s="11">
        <f t="shared" ca="1" si="21"/>
        <v>2.3482759633399134E-3</v>
      </c>
      <c r="V86" s="6" t="e">
        <f ca="1">IF(agePb6U8(1/O86)&lt;1400,age7corr(1/O86,Q86,$W$2),agePb76(Q86))</f>
        <v>#NAME?</v>
      </c>
      <c r="W86" s="6" t="e">
        <f ca="1">IF(agePb6U8(1/O86)&lt;1400,ageer7corr(V86,1/O86,P86/O86*(1/O86),Q86,R86,$W$2,0.05),ageerPb76(Q86,R86))</f>
        <v>#NAME?</v>
      </c>
      <c r="X86" s="4" t="e">
        <f ca="1">agePb6U8(L86)/agePb7u5(J86)</f>
        <v>#NAME?</v>
      </c>
      <c r="Z86" s="1">
        <v>3.1949999999999998</v>
      </c>
      <c r="AA86" s="1">
        <v>8.5000000000000006E-2</v>
      </c>
      <c r="AB86" s="1">
        <v>0.24929999999999999</v>
      </c>
      <c r="AC86" s="1">
        <v>6.4999999999999997E-3</v>
      </c>
      <c r="AD86" s="1">
        <v>0.99456999999999995</v>
      </c>
      <c r="AE86" s="1">
        <v>4.0112310000000004</v>
      </c>
      <c r="AF86" s="1">
        <v>0.10458489999999999</v>
      </c>
      <c r="AG86" s="1">
        <v>9.2670000000000002E-2</v>
      </c>
      <c r="AH86" s="1">
        <v>2.7999999999999998E-4</v>
      </c>
      <c r="AI86" s="1">
        <v>-0.21592</v>
      </c>
      <c r="AJ86" s="1">
        <v>8.1000000000000003E-2</v>
      </c>
      <c r="AK86" s="1">
        <v>1.6999999999999999E-3</v>
      </c>
      <c r="AL86" s="1">
        <v>3.5068999999999999</v>
      </c>
      <c r="AM86" s="1">
        <v>6.1000000000000004E-3</v>
      </c>
      <c r="AN86" s="1">
        <v>1455</v>
      </c>
      <c r="AO86" s="1">
        <v>21</v>
      </c>
      <c r="AP86" s="1">
        <v>1434</v>
      </c>
      <c r="AQ86" s="1">
        <v>34</v>
      </c>
      <c r="AR86" s="1">
        <v>1574</v>
      </c>
      <c r="AS86" s="1">
        <v>32</v>
      </c>
      <c r="AT86" s="1">
        <v>1481.1</v>
      </c>
      <c r="AU86" s="1">
        <v>5.8</v>
      </c>
      <c r="AV86" s="1">
        <v>44.46</v>
      </c>
      <c r="AW86" s="1">
        <v>0.71</v>
      </c>
      <c r="AX86" s="1">
        <v>15.299999999999999</v>
      </c>
      <c r="AY86" s="1">
        <v>0.34</v>
      </c>
      <c r="AZ86" s="1">
        <v>99794.7</v>
      </c>
      <c r="BA86" s="1">
        <v>1925.1</v>
      </c>
      <c r="BB86" s="1">
        <v>40054.499999999993</v>
      </c>
      <c r="BC86" s="1">
        <v>807.3</v>
      </c>
      <c r="BD86" s="1">
        <v>431594.99999999994</v>
      </c>
      <c r="BE86" s="1">
        <v>8072.9999999999982</v>
      </c>
      <c r="BF86" s="1">
        <v>4.3470000000000004</v>
      </c>
      <c r="BG86" s="1">
        <v>5.6510999999999996</v>
      </c>
      <c r="BH86" s="1">
        <f t="shared" si="22"/>
        <v>99285.714285714261</v>
      </c>
      <c r="BI86" s="1">
        <f t="shared" si="23"/>
        <v>129084.78861996564</v>
      </c>
    </row>
    <row r="87" spans="1:61" x14ac:dyDescent="0.2">
      <c r="A87" t="s">
        <v>275</v>
      </c>
      <c r="B87" t="s">
        <v>38</v>
      </c>
      <c r="C87" t="s">
        <v>276</v>
      </c>
      <c r="D87" t="s">
        <v>277</v>
      </c>
      <c r="E87">
        <v>82712</v>
      </c>
      <c r="F87">
        <v>44707</v>
      </c>
      <c r="G87" t="s">
        <v>277</v>
      </c>
      <c r="H87" s="1">
        <v>164.5</v>
      </c>
      <c r="I87" s="1">
        <v>89.7</v>
      </c>
      <c r="J87" s="10">
        <v>2.89</v>
      </c>
      <c r="K87" s="10">
        <f t="shared" ca="1" si="16"/>
        <v>9.6280008309098108E-2</v>
      </c>
      <c r="L87" s="7">
        <v>0.2331</v>
      </c>
      <c r="M87" s="7">
        <f t="shared" ca="1" si="17"/>
        <v>7.2865797189079051E-3</v>
      </c>
      <c r="N87" s="7">
        <v>0.98385</v>
      </c>
      <c r="O87" s="8">
        <v>4.2900039999999997</v>
      </c>
      <c r="P87" s="8">
        <f t="shared" ca="1" si="18"/>
        <v>0.13410323233332744</v>
      </c>
      <c r="Q87" s="9">
        <v>8.9190000000000005E-2</v>
      </c>
      <c r="R87" s="9">
        <f t="shared" ca="1" si="19"/>
        <v>1.8396854187605011E-3</v>
      </c>
      <c r="S87" s="8">
        <f t="shared" si="20"/>
        <v>0.51583261637632161</v>
      </c>
      <c r="T87" s="11">
        <v>8.0799999999999997E-2</v>
      </c>
      <c r="U87" s="11">
        <f t="shared" ca="1" si="21"/>
        <v>2.4189782967195053E-3</v>
      </c>
      <c r="V87" s="6" t="e">
        <f ca="1">IF(agePb6U8(1/O87)&lt;1400,age7corr(1/O87,Q87,$W$2),agePb76(Q87))</f>
        <v>#NAME?</v>
      </c>
      <c r="W87" s="6" t="e">
        <f ca="1">IF(agePb6U8(1/O87)&lt;1400,ageer7corr(V87,1/O87,P87/O87*(1/O87),Q87,R87,$W$2,0.05),ageerPb76(Q87,R87))</f>
        <v>#NAME?</v>
      </c>
      <c r="X87" s="4" t="e">
        <f ca="1">agePb6U8(L87)/agePb7u5(J87)</f>
        <v>#NAME?</v>
      </c>
      <c r="Z87" s="1">
        <v>2.89</v>
      </c>
      <c r="AA87" s="1">
        <v>7.6999999999999999E-2</v>
      </c>
      <c r="AB87" s="1">
        <v>0.2331</v>
      </c>
      <c r="AC87" s="1">
        <v>5.5999999999999999E-3</v>
      </c>
      <c r="AD87" s="1">
        <v>0.98385</v>
      </c>
      <c r="AE87" s="1">
        <v>4.2900039999999997</v>
      </c>
      <c r="AF87" s="1">
        <v>0.10306319999999999</v>
      </c>
      <c r="AG87" s="1">
        <v>8.9190000000000005E-2</v>
      </c>
      <c r="AH87" s="1">
        <v>4.4999999999999999E-4</v>
      </c>
      <c r="AI87" s="1">
        <v>3.7624999999999999E-2</v>
      </c>
      <c r="AJ87" s="1">
        <v>8.0799999999999997E-2</v>
      </c>
      <c r="AK87" s="1">
        <v>1.8E-3</v>
      </c>
      <c r="AL87" s="1">
        <v>5.742</v>
      </c>
      <c r="AM87" s="1">
        <v>4.7E-2</v>
      </c>
      <c r="AN87" s="1">
        <v>1378</v>
      </c>
      <c r="AO87" s="1">
        <v>20</v>
      </c>
      <c r="AP87" s="1">
        <v>1358</v>
      </c>
      <c r="AQ87" s="1">
        <v>32</v>
      </c>
      <c r="AR87" s="1">
        <v>1571</v>
      </c>
      <c r="AS87" s="1">
        <v>34</v>
      </c>
      <c r="AT87" s="1">
        <v>1408.2</v>
      </c>
      <c r="AU87" s="1">
        <v>9.6999999999999993</v>
      </c>
      <c r="AV87" s="1">
        <v>36.089999999999996</v>
      </c>
      <c r="AW87" s="1">
        <v>0.56999999999999995</v>
      </c>
      <c r="AX87" s="1">
        <v>7.11</v>
      </c>
      <c r="AY87" s="1">
        <v>0.31</v>
      </c>
      <c r="AZ87" s="1">
        <v>46823.4</v>
      </c>
      <c r="BA87" s="1">
        <v>993.6</v>
      </c>
      <c r="BB87" s="1">
        <v>29739.69</v>
      </c>
      <c r="BC87" s="1">
        <v>434.7</v>
      </c>
      <c r="BD87" s="1">
        <v>332359.2</v>
      </c>
      <c r="BE87" s="1">
        <v>5216.3999999999996</v>
      </c>
      <c r="BF87" s="1">
        <v>21.610800000000001</v>
      </c>
      <c r="BG87" s="1">
        <v>5.2784999999999993</v>
      </c>
      <c r="BH87" s="1">
        <f t="shared" si="22"/>
        <v>15379.310344827585</v>
      </c>
      <c r="BI87" s="1">
        <f t="shared" si="23"/>
        <v>3764.187965982248</v>
      </c>
    </row>
    <row r="88" spans="1:61" s="23" customFormat="1" x14ac:dyDescent="0.2">
      <c r="A88" s="23" t="s">
        <v>278</v>
      </c>
      <c r="B88" s="23" t="s">
        <v>38</v>
      </c>
      <c r="C88" s="23" t="s">
        <v>279</v>
      </c>
      <c r="D88" s="23" t="s">
        <v>280</v>
      </c>
      <c r="E88" s="23">
        <v>82076</v>
      </c>
      <c r="F88" s="23">
        <v>40295</v>
      </c>
      <c r="G88" s="23" t="s">
        <v>280</v>
      </c>
      <c r="H88" s="24">
        <v>120.4</v>
      </c>
      <c r="I88" s="24">
        <v>74.599999999999994</v>
      </c>
      <c r="J88" s="25">
        <v>6.01</v>
      </c>
      <c r="K88" s="25">
        <f t="shared" ref="K88:K119" ca="1" si="24">SQRT(K$2^2+(AA88/Z88)^2)*J88</f>
        <v>0.5727547817347316</v>
      </c>
      <c r="L88" s="26">
        <v>0.29980000000000001</v>
      </c>
      <c r="M88" s="26">
        <f t="shared" ref="M88:M119" ca="1" si="25">SQRT(M$2^2+(AC88/AB88)^2)*L88</f>
        <v>9.9976005121228968E-3</v>
      </c>
      <c r="N88" s="26">
        <v>0.90737999999999996</v>
      </c>
      <c r="O88" s="26">
        <v>3.3355570000000001</v>
      </c>
      <c r="P88" s="26">
        <f t="shared" ref="P88:P119" ca="1" si="26">SQRT(P$2^2+(AF88/AE88)^2)*O88</f>
        <v>0.1112327136988058</v>
      </c>
      <c r="Q88" s="25">
        <v>0.14899999999999999</v>
      </c>
      <c r="R88" s="25">
        <f t="shared" ref="R88:R119" ca="1" si="27">SQRT(R$2^2+(AH88/AG88)^2)*Q88</f>
        <v>1.3337181111464296E-2</v>
      </c>
      <c r="S88" s="26">
        <f t="shared" ref="S88:S123" si="28">(((BE88/BD88)^2+(AW88/AV88)^2)+((BE88/BD88)^2+(BC88/BB88)^2)-((BC88/BB88)^2+(AW88/AV88)^2))/(2*SQRT((BE88/BD88)^2+(AW88/AV88)^2)*SQRT((BE88/BD88)^2+(BC88/BB88)^2))</f>
        <v>0.16014446152753975</v>
      </c>
      <c r="T88" s="25">
        <v>0.13600000000000001</v>
      </c>
      <c r="U88" s="25">
        <f t="shared" ref="U88:U119" ca="1" si="29">SQRT(U$2^2+(AK88/AJ88)^2)*T88</f>
        <v>1.6229553290217202E-2</v>
      </c>
      <c r="V88" s="24" t="e">
        <f ca="1">IF(agePb6U8(1/O88)&lt;1400,age7corr(1/O88,Q88,$W$2),agePb76(Q88))</f>
        <v>#NAME?</v>
      </c>
      <c r="W88" s="24" t="e">
        <f ca="1">IF(agePb6U8(1/O88)&lt;1400,ageer7corr(V88,1/O88,P88/O88*(1/O88),Q88,R88,$W$2,0.05),ageerPb76(Q88,R88))</f>
        <v>#NAME?</v>
      </c>
      <c r="X88" s="26" t="e">
        <f ca="1">agePb6U8(L88)/agePb7u5(J88)</f>
        <v>#NAME?</v>
      </c>
      <c r="Y88" s="24"/>
      <c r="Z88" s="24">
        <v>6.01</v>
      </c>
      <c r="AA88" s="24">
        <v>0.56000000000000005</v>
      </c>
      <c r="AB88" s="24">
        <v>0.29980000000000001</v>
      </c>
      <c r="AC88" s="24">
        <v>8.0000000000000002E-3</v>
      </c>
      <c r="AD88" s="24">
        <v>0.90737999999999996</v>
      </c>
      <c r="AE88" s="24">
        <v>3.3355570000000001</v>
      </c>
      <c r="AF88" s="24">
        <v>8.9007530000000001E-2</v>
      </c>
      <c r="AG88" s="24">
        <v>0.14899999999999999</v>
      </c>
      <c r="AH88" s="24">
        <v>1.2999999999999999E-2</v>
      </c>
      <c r="AI88" s="24">
        <v>-0.83026</v>
      </c>
      <c r="AJ88" s="24">
        <v>0.13600000000000001</v>
      </c>
      <c r="AK88" s="24">
        <v>1.6E-2</v>
      </c>
      <c r="AL88" s="24">
        <v>3.81</v>
      </c>
      <c r="AM88" s="24">
        <v>0.38</v>
      </c>
      <c r="AN88" s="24">
        <v>1988</v>
      </c>
      <c r="AO88" s="24">
        <v>87</v>
      </c>
      <c r="AP88" s="24">
        <v>1690</v>
      </c>
      <c r="AQ88" s="24">
        <v>39</v>
      </c>
      <c r="AR88" s="24">
        <v>2570</v>
      </c>
      <c r="AS88" s="24">
        <v>280</v>
      </c>
      <c r="AT88" s="24">
        <v>2300</v>
      </c>
      <c r="AU88" s="24">
        <v>130</v>
      </c>
      <c r="AV88" s="24">
        <v>26.419999999999998</v>
      </c>
      <c r="AW88" s="24">
        <v>0.34</v>
      </c>
      <c r="AX88" s="24">
        <v>5.91</v>
      </c>
      <c r="AY88" s="24">
        <v>0.15</v>
      </c>
      <c r="AZ88" s="24">
        <v>65205</v>
      </c>
      <c r="BA88" s="24">
        <v>8072.9999999999982</v>
      </c>
      <c r="BB88" s="24">
        <v>44525.7</v>
      </c>
      <c r="BC88" s="24">
        <v>4222.8</v>
      </c>
      <c r="BD88" s="24">
        <v>304352.09999999998</v>
      </c>
      <c r="BE88" s="24">
        <v>5713.2</v>
      </c>
      <c r="BF88" s="24">
        <v>1080.54</v>
      </c>
      <c r="BG88" s="24">
        <v>298.08</v>
      </c>
      <c r="BH88" s="24">
        <f t="shared" ref="BH88:BH123" si="30">BD88/BF88</f>
        <v>281.66666666666663</v>
      </c>
      <c r="BI88" s="24">
        <f t="shared" ref="BI88:BI119" si="31">SQRT((BG88/BF88)^2+(BE88/BD88)^2)*BH88</f>
        <v>77.880836916952319</v>
      </c>
    </row>
    <row r="89" spans="1:61" x14ac:dyDescent="0.2">
      <c r="A89" t="s">
        <v>149</v>
      </c>
      <c r="B89" t="s">
        <v>38</v>
      </c>
      <c r="C89" t="s">
        <v>150</v>
      </c>
      <c r="D89" t="s">
        <v>151</v>
      </c>
      <c r="E89">
        <v>82896</v>
      </c>
      <c r="F89">
        <v>40659</v>
      </c>
      <c r="G89" t="s">
        <v>151</v>
      </c>
      <c r="H89" s="1">
        <v>56.69</v>
      </c>
      <c r="I89" s="1">
        <v>17.41</v>
      </c>
      <c r="J89" s="10">
        <v>2.056</v>
      </c>
      <c r="K89" s="10">
        <f t="shared" ca="1" si="24"/>
        <v>5.8778009493347085E-2</v>
      </c>
      <c r="L89" s="7">
        <v>0.1918</v>
      </c>
      <c r="M89" s="7">
        <f t="shared" ca="1" si="25"/>
        <v>4.995487563791947E-3</v>
      </c>
      <c r="N89" s="7">
        <v>0.87687000000000004</v>
      </c>
      <c r="O89" s="8">
        <v>5.2137640000000003</v>
      </c>
      <c r="P89" s="8">
        <f t="shared" ca="1" si="26"/>
        <v>0.13579402238869279</v>
      </c>
      <c r="Q89" s="9">
        <v>7.7869999999999995E-2</v>
      </c>
      <c r="R89" s="9">
        <f t="shared" ca="1" si="27"/>
        <v>1.7199984767435116E-3</v>
      </c>
      <c r="S89" s="8">
        <f t="shared" si="28"/>
        <v>0.40936270745801195</v>
      </c>
      <c r="T89" s="11">
        <v>5.4800000000000001E-2</v>
      </c>
      <c r="U89" s="11">
        <f t="shared" ca="1" si="29"/>
        <v>1.8577448694586673E-3</v>
      </c>
      <c r="V89" s="6" t="e">
        <f ca="1">IF(agePb6U8(1/O89)&lt;1400,age7corr(1/O89,Q89,$W$2),agePb76(Q89))</f>
        <v>#NAME?</v>
      </c>
      <c r="W89" s="6" t="e">
        <f ca="1">IF(agePb6U8(1/O89)&lt;1400,ageer7corr(V89,1/O89,P89/O89*(1/O89),Q89,R89,$W$2,0.05),ageerPb76(Q89,R89))</f>
        <v>#NAME?</v>
      </c>
      <c r="X89" s="4" t="e">
        <f ca="1">agePb6U8(L89)/agePb7u5(J89)</f>
        <v>#NAME?</v>
      </c>
      <c r="Z89" s="1">
        <v>2.056</v>
      </c>
      <c r="AA89" s="1">
        <v>4.2000000000000003E-2</v>
      </c>
      <c r="AB89" s="1">
        <v>0.1918</v>
      </c>
      <c r="AC89" s="1">
        <v>3.2000000000000002E-3</v>
      </c>
      <c r="AD89" s="1">
        <v>0.87687000000000004</v>
      </c>
      <c r="AE89" s="1">
        <v>5.2137640000000003</v>
      </c>
      <c r="AF89" s="1">
        <v>8.6986679999999997E-2</v>
      </c>
      <c r="AG89" s="1">
        <v>7.7869999999999995E-2</v>
      </c>
      <c r="AH89" s="1">
        <v>7.2999999999999996E-4</v>
      </c>
      <c r="AI89" s="1">
        <v>2.8542000000000001E-2</v>
      </c>
      <c r="AJ89" s="1">
        <v>5.4800000000000001E-2</v>
      </c>
      <c r="AK89" s="1">
        <v>1.5E-3</v>
      </c>
      <c r="AL89" s="1">
        <v>12.438000000000001</v>
      </c>
      <c r="AM89" s="1">
        <v>7.1999999999999995E-2</v>
      </c>
      <c r="AN89" s="1">
        <v>1134</v>
      </c>
      <c r="AO89" s="1">
        <v>14</v>
      </c>
      <c r="AP89" s="1">
        <v>1131</v>
      </c>
      <c r="AQ89" s="1">
        <v>17</v>
      </c>
      <c r="AR89" s="1">
        <v>1078</v>
      </c>
      <c r="AS89" s="1">
        <v>30</v>
      </c>
      <c r="AT89" s="1">
        <v>1143</v>
      </c>
      <c r="AU89" s="1">
        <v>19</v>
      </c>
      <c r="AV89" s="1">
        <v>12.49</v>
      </c>
      <c r="AW89" s="1">
        <v>0.21000000000000002</v>
      </c>
      <c r="AX89" s="1">
        <v>1.3819999999999999</v>
      </c>
      <c r="AY89" s="1">
        <v>2.5999999999999999E-2</v>
      </c>
      <c r="AZ89" s="1">
        <v>6147.9</v>
      </c>
      <c r="BA89" s="1">
        <v>80.72999999999999</v>
      </c>
      <c r="BB89" s="1">
        <v>7228.4400000000005</v>
      </c>
      <c r="BC89" s="1">
        <v>99.359999999999985</v>
      </c>
      <c r="BD89" s="1">
        <v>92839.5</v>
      </c>
      <c r="BE89" s="1">
        <v>1179.8999999999999</v>
      </c>
      <c r="BF89" s="1">
        <v>5.4027000000000003</v>
      </c>
      <c r="BG89" s="1">
        <v>4.7196000000000007</v>
      </c>
      <c r="BH89" s="1">
        <f t="shared" si="30"/>
        <v>17183.908045977012</v>
      </c>
      <c r="BI89" s="1">
        <f t="shared" si="31"/>
        <v>15012.818561884982</v>
      </c>
    </row>
    <row r="90" spans="1:61" x14ac:dyDescent="0.2">
      <c r="A90" t="s">
        <v>281</v>
      </c>
      <c r="B90" t="s">
        <v>38</v>
      </c>
      <c r="C90" t="s">
        <v>282</v>
      </c>
      <c r="D90" t="s">
        <v>283</v>
      </c>
      <c r="E90">
        <v>82033</v>
      </c>
      <c r="F90">
        <v>40803</v>
      </c>
      <c r="G90" t="s">
        <v>283</v>
      </c>
      <c r="H90" s="1">
        <v>120.5</v>
      </c>
      <c r="I90" s="1">
        <v>57.4</v>
      </c>
      <c r="J90" s="10">
        <v>1.877</v>
      </c>
      <c r="K90" s="10">
        <f t="shared" ca="1" si="24"/>
        <v>6.1727235479972699E-2</v>
      </c>
      <c r="L90" s="7">
        <v>0.17469999999999999</v>
      </c>
      <c r="M90" s="7">
        <f t="shared" ca="1" si="25"/>
        <v>5.3111237982182268E-3</v>
      </c>
      <c r="N90" s="7">
        <v>0.96733000000000002</v>
      </c>
      <c r="O90" s="8">
        <v>5.7240979999999997</v>
      </c>
      <c r="P90" s="8">
        <f t="shared" ca="1" si="26"/>
        <v>0.17402056576991579</v>
      </c>
      <c r="Q90" s="9">
        <v>7.7649999999999997E-2</v>
      </c>
      <c r="R90" s="9">
        <f t="shared" ca="1" si="27"/>
        <v>1.647516009026923E-3</v>
      </c>
      <c r="S90" s="8">
        <f t="shared" si="28"/>
        <v>0.40160874804641117</v>
      </c>
      <c r="T90" s="11">
        <v>5.2400000000000002E-2</v>
      </c>
      <c r="U90" s="11">
        <f t="shared" ca="1" si="29"/>
        <v>1.6698215473516923E-3</v>
      </c>
      <c r="V90" s="6" t="e">
        <f ca="1">IF(agePb6U8(1/O90)&lt;1400,age7corr(1/O90,Q90,$W$2),agePb76(Q90))</f>
        <v>#NAME?</v>
      </c>
      <c r="W90" s="6" t="e">
        <f ca="1">IF(agePb6U8(1/O90)&lt;1400,ageer7corr(V90,1/O90,P90/O90*(1/O90),Q90,R90,$W$2,0.05),ageerPb76(Q90,R90))</f>
        <v>#NAME?</v>
      </c>
      <c r="X90" s="4" t="e">
        <f ca="1">agePb6U8(L90)/agePb7u5(J90)</f>
        <v>#NAME?</v>
      </c>
      <c r="Z90" s="1">
        <v>1.877</v>
      </c>
      <c r="AA90" s="1">
        <v>4.9000000000000002E-2</v>
      </c>
      <c r="AB90" s="1">
        <v>0.17469999999999999</v>
      </c>
      <c r="AC90" s="1">
        <v>4.0000000000000001E-3</v>
      </c>
      <c r="AD90" s="1">
        <v>0.96733000000000002</v>
      </c>
      <c r="AE90" s="1">
        <v>5.7240979999999997</v>
      </c>
      <c r="AF90" s="1">
        <v>0.13106119999999999</v>
      </c>
      <c r="AG90" s="1">
        <v>7.7649999999999997E-2</v>
      </c>
      <c r="AH90" s="1">
        <v>5.5000000000000003E-4</v>
      </c>
      <c r="AI90" s="1">
        <v>-0.22076000000000001</v>
      </c>
      <c r="AJ90" s="1">
        <v>5.2400000000000002E-2</v>
      </c>
      <c r="AK90" s="1">
        <v>1.2999999999999999E-3</v>
      </c>
      <c r="AL90" s="1">
        <v>7.5730000000000004</v>
      </c>
      <c r="AM90" s="1">
        <v>5.1999999999999998E-2</v>
      </c>
      <c r="AN90" s="1">
        <v>1072</v>
      </c>
      <c r="AO90" s="1">
        <v>17</v>
      </c>
      <c r="AP90" s="1">
        <v>1038</v>
      </c>
      <c r="AQ90" s="1">
        <v>22</v>
      </c>
      <c r="AR90" s="1">
        <v>1032</v>
      </c>
      <c r="AS90" s="1">
        <v>25</v>
      </c>
      <c r="AT90" s="1">
        <v>1138</v>
      </c>
      <c r="AU90" s="1">
        <v>14</v>
      </c>
      <c r="AV90" s="1">
        <v>26.43</v>
      </c>
      <c r="AW90" s="1">
        <v>0.51</v>
      </c>
      <c r="AX90" s="1">
        <v>4.5469999999999997</v>
      </c>
      <c r="AY90" s="1">
        <v>7.9000000000000001E-2</v>
      </c>
      <c r="AZ90" s="1">
        <v>19375.2</v>
      </c>
      <c r="BA90" s="1">
        <v>316.71000000000004</v>
      </c>
      <c r="BB90" s="1">
        <v>14040.81</v>
      </c>
      <c r="BC90" s="1">
        <v>223.56</v>
      </c>
      <c r="BD90" s="1">
        <v>180959.4</v>
      </c>
      <c r="BE90" s="1">
        <v>2608.1999999999998</v>
      </c>
      <c r="BF90" s="1">
        <v>34.776000000000003</v>
      </c>
      <c r="BG90" s="1">
        <v>9.9359999999999999</v>
      </c>
      <c r="BH90" s="1">
        <f t="shared" si="30"/>
        <v>5203.5714285714275</v>
      </c>
      <c r="BI90" s="1">
        <f t="shared" si="31"/>
        <v>1488.6252214641447</v>
      </c>
    </row>
    <row r="91" spans="1:61" x14ac:dyDescent="0.2">
      <c r="A91" t="s">
        <v>284</v>
      </c>
      <c r="B91" t="s">
        <v>38</v>
      </c>
      <c r="C91" t="s">
        <v>285</v>
      </c>
      <c r="D91" t="s">
        <v>286</v>
      </c>
      <c r="E91">
        <v>82037</v>
      </c>
      <c r="F91">
        <v>41233</v>
      </c>
      <c r="G91" t="s">
        <v>286</v>
      </c>
      <c r="H91" s="1">
        <v>86.4</v>
      </c>
      <c r="I91" s="1">
        <v>65.5</v>
      </c>
      <c r="J91" s="10">
        <v>2.1269999999999998</v>
      </c>
      <c r="K91" s="10">
        <f t="shared" ca="1" si="24"/>
        <v>7.6017442735203875E-2</v>
      </c>
      <c r="L91" s="7">
        <v>0.18890000000000001</v>
      </c>
      <c r="M91" s="7">
        <f t="shared" ca="1" si="25"/>
        <v>6.187348705221001E-3</v>
      </c>
      <c r="N91" s="7">
        <v>0.96287</v>
      </c>
      <c r="O91" s="8">
        <v>5.293806</v>
      </c>
      <c r="P91" s="8">
        <f t="shared" ca="1" si="26"/>
        <v>0.17339664894831275</v>
      </c>
      <c r="Q91" s="9">
        <v>8.0820000000000003E-2</v>
      </c>
      <c r="R91" s="9">
        <f t="shared" ca="1" si="27"/>
        <v>1.7241661636860875E-3</v>
      </c>
      <c r="S91" s="8">
        <f t="shared" si="28"/>
        <v>0.4108576005296411</v>
      </c>
      <c r="T91" s="11">
        <v>5.4399999999999997E-2</v>
      </c>
      <c r="U91" s="11">
        <f t="shared" ca="1" si="29"/>
        <v>1.9348757066023647E-3</v>
      </c>
      <c r="V91" s="6" t="e">
        <f ca="1">IF(agePb6U8(1/O91)&lt;1400,age7corr(1/O91,Q91,$W$2),agePb76(Q91))</f>
        <v>#NAME?</v>
      </c>
      <c r="W91" s="6" t="e">
        <f ca="1">IF(agePb6U8(1/O91)&lt;1400,ageer7corr(V91,1/O91,P91/O91*(1/O91),Q91,R91,$W$2,0.05),ageerPb76(Q91,R91))</f>
        <v>#NAME?</v>
      </c>
      <c r="X91" s="4" t="e">
        <f ca="1">agePb6U8(L91)/agePb7u5(J91)</f>
        <v>#NAME?</v>
      </c>
      <c r="Z91" s="1">
        <v>2.1269999999999998</v>
      </c>
      <c r="AA91" s="1">
        <v>6.3E-2</v>
      </c>
      <c r="AB91" s="1">
        <v>0.18890000000000001</v>
      </c>
      <c r="AC91" s="1">
        <v>4.8999999999999998E-3</v>
      </c>
      <c r="AD91" s="1">
        <v>0.96287</v>
      </c>
      <c r="AE91" s="1">
        <v>5.293806</v>
      </c>
      <c r="AF91" s="1">
        <v>0.13731950000000001</v>
      </c>
      <c r="AG91" s="1">
        <v>8.0820000000000003E-2</v>
      </c>
      <c r="AH91" s="1">
        <v>5.9999999999999995E-4</v>
      </c>
      <c r="AI91" s="1">
        <v>0.12313</v>
      </c>
      <c r="AJ91" s="1">
        <v>5.4399999999999997E-2</v>
      </c>
      <c r="AK91" s="1">
        <v>1.6000000000000001E-3</v>
      </c>
      <c r="AL91" s="1">
        <v>4.91</v>
      </c>
      <c r="AM91" s="1">
        <v>0.1</v>
      </c>
      <c r="AN91" s="1">
        <v>1157</v>
      </c>
      <c r="AO91" s="1">
        <v>20</v>
      </c>
      <c r="AP91" s="1">
        <v>1115</v>
      </c>
      <c r="AQ91" s="1">
        <v>27</v>
      </c>
      <c r="AR91" s="1">
        <v>1070</v>
      </c>
      <c r="AS91" s="1">
        <v>31</v>
      </c>
      <c r="AT91" s="1">
        <v>1217</v>
      </c>
      <c r="AU91" s="1">
        <v>15</v>
      </c>
      <c r="AV91" s="1">
        <v>19</v>
      </c>
      <c r="AW91" s="1">
        <v>1.9</v>
      </c>
      <c r="AX91" s="1">
        <v>5.19</v>
      </c>
      <c r="AY91" s="1">
        <v>0.5</v>
      </c>
      <c r="AZ91" s="1">
        <v>23039.1</v>
      </c>
      <c r="BA91" s="1">
        <v>2173.5</v>
      </c>
      <c r="BB91" s="1">
        <v>11178.000000000002</v>
      </c>
      <c r="BC91" s="1">
        <v>807.3</v>
      </c>
      <c r="BD91" s="1">
        <v>138483.00000000003</v>
      </c>
      <c r="BE91" s="1">
        <v>9936</v>
      </c>
      <c r="BF91" s="1">
        <v>37.26</v>
      </c>
      <c r="BG91" s="1">
        <v>6.2099999999999991</v>
      </c>
      <c r="BH91" s="1">
        <f t="shared" si="30"/>
        <v>3716.6666666666674</v>
      </c>
      <c r="BI91" s="1">
        <f t="shared" si="31"/>
        <v>674.40531645605938</v>
      </c>
    </row>
    <row r="92" spans="1:61" x14ac:dyDescent="0.2">
      <c r="A92" t="s">
        <v>287</v>
      </c>
      <c r="B92" t="s">
        <v>38</v>
      </c>
      <c r="C92" t="s">
        <v>288</v>
      </c>
      <c r="D92" t="s">
        <v>289</v>
      </c>
      <c r="E92">
        <v>81993</v>
      </c>
      <c r="F92">
        <v>41434</v>
      </c>
      <c r="G92" t="s">
        <v>289</v>
      </c>
      <c r="H92" s="1">
        <v>92</v>
      </c>
      <c r="I92" s="1">
        <v>48.64</v>
      </c>
      <c r="J92" s="10">
        <v>1.8640000000000001</v>
      </c>
      <c r="K92" s="10">
        <f t="shared" ca="1" si="24"/>
        <v>5.8436276404302143E-2</v>
      </c>
      <c r="L92" s="7">
        <v>0.17849999999999999</v>
      </c>
      <c r="M92" s="7">
        <f t="shared" ca="1" si="25"/>
        <v>5.7441187313634103E-3</v>
      </c>
      <c r="N92" s="7">
        <v>0.96131999999999995</v>
      </c>
      <c r="O92" s="8">
        <v>5.6022410000000002</v>
      </c>
      <c r="P92" s="8">
        <f t="shared" ca="1" si="26"/>
        <v>0.18027978804578287</v>
      </c>
      <c r="Q92" s="9">
        <v>7.5649999999999995E-2</v>
      </c>
      <c r="R92" s="9">
        <f t="shared" ca="1" si="27"/>
        <v>1.5934770158367517E-3</v>
      </c>
      <c r="S92" s="8">
        <f t="shared" si="28"/>
        <v>0.39183905601828106</v>
      </c>
      <c r="T92" s="11">
        <v>5.2499999999999998E-2</v>
      </c>
      <c r="U92" s="11">
        <f t="shared" ca="1" si="29"/>
        <v>1.7500000000000003E-3</v>
      </c>
      <c r="V92" s="6" t="e">
        <f ca="1">IF(agePb6U8(1/O92)&lt;1400,age7corr(1/O92,Q92,$W$2),agePb76(Q92))</f>
        <v>#NAME?</v>
      </c>
      <c r="W92" s="6" t="e">
        <f ca="1">IF(agePb6U8(1/O92)&lt;1400,ageer7corr(V92,1/O92,P92/O92*(1/O92),Q92,R92,$W$2,0.05),ageerPb76(Q92,R92))</f>
        <v>#NAME?</v>
      </c>
      <c r="X92" s="4" t="e">
        <f ca="1">agePb6U8(L92)/agePb7u5(J92)</f>
        <v>#NAME?</v>
      </c>
      <c r="Z92" s="1">
        <v>1.8640000000000001</v>
      </c>
      <c r="AA92" s="1">
        <v>4.4999999999999998E-2</v>
      </c>
      <c r="AB92" s="1">
        <v>0.17849999999999999</v>
      </c>
      <c r="AC92" s="1">
        <v>4.4999999999999997E-3</v>
      </c>
      <c r="AD92" s="1">
        <v>0.96131999999999995</v>
      </c>
      <c r="AE92" s="1">
        <v>5.6022410000000002</v>
      </c>
      <c r="AF92" s="1">
        <v>0.141233</v>
      </c>
      <c r="AG92" s="1">
        <v>7.5649999999999995E-2</v>
      </c>
      <c r="AH92" s="1">
        <v>5.0000000000000001E-4</v>
      </c>
      <c r="AI92" s="1">
        <v>-5.8437999999999997E-3</v>
      </c>
      <c r="AJ92" s="1">
        <v>5.2499999999999998E-2</v>
      </c>
      <c r="AK92" s="1">
        <v>1.4E-3</v>
      </c>
      <c r="AL92" s="1">
        <v>6.9370000000000003</v>
      </c>
      <c r="AM92" s="1">
        <v>3.5000000000000003E-2</v>
      </c>
      <c r="AN92" s="1">
        <v>1068</v>
      </c>
      <c r="AO92" s="1">
        <v>16</v>
      </c>
      <c r="AP92" s="1">
        <v>1058</v>
      </c>
      <c r="AQ92" s="1">
        <v>25</v>
      </c>
      <c r="AR92" s="1">
        <v>1033</v>
      </c>
      <c r="AS92" s="1">
        <v>26</v>
      </c>
      <c r="AT92" s="1">
        <v>1086</v>
      </c>
      <c r="AU92" s="1">
        <v>13</v>
      </c>
      <c r="AV92" s="1">
        <v>20.170000000000002</v>
      </c>
      <c r="AW92" s="1">
        <v>0.49</v>
      </c>
      <c r="AX92" s="1">
        <v>3.8530000000000002</v>
      </c>
      <c r="AY92" s="1">
        <v>7.4999999999999997E-2</v>
      </c>
      <c r="AZ92" s="1">
        <v>16114.95</v>
      </c>
      <c r="BA92" s="1">
        <v>279.45000000000005</v>
      </c>
      <c r="BB92" s="1">
        <v>10594.26</v>
      </c>
      <c r="BC92" s="1">
        <v>180.09</v>
      </c>
      <c r="BD92" s="1">
        <v>139104</v>
      </c>
      <c r="BE92" s="1">
        <v>2297.6999999999998</v>
      </c>
      <c r="BF92" s="1">
        <v>24.839999999999996</v>
      </c>
      <c r="BG92" s="1">
        <v>6.2099999999999991</v>
      </c>
      <c r="BH92" s="1">
        <f t="shared" si="30"/>
        <v>5600.0000000000009</v>
      </c>
      <c r="BI92" s="1">
        <f t="shared" si="31"/>
        <v>1403.0524758539864</v>
      </c>
    </row>
    <row r="93" spans="1:61" x14ac:dyDescent="0.2">
      <c r="A93" t="s">
        <v>290</v>
      </c>
      <c r="B93" t="s">
        <v>38</v>
      </c>
      <c r="C93" t="s">
        <v>291</v>
      </c>
      <c r="D93" t="s">
        <v>292</v>
      </c>
      <c r="E93">
        <v>81993</v>
      </c>
      <c r="F93">
        <v>41645</v>
      </c>
      <c r="G93" t="s">
        <v>292</v>
      </c>
      <c r="H93" s="1">
        <v>185.6</v>
      </c>
      <c r="I93" s="1">
        <v>56.8</v>
      </c>
      <c r="J93" s="10">
        <v>1.794</v>
      </c>
      <c r="K93" s="10">
        <f t="shared" ca="1" si="24"/>
        <v>4.4309980816967187E-2</v>
      </c>
      <c r="L93" s="7">
        <v>0.17430000000000001</v>
      </c>
      <c r="M93" s="7">
        <f t="shared" ca="1" si="25"/>
        <v>4.1221591429734979E-3</v>
      </c>
      <c r="N93" s="7">
        <v>0.94464000000000004</v>
      </c>
      <c r="O93" s="8">
        <v>5.7372350000000001</v>
      </c>
      <c r="P93" s="8">
        <f t="shared" ca="1" si="26"/>
        <v>0.13568442769934949</v>
      </c>
      <c r="Q93" s="9">
        <v>7.4620000000000006E-2</v>
      </c>
      <c r="R93" s="9">
        <f t="shared" ca="1" si="27"/>
        <v>1.5115745962406223E-3</v>
      </c>
      <c r="S93" s="8">
        <f t="shared" si="28"/>
        <v>0.40877689198503098</v>
      </c>
      <c r="T93" s="11">
        <v>5.1389999999999998E-2</v>
      </c>
      <c r="U93" s="11">
        <f t="shared" ca="1" si="29"/>
        <v>1.3465781967639309E-3</v>
      </c>
      <c r="V93" s="6" t="e">
        <f ca="1">IF(agePb6U8(1/O93)&lt;1400,age7corr(1/O93,Q93,$W$2),agePb76(Q93))</f>
        <v>#NAME?</v>
      </c>
      <c r="W93" s="6" t="e">
        <f ca="1">IF(agePb6U8(1/O93)&lt;1400,ageer7corr(V93,1/O93,P93/O93*(1/O93),Q93,R93,$W$2,0.05),ageerPb76(Q93,R93))</f>
        <v>#NAME?</v>
      </c>
      <c r="X93" s="4" t="e">
        <f ca="1">agePb6U8(L93)/agePb7u5(J93)</f>
        <v>#NAME?</v>
      </c>
      <c r="Z93" s="1">
        <v>1.794</v>
      </c>
      <c r="AA93" s="1">
        <v>2.5999999999999999E-2</v>
      </c>
      <c r="AB93" s="1">
        <v>0.17430000000000001</v>
      </c>
      <c r="AC93" s="1">
        <v>2.2000000000000001E-3</v>
      </c>
      <c r="AD93" s="1">
        <v>0.94464000000000004</v>
      </c>
      <c r="AE93" s="1">
        <v>5.7372350000000001</v>
      </c>
      <c r="AF93" s="1">
        <v>7.2414900000000004E-2</v>
      </c>
      <c r="AG93" s="1">
        <v>7.4620000000000006E-2</v>
      </c>
      <c r="AH93" s="1">
        <v>2.4000000000000001E-4</v>
      </c>
      <c r="AI93" s="1">
        <v>-8.2998000000000002E-2</v>
      </c>
      <c r="AJ93" s="1">
        <v>5.1389999999999998E-2</v>
      </c>
      <c r="AK93" s="1">
        <v>8.7000000000000001E-4</v>
      </c>
      <c r="AL93" s="1">
        <v>11.79</v>
      </c>
      <c r="AM93" s="1">
        <v>8.2000000000000003E-2</v>
      </c>
      <c r="AN93" s="1">
        <v>1042.9000000000001</v>
      </c>
      <c r="AO93" s="1">
        <v>9.5</v>
      </c>
      <c r="AP93" s="1">
        <v>1036</v>
      </c>
      <c r="AQ93" s="1">
        <v>12</v>
      </c>
      <c r="AR93" s="1">
        <v>1013</v>
      </c>
      <c r="AS93" s="1">
        <v>17</v>
      </c>
      <c r="AT93" s="1">
        <v>1058.2</v>
      </c>
      <c r="AU93" s="1">
        <v>6.5</v>
      </c>
      <c r="AV93" s="1">
        <v>40.71</v>
      </c>
      <c r="AW93" s="1">
        <v>0.53</v>
      </c>
      <c r="AX93" s="1">
        <v>4.4980000000000002</v>
      </c>
      <c r="AY93" s="1">
        <v>0.08</v>
      </c>
      <c r="AZ93" s="1">
        <v>18797.669999999998</v>
      </c>
      <c r="BA93" s="1">
        <v>167.67000000000002</v>
      </c>
      <c r="BB93" s="1">
        <v>20542.680000000004</v>
      </c>
      <c r="BC93" s="1">
        <v>223.56</v>
      </c>
      <c r="BD93" s="1">
        <v>275165.09999999998</v>
      </c>
      <c r="BE93" s="1">
        <v>2732.3999999999996</v>
      </c>
      <c r="BF93" s="1">
        <v>-3.1049999999999995</v>
      </c>
      <c r="BG93" s="1">
        <v>5.6510999999999996</v>
      </c>
      <c r="BH93" s="1">
        <f t="shared" si="30"/>
        <v>-88620</v>
      </c>
      <c r="BI93" s="1">
        <f t="shared" si="31"/>
        <v>-161290.80065075005</v>
      </c>
    </row>
    <row r="94" spans="1:61" x14ac:dyDescent="0.2">
      <c r="A94" t="s">
        <v>293</v>
      </c>
      <c r="B94" t="s">
        <v>38</v>
      </c>
      <c r="C94" t="s">
        <v>294</v>
      </c>
      <c r="D94" t="s">
        <v>295</v>
      </c>
      <c r="E94">
        <v>82182</v>
      </c>
      <c r="F94">
        <v>43164</v>
      </c>
      <c r="G94" t="s">
        <v>295</v>
      </c>
      <c r="H94" s="1">
        <v>266.3</v>
      </c>
      <c r="I94" s="1">
        <v>283.60000000000002</v>
      </c>
      <c r="J94" s="10">
        <v>2.2280000000000002</v>
      </c>
      <c r="K94" s="10">
        <f t="shared" ca="1" si="24"/>
        <v>7.7166013244173756E-2</v>
      </c>
      <c r="L94" s="7">
        <v>0.1981</v>
      </c>
      <c r="M94" s="7">
        <f t="shared" ca="1" si="25"/>
        <v>6.9417176548747656E-3</v>
      </c>
      <c r="N94" s="7">
        <v>0.99334</v>
      </c>
      <c r="O94" s="8">
        <v>5.0479560000000001</v>
      </c>
      <c r="P94" s="8">
        <f t="shared" ca="1" si="26"/>
        <v>0.17688787047939269</v>
      </c>
      <c r="Q94" s="9">
        <v>8.1369999999999998E-2</v>
      </c>
      <c r="R94" s="9">
        <f t="shared" ca="1" si="27"/>
        <v>1.6548204615607098E-3</v>
      </c>
      <c r="S94" s="8">
        <f t="shared" si="28"/>
        <v>0.45637246937391612</v>
      </c>
      <c r="T94" s="11">
        <v>6.0499999999999998E-2</v>
      </c>
      <c r="U94" s="11">
        <f t="shared" ca="1" si="29"/>
        <v>2.086648029735729E-3</v>
      </c>
      <c r="V94" s="6" t="e">
        <f ca="1">IF(agePb6U8(1/O94)&lt;1400,age7corr(1/O94,Q94,$W$2),agePb76(Q94))</f>
        <v>#NAME?</v>
      </c>
      <c r="W94" s="6" t="e">
        <f ca="1">IF(agePb6U8(1/O94)&lt;1400,ageer7corr(V94,1/O94,P94/O94*(1/O94),Q94,R94,$W$2,0.05),ageerPb76(Q94,R94))</f>
        <v>#NAME?</v>
      </c>
      <c r="X94" s="4" t="e">
        <f ca="1">agePb6U8(L94)/agePb7u5(J94)</f>
        <v>#NAME?</v>
      </c>
      <c r="Z94" s="1">
        <v>2.2280000000000002</v>
      </c>
      <c r="AA94" s="1">
        <v>6.3E-2</v>
      </c>
      <c r="AB94" s="1">
        <v>0.1981</v>
      </c>
      <c r="AC94" s="1">
        <v>5.7000000000000002E-3</v>
      </c>
      <c r="AD94" s="1">
        <v>0.99334</v>
      </c>
      <c r="AE94" s="1">
        <v>5.0479560000000001</v>
      </c>
      <c r="AF94" s="1">
        <v>0.1452466</v>
      </c>
      <c r="AG94" s="1">
        <v>8.1369999999999998E-2</v>
      </c>
      <c r="AH94" s="1">
        <v>2.9999999999999997E-4</v>
      </c>
      <c r="AI94" s="1">
        <v>0.13458999999999999</v>
      </c>
      <c r="AJ94" s="1">
        <v>6.0499999999999998E-2</v>
      </c>
      <c r="AK94" s="1">
        <v>1.6999999999999999E-3</v>
      </c>
      <c r="AL94" s="1">
        <v>3.2829999999999999</v>
      </c>
      <c r="AM94" s="1">
        <v>3.5999999999999997E-2</v>
      </c>
      <c r="AN94" s="1">
        <v>1189</v>
      </c>
      <c r="AO94" s="1">
        <v>20</v>
      </c>
      <c r="AP94" s="1">
        <v>1165</v>
      </c>
      <c r="AQ94" s="1">
        <v>31</v>
      </c>
      <c r="AR94" s="1">
        <v>1187</v>
      </c>
      <c r="AS94" s="1">
        <v>33</v>
      </c>
      <c r="AT94" s="1">
        <v>1232</v>
      </c>
      <c r="AU94" s="1">
        <v>6.6</v>
      </c>
      <c r="AV94" s="1">
        <v>58.4</v>
      </c>
      <c r="AW94" s="1">
        <v>2.1</v>
      </c>
      <c r="AX94" s="1">
        <v>22.46</v>
      </c>
      <c r="AY94" s="1">
        <v>0.63</v>
      </c>
      <c r="AZ94" s="1">
        <v>110662.2</v>
      </c>
      <c r="BA94" s="1">
        <v>4284.8999999999996</v>
      </c>
      <c r="BB94" s="1">
        <v>36452.699999999997</v>
      </c>
      <c r="BC94" s="1">
        <v>1117.8000000000002</v>
      </c>
      <c r="BD94" s="1">
        <v>447741</v>
      </c>
      <c r="BE94" s="1">
        <v>13662</v>
      </c>
      <c r="BF94" s="1">
        <v>11.985300000000001</v>
      </c>
      <c r="BG94" s="1">
        <v>6.0858000000000008</v>
      </c>
      <c r="BH94" s="1">
        <f t="shared" si="30"/>
        <v>37357.512953367877</v>
      </c>
      <c r="BI94" s="1">
        <f t="shared" si="31"/>
        <v>19003.318461314691</v>
      </c>
    </row>
    <row r="95" spans="1:61" s="23" customFormat="1" x14ac:dyDescent="0.2">
      <c r="A95" s="23" t="s">
        <v>296</v>
      </c>
      <c r="B95" s="23" t="s">
        <v>38</v>
      </c>
      <c r="C95" s="23" t="s">
        <v>297</v>
      </c>
      <c r="D95" s="23" t="s">
        <v>298</v>
      </c>
      <c r="E95" s="23">
        <v>82231</v>
      </c>
      <c r="F95" s="23">
        <v>43345</v>
      </c>
      <c r="G95" s="23" t="s">
        <v>298</v>
      </c>
      <c r="H95" s="24">
        <v>238</v>
      </c>
      <c r="I95" s="24">
        <v>82.1</v>
      </c>
      <c r="J95" s="25">
        <v>2.4500000000000002</v>
      </c>
      <c r="K95" s="25">
        <f t="shared" ca="1" si="24"/>
        <v>0.12961867149450346</v>
      </c>
      <c r="L95" s="26">
        <v>0.1951</v>
      </c>
      <c r="M95" s="26">
        <f t="shared" ca="1" si="25"/>
        <v>7.5812666487863351E-3</v>
      </c>
      <c r="N95" s="26">
        <v>0.66817000000000004</v>
      </c>
      <c r="O95" s="26">
        <v>5.1255769999999998</v>
      </c>
      <c r="P95" s="26">
        <f t="shared" ca="1" si="26"/>
        <v>0.19917153676710836</v>
      </c>
      <c r="Q95" s="25">
        <v>9.1899999999999996E-2</v>
      </c>
      <c r="R95" s="25">
        <f t="shared" ca="1" si="27"/>
        <v>4.4020726936296719E-3</v>
      </c>
      <c r="S95" s="26">
        <f t="shared" si="28"/>
        <v>0.44509656989895779</v>
      </c>
      <c r="T95" s="25">
        <v>8.6099999999999996E-2</v>
      </c>
      <c r="U95" s="25">
        <f t="shared" ca="1" si="29"/>
        <v>6.9177513687613849E-3</v>
      </c>
      <c r="V95" s="24" t="e">
        <f ca="1">IF(agePb6U8(1/O95)&lt;1400,age7corr(1/O95,Q95,$W$2),agePb76(Q95))</f>
        <v>#NAME?</v>
      </c>
      <c r="W95" s="24" t="e">
        <f ca="1">IF(agePb6U8(1/O95)&lt;1400,ageer7corr(V95,1/O95,P95/O95*(1/O95),Q95,R95,$W$2,0.05),ageerPb76(Q95,R95))</f>
        <v>#NAME?</v>
      </c>
      <c r="X95" s="26" t="e">
        <f ca="1">agePb6U8(L95)/agePb7u5(J95)</f>
        <v>#NAME?</v>
      </c>
      <c r="Y95" s="24"/>
      <c r="Z95" s="24">
        <v>2.4500000000000002</v>
      </c>
      <c r="AA95" s="24">
        <v>0.12</v>
      </c>
      <c r="AB95" s="24">
        <v>0.1951</v>
      </c>
      <c r="AC95" s="24">
        <v>6.4999999999999997E-3</v>
      </c>
      <c r="AD95" s="24">
        <v>0.66817000000000004</v>
      </c>
      <c r="AE95" s="24">
        <v>5.1255769999999998</v>
      </c>
      <c r="AF95" s="24">
        <v>0.170765</v>
      </c>
      <c r="AG95" s="24">
        <v>9.1899999999999996E-2</v>
      </c>
      <c r="AH95" s="24">
        <v>4.0000000000000001E-3</v>
      </c>
      <c r="AI95" s="24">
        <v>-0.20182</v>
      </c>
      <c r="AJ95" s="24">
        <v>8.6099999999999996E-2</v>
      </c>
      <c r="AK95" s="24">
        <v>6.7000000000000002E-3</v>
      </c>
      <c r="AL95" s="24">
        <v>6.95</v>
      </c>
      <c r="AM95" s="24">
        <v>0.51</v>
      </c>
      <c r="AN95" s="24">
        <v>1253</v>
      </c>
      <c r="AO95" s="24">
        <v>36</v>
      </c>
      <c r="AP95" s="24">
        <v>1149</v>
      </c>
      <c r="AQ95" s="24">
        <v>35</v>
      </c>
      <c r="AR95" s="24">
        <v>1670</v>
      </c>
      <c r="AS95" s="24">
        <v>120</v>
      </c>
      <c r="AT95" s="24">
        <v>1433</v>
      </c>
      <c r="AU95" s="24">
        <v>59</v>
      </c>
      <c r="AV95" s="24">
        <v>52.1</v>
      </c>
      <c r="AW95" s="24">
        <v>4.2</v>
      </c>
      <c r="AX95" s="24">
        <v>6.51</v>
      </c>
      <c r="AY95" s="24">
        <v>0.21000000000000002</v>
      </c>
      <c r="AZ95" s="24">
        <v>45519.299999999996</v>
      </c>
      <c r="BA95" s="24">
        <v>2980.8</v>
      </c>
      <c r="BB95" s="24">
        <v>36452.699999999997</v>
      </c>
      <c r="BC95" s="24">
        <v>3167.1</v>
      </c>
      <c r="BD95" s="24">
        <v>397440</v>
      </c>
      <c r="BE95" s="24">
        <v>29808.000000000004</v>
      </c>
      <c r="BF95" s="24">
        <v>124.2</v>
      </c>
      <c r="BG95" s="24">
        <v>99.359999999999985</v>
      </c>
      <c r="BH95" s="24">
        <f t="shared" si="30"/>
        <v>3200</v>
      </c>
      <c r="BI95" s="24">
        <f t="shared" si="31"/>
        <v>2571.225388798111</v>
      </c>
    </row>
    <row r="96" spans="1:61" x14ac:dyDescent="0.2">
      <c r="A96" t="s">
        <v>305</v>
      </c>
      <c r="B96" t="s">
        <v>38</v>
      </c>
      <c r="C96" t="s">
        <v>306</v>
      </c>
      <c r="D96" t="s">
        <v>307</v>
      </c>
      <c r="E96">
        <v>82198</v>
      </c>
      <c r="F96">
        <v>44158</v>
      </c>
      <c r="G96" t="s">
        <v>307</v>
      </c>
      <c r="H96" s="1">
        <v>248.9</v>
      </c>
      <c r="I96" s="1">
        <v>195.1</v>
      </c>
      <c r="J96" s="10">
        <v>2.3380000000000001</v>
      </c>
      <c r="K96" s="10">
        <f t="shared" ca="1" si="24"/>
        <v>8.007182775483522E-2</v>
      </c>
      <c r="L96" s="7">
        <v>0.2046</v>
      </c>
      <c r="M96" s="7">
        <f t="shared" ca="1" si="25"/>
        <v>7.2625383992100181E-3</v>
      </c>
      <c r="N96" s="7">
        <v>0.98226999999999998</v>
      </c>
      <c r="O96" s="8">
        <v>4.8875859999999998</v>
      </c>
      <c r="P96" s="8">
        <f t="shared" ca="1" si="26"/>
        <v>0.17349113615386347</v>
      </c>
      <c r="Q96" s="9">
        <v>8.2659999999999997E-2</v>
      </c>
      <c r="R96" s="9">
        <f t="shared" ca="1" si="27"/>
        <v>1.7057169284497354E-3</v>
      </c>
      <c r="S96" s="8">
        <f t="shared" si="28"/>
        <v>0.49251779343511543</v>
      </c>
      <c r="T96" s="11">
        <v>6.6199999999999995E-2</v>
      </c>
      <c r="U96" s="11">
        <f t="shared" ca="1" si="29"/>
        <v>2.1547565987832594E-3</v>
      </c>
      <c r="V96" s="6" t="e">
        <f ca="1">IF(agePb6U8(1/O96)&lt;1400,age7corr(1/O96,Q96,$W$2),agePb76(Q96))</f>
        <v>#NAME?</v>
      </c>
      <c r="W96" s="6" t="e">
        <f ca="1">IF(agePb6U8(1/O96)&lt;1400,ageer7corr(V96,1/O96,P96/O96*(1/O96),Q96,R96,$W$2,0.05),ageerPb76(Q96,R96))</f>
        <v>#NAME?</v>
      </c>
      <c r="X96" s="4" t="e">
        <f ca="1">agePb6U8(L96)/agePb7u5(J96)</f>
        <v>#NAME?</v>
      </c>
      <c r="Z96" s="1">
        <v>2.3380000000000001</v>
      </c>
      <c r="AA96" s="1">
        <v>6.5000000000000002E-2</v>
      </c>
      <c r="AB96" s="1">
        <v>0.2046</v>
      </c>
      <c r="AC96" s="1">
        <v>6.0000000000000001E-3</v>
      </c>
      <c r="AD96" s="1">
        <v>0.98226999999999998</v>
      </c>
      <c r="AE96" s="1">
        <v>4.8875859999999998</v>
      </c>
      <c r="AF96" s="1">
        <v>0.14333099999999999</v>
      </c>
      <c r="AG96" s="1">
        <v>8.2659999999999997E-2</v>
      </c>
      <c r="AH96" s="1">
        <v>4.2000000000000002E-4</v>
      </c>
      <c r="AI96" s="1">
        <v>5.0341999999999998E-2</v>
      </c>
      <c r="AJ96" s="1">
        <v>6.6199999999999995E-2</v>
      </c>
      <c r="AK96" s="1">
        <v>1.6999999999999999E-3</v>
      </c>
      <c r="AL96" s="1">
        <v>4.2240000000000002</v>
      </c>
      <c r="AM96" s="1">
        <v>1.7999999999999999E-2</v>
      </c>
      <c r="AN96" s="1">
        <v>1223</v>
      </c>
      <c r="AO96" s="1">
        <v>20</v>
      </c>
      <c r="AP96" s="1">
        <v>1200</v>
      </c>
      <c r="AQ96" s="1">
        <v>32</v>
      </c>
      <c r="AR96" s="1">
        <v>1303</v>
      </c>
      <c r="AS96" s="1">
        <v>35</v>
      </c>
      <c r="AT96" s="1">
        <v>1261</v>
      </c>
      <c r="AU96" s="1">
        <v>9.9</v>
      </c>
      <c r="AV96" s="1">
        <v>54.6</v>
      </c>
      <c r="AW96" s="1">
        <v>1.1000000000000001</v>
      </c>
      <c r="AX96" s="1">
        <v>15.450000000000001</v>
      </c>
      <c r="AY96" s="1">
        <v>0.35</v>
      </c>
      <c r="AZ96" s="1">
        <v>83897.1</v>
      </c>
      <c r="BA96" s="1">
        <v>1366.1999999999998</v>
      </c>
      <c r="BB96" s="1">
        <v>36191.879999999997</v>
      </c>
      <c r="BC96" s="1">
        <v>521.64</v>
      </c>
      <c r="BD96" s="1">
        <v>437805</v>
      </c>
      <c r="BE96" s="1">
        <v>7452.0000000000009</v>
      </c>
      <c r="BF96" s="1">
        <v>45.332999999999998</v>
      </c>
      <c r="BG96" s="1">
        <v>13.041</v>
      </c>
      <c r="BH96" s="1">
        <f t="shared" si="30"/>
        <v>9657.534246575342</v>
      </c>
      <c r="BI96" s="1">
        <f t="shared" si="31"/>
        <v>2783.0537560527951</v>
      </c>
    </row>
    <row r="97" spans="1:61" x14ac:dyDescent="0.2">
      <c r="A97" t="s">
        <v>308</v>
      </c>
      <c r="B97" t="s">
        <v>38</v>
      </c>
      <c r="C97" t="s">
        <v>309</v>
      </c>
      <c r="D97" t="s">
        <v>310</v>
      </c>
      <c r="E97">
        <v>81791</v>
      </c>
      <c r="F97">
        <v>40006</v>
      </c>
      <c r="G97" t="s">
        <v>310</v>
      </c>
      <c r="H97" s="1">
        <v>188.8</v>
      </c>
      <c r="I97" s="1">
        <v>69.36</v>
      </c>
      <c r="J97" s="10">
        <v>1.8180000000000001</v>
      </c>
      <c r="K97" s="10">
        <f t="shared" ca="1" si="24"/>
        <v>4.7138621108386271E-2</v>
      </c>
      <c r="L97" s="7">
        <v>0.17549999999999999</v>
      </c>
      <c r="M97" s="7">
        <f t="shared" ca="1" si="25"/>
        <v>4.3680773802669748E-3</v>
      </c>
      <c r="N97" s="7">
        <v>0.95226999999999995</v>
      </c>
      <c r="O97" s="8">
        <v>5.6980060000000003</v>
      </c>
      <c r="P97" s="8">
        <f t="shared" ca="1" si="26"/>
        <v>0.14181954834374705</v>
      </c>
      <c r="Q97" s="9">
        <v>7.5410000000000005E-2</v>
      </c>
      <c r="R97" s="9">
        <f t="shared" ca="1" si="27"/>
        <v>1.5578084734652075E-3</v>
      </c>
      <c r="S97" s="8">
        <f t="shared" si="28"/>
        <v>0.42203911299469576</v>
      </c>
      <c r="T97" s="11">
        <v>4.7629999999999999E-2</v>
      </c>
      <c r="U97" s="11">
        <f t="shared" ca="1" si="29"/>
        <v>1.3738801840044133E-3</v>
      </c>
      <c r="V97" s="6" t="e">
        <f ca="1">IF(agePb6U8(1/O97)&lt;1400,age7corr(1/O97,Q97,$W$2),agePb76(Q97))</f>
        <v>#NAME?</v>
      </c>
      <c r="W97" s="6" t="e">
        <f ca="1">IF(agePb6U8(1/O97)&lt;1400,ageer7corr(V97,1/O97,P97/O97*(1/O97),Q97,R97,$W$2,0.05),ageerPb76(Q97,R97))</f>
        <v>#NAME?</v>
      </c>
      <c r="X97" s="4" t="e">
        <f ca="1">agePb6U8(L97)/agePb7u5(J97)</f>
        <v>#NAME?</v>
      </c>
      <c r="Z97" s="1">
        <v>1.8180000000000001</v>
      </c>
      <c r="AA97" s="1">
        <v>0.03</v>
      </c>
      <c r="AB97" s="1">
        <v>0.17549999999999999</v>
      </c>
      <c r="AC97" s="1">
        <v>2.5999999999999999E-3</v>
      </c>
      <c r="AD97" s="1">
        <v>0.95226999999999995</v>
      </c>
      <c r="AE97" s="1">
        <v>5.6980060000000003</v>
      </c>
      <c r="AF97" s="1">
        <v>8.4414900000000001E-2</v>
      </c>
      <c r="AG97" s="1">
        <v>7.5410000000000005E-2</v>
      </c>
      <c r="AH97" s="1">
        <v>3.8999999999999999E-4</v>
      </c>
      <c r="AI97" s="1">
        <v>5.0417999999999999E-3</v>
      </c>
      <c r="AJ97" s="1">
        <v>4.7629999999999999E-2</v>
      </c>
      <c r="AK97" s="1">
        <v>9.8999999999999999E-4</v>
      </c>
      <c r="AL97" s="1">
        <v>10.632</v>
      </c>
      <c r="AM97" s="1">
        <v>5.8000000000000003E-2</v>
      </c>
      <c r="AN97" s="1">
        <v>1052</v>
      </c>
      <c r="AO97" s="1">
        <v>11</v>
      </c>
      <c r="AP97" s="1">
        <v>1042</v>
      </c>
      <c r="AQ97" s="1">
        <v>14</v>
      </c>
      <c r="AR97" s="1">
        <v>941</v>
      </c>
      <c r="AS97" s="1">
        <v>19</v>
      </c>
      <c r="AT97" s="1">
        <v>1079</v>
      </c>
      <c r="AU97" s="1">
        <v>10</v>
      </c>
      <c r="AV97" s="1">
        <v>41.39</v>
      </c>
      <c r="AW97" s="1">
        <v>0.74</v>
      </c>
      <c r="AX97" s="1">
        <v>5.4929999999999994</v>
      </c>
      <c r="AY97" s="1">
        <v>5.8000000000000003E-2</v>
      </c>
      <c r="AZ97" s="1">
        <v>21443.13</v>
      </c>
      <c r="BA97" s="1">
        <v>285.65999999999997</v>
      </c>
      <c r="BB97" s="1">
        <v>21132.63</v>
      </c>
      <c r="BC97" s="1">
        <v>285.65999999999997</v>
      </c>
      <c r="BD97" s="1">
        <v>282803.40000000002</v>
      </c>
      <c r="BE97" s="1">
        <v>3788.1</v>
      </c>
      <c r="BF97" s="1">
        <v>18.63</v>
      </c>
      <c r="BG97" s="1">
        <v>7.4519999999999991</v>
      </c>
      <c r="BH97" s="1">
        <f t="shared" si="30"/>
        <v>15180.000000000002</v>
      </c>
      <c r="BI97" s="1">
        <f t="shared" si="31"/>
        <v>6075.4035622701185</v>
      </c>
    </row>
    <row r="98" spans="1:61" x14ac:dyDescent="0.2">
      <c r="A98" t="s">
        <v>311</v>
      </c>
      <c r="B98" t="s">
        <v>38</v>
      </c>
      <c r="C98" t="s">
        <v>312</v>
      </c>
      <c r="D98" t="s">
        <v>313</v>
      </c>
      <c r="E98">
        <v>81739</v>
      </c>
      <c r="F98">
        <v>40155</v>
      </c>
      <c r="G98" t="s">
        <v>313</v>
      </c>
      <c r="H98" s="1">
        <v>178.3</v>
      </c>
      <c r="I98" s="1">
        <v>142.80000000000001</v>
      </c>
      <c r="J98" s="10">
        <v>2.258</v>
      </c>
      <c r="K98" s="10">
        <f t="shared" ca="1" si="24"/>
        <v>6.8872531534712733E-2</v>
      </c>
      <c r="L98" s="7">
        <v>0.20169999999999999</v>
      </c>
      <c r="M98" s="7">
        <f t="shared" ca="1" si="25"/>
        <v>5.8960288330366902E-3</v>
      </c>
      <c r="N98" s="7">
        <v>0.98307999999999995</v>
      </c>
      <c r="O98" s="8">
        <v>4.9578579999999999</v>
      </c>
      <c r="P98" s="8">
        <f t="shared" ca="1" si="26"/>
        <v>0.14492646790533328</v>
      </c>
      <c r="Q98" s="9">
        <v>8.1269999999999995E-2</v>
      </c>
      <c r="R98" s="9">
        <f t="shared" ca="1" si="27"/>
        <v>1.6647898245724594E-3</v>
      </c>
      <c r="S98" s="8">
        <f t="shared" si="28"/>
        <v>0.37450419658808859</v>
      </c>
      <c r="T98" s="11">
        <v>5.5599999999999997E-2</v>
      </c>
      <c r="U98" s="11">
        <f t="shared" ca="1" si="29"/>
        <v>1.7878881396776476E-3</v>
      </c>
      <c r="V98" s="6" t="e">
        <f ca="1">IF(agePb6U8(1/O98)&lt;1400,age7corr(1/O98,Q98,$W$2),agePb76(Q98))</f>
        <v>#NAME?</v>
      </c>
      <c r="W98" s="6" t="e">
        <f ca="1">IF(agePb6U8(1/O98)&lt;1400,ageer7corr(V98,1/O98,P98/O98*(1/O98),Q98,R98,$W$2,0.05),ageerPb76(Q98,R98))</f>
        <v>#NAME?</v>
      </c>
      <c r="X98" s="4" t="e">
        <f ca="1">agePb6U8(L98)/agePb7u5(J98)</f>
        <v>#NAME?</v>
      </c>
      <c r="Z98" s="1">
        <v>2.258</v>
      </c>
      <c r="AA98" s="1">
        <v>5.1999999999999998E-2</v>
      </c>
      <c r="AB98" s="1">
        <v>0.20169999999999999</v>
      </c>
      <c r="AC98" s="1">
        <v>4.3E-3</v>
      </c>
      <c r="AD98" s="1">
        <v>0.98307999999999995</v>
      </c>
      <c r="AE98" s="1">
        <v>4.9578579999999999</v>
      </c>
      <c r="AF98" s="1">
        <v>0.1056955</v>
      </c>
      <c r="AG98" s="1">
        <v>8.1269999999999995E-2</v>
      </c>
      <c r="AH98" s="1">
        <v>3.6000000000000002E-4</v>
      </c>
      <c r="AI98" s="1">
        <v>-0.24573</v>
      </c>
      <c r="AJ98" s="1">
        <v>5.5599999999999997E-2</v>
      </c>
      <c r="AK98" s="1">
        <v>1.4E-3</v>
      </c>
      <c r="AL98" s="1">
        <v>4.7759999999999998</v>
      </c>
      <c r="AM98" s="1">
        <v>2.9000000000000001E-2</v>
      </c>
      <c r="AN98" s="1">
        <v>1206</v>
      </c>
      <c r="AO98" s="1">
        <v>16</v>
      </c>
      <c r="AP98" s="1">
        <v>1184</v>
      </c>
      <c r="AQ98" s="1">
        <v>23</v>
      </c>
      <c r="AR98" s="1">
        <v>1094</v>
      </c>
      <c r="AS98" s="1">
        <v>27</v>
      </c>
      <c r="AT98" s="1">
        <v>1227.8</v>
      </c>
      <c r="AU98" s="1">
        <v>8.6999999999999993</v>
      </c>
      <c r="AV98" s="1">
        <v>39.1</v>
      </c>
      <c r="AW98" s="1">
        <v>1.4</v>
      </c>
      <c r="AX98" s="1">
        <v>11.31</v>
      </c>
      <c r="AY98" s="1">
        <v>0.17</v>
      </c>
      <c r="AZ98" s="1">
        <v>51543</v>
      </c>
      <c r="BA98" s="1">
        <v>993.6</v>
      </c>
      <c r="BB98" s="1">
        <v>24840</v>
      </c>
      <c r="BC98" s="1">
        <v>683.09999999999991</v>
      </c>
      <c r="BD98" s="1">
        <v>304911</v>
      </c>
      <c r="BE98" s="1">
        <v>7452.0000000000009</v>
      </c>
      <c r="BF98" s="1">
        <v>5.5889999999999995</v>
      </c>
      <c r="BG98" s="1">
        <v>5.4027000000000003</v>
      </c>
      <c r="BH98" s="1">
        <f t="shared" si="30"/>
        <v>54555.555555555562</v>
      </c>
      <c r="BI98" s="1">
        <f t="shared" si="31"/>
        <v>52753.889460622668</v>
      </c>
    </row>
    <row r="99" spans="1:61" x14ac:dyDescent="0.2">
      <c r="A99" t="s">
        <v>314</v>
      </c>
      <c r="B99" t="s">
        <v>38</v>
      </c>
      <c r="C99" t="s">
        <v>315</v>
      </c>
      <c r="D99" t="s">
        <v>316</v>
      </c>
      <c r="E99">
        <v>81726</v>
      </c>
      <c r="F99">
        <v>41244</v>
      </c>
      <c r="G99" t="s">
        <v>316</v>
      </c>
      <c r="H99" s="1">
        <v>42.78</v>
      </c>
      <c r="I99" s="1">
        <v>21.61</v>
      </c>
      <c r="J99" s="10">
        <v>1.8440000000000001</v>
      </c>
      <c r="K99" s="10">
        <f t="shared" ca="1" si="24"/>
        <v>5.367619956740604E-2</v>
      </c>
      <c r="L99" s="7">
        <v>0.17799999999999999</v>
      </c>
      <c r="M99" s="7">
        <f t="shared" ca="1" si="25"/>
        <v>4.9227634515584843E-3</v>
      </c>
      <c r="N99" s="7">
        <v>0.90998999999999997</v>
      </c>
      <c r="O99" s="8">
        <v>5.6179779999999999</v>
      </c>
      <c r="P99" s="8">
        <f t="shared" ca="1" si="26"/>
        <v>0.15537066144379896</v>
      </c>
      <c r="Q99" s="9">
        <v>7.5050000000000006E-2</v>
      </c>
      <c r="R99" s="9">
        <f t="shared" ca="1" si="27"/>
        <v>1.651999092009436E-3</v>
      </c>
      <c r="S99" s="8">
        <f t="shared" si="28"/>
        <v>0.41486006232919465</v>
      </c>
      <c r="T99" s="11">
        <v>5.2999999999999999E-2</v>
      </c>
      <c r="U99" s="11">
        <f t="shared" ca="1" si="29"/>
        <v>1.6011246047700346E-3</v>
      </c>
      <c r="V99" s="6" t="e">
        <f ca="1">IF(agePb6U8(1/O99)&lt;1400,age7corr(1/O99,Q99,$W$2),agePb76(Q99))</f>
        <v>#NAME?</v>
      </c>
      <c r="W99" s="6" t="e">
        <f ca="1">IF(agePb6U8(1/O99)&lt;1400,ageer7corr(V99,1/O99,P99/O99*(1/O99),Q99,R99,$W$2,0.05),ageerPb76(Q99,R99))</f>
        <v>#NAME?</v>
      </c>
      <c r="X99" s="4" t="e">
        <f ca="1">agePb6U8(L99)/agePb7u5(J99)</f>
        <v>#NAME?</v>
      </c>
      <c r="Z99" s="1">
        <v>1.8440000000000001</v>
      </c>
      <c r="AA99" s="1">
        <v>3.9E-2</v>
      </c>
      <c r="AB99" s="1">
        <v>0.17799999999999999</v>
      </c>
      <c r="AC99" s="1">
        <v>3.3999999999999998E-3</v>
      </c>
      <c r="AD99" s="1">
        <v>0.90998999999999997</v>
      </c>
      <c r="AE99" s="1">
        <v>5.6179779999999999</v>
      </c>
      <c r="AF99" s="1">
        <v>0.10730969999999999</v>
      </c>
      <c r="AG99" s="1">
        <v>7.5050000000000006E-2</v>
      </c>
      <c r="AH99" s="1">
        <v>6.8999999999999997E-4</v>
      </c>
      <c r="AI99" s="1">
        <v>0.13630999999999999</v>
      </c>
      <c r="AJ99" s="1">
        <v>5.2999999999999999E-2</v>
      </c>
      <c r="AK99" s="1">
        <v>1.1999999999999999E-3</v>
      </c>
      <c r="AL99" s="1">
        <v>7.1559999999999997</v>
      </c>
      <c r="AM99" s="1">
        <v>4.8000000000000001E-2</v>
      </c>
      <c r="AN99" s="1">
        <v>1064</v>
      </c>
      <c r="AO99" s="1">
        <v>15</v>
      </c>
      <c r="AP99" s="1">
        <v>1056</v>
      </c>
      <c r="AQ99" s="1">
        <v>19</v>
      </c>
      <c r="AR99" s="1">
        <v>1044</v>
      </c>
      <c r="AS99" s="1">
        <v>23</v>
      </c>
      <c r="AT99" s="1">
        <v>1073</v>
      </c>
      <c r="AU99" s="1">
        <v>17</v>
      </c>
      <c r="AV99" s="1">
        <v>9.379999999999999</v>
      </c>
      <c r="AW99" s="1">
        <v>0.16</v>
      </c>
      <c r="AX99" s="1">
        <v>1.7110000000000001</v>
      </c>
      <c r="AY99" s="1">
        <v>2.7E-2</v>
      </c>
      <c r="AZ99" s="1">
        <v>7377.4800000000005</v>
      </c>
      <c r="BA99" s="1">
        <v>142.82999999999998</v>
      </c>
      <c r="BB99" s="1">
        <v>4918.3200000000006</v>
      </c>
      <c r="BC99" s="1">
        <v>93.15</v>
      </c>
      <c r="BD99" s="1">
        <v>65577.600000000006</v>
      </c>
      <c r="BE99" s="1">
        <v>993.6</v>
      </c>
      <c r="BF99" s="1">
        <v>-6.8310000000000004</v>
      </c>
      <c r="BG99" s="1">
        <v>6.0236999999999998</v>
      </c>
      <c r="BH99" s="1">
        <f t="shared" si="30"/>
        <v>-9600</v>
      </c>
      <c r="BI99" s="1">
        <f t="shared" si="31"/>
        <v>-8466.7040627360057</v>
      </c>
    </row>
    <row r="100" spans="1:61" x14ac:dyDescent="0.2">
      <c r="A100" t="s">
        <v>152</v>
      </c>
      <c r="B100" t="s">
        <v>38</v>
      </c>
      <c r="C100" t="s">
        <v>153</v>
      </c>
      <c r="D100" t="s">
        <v>154</v>
      </c>
      <c r="E100">
        <v>82868</v>
      </c>
      <c r="F100">
        <v>40863</v>
      </c>
      <c r="G100" t="s">
        <v>154</v>
      </c>
      <c r="H100" s="1">
        <v>94.2</v>
      </c>
      <c r="I100" s="1">
        <v>156.69999999999999</v>
      </c>
      <c r="J100" s="10">
        <v>5.6289999999999996</v>
      </c>
      <c r="K100" s="10">
        <f t="shared" ca="1" si="24"/>
        <v>0.14106472415171695</v>
      </c>
      <c r="L100" s="7">
        <v>0.34229999999999999</v>
      </c>
      <c r="M100" s="7">
        <f t="shared" ca="1" si="25"/>
        <v>8.7193873638002801E-3</v>
      </c>
      <c r="N100" s="7">
        <v>0.96065999999999996</v>
      </c>
      <c r="O100" s="8">
        <v>2.921414</v>
      </c>
      <c r="P100" s="8">
        <f t="shared" ca="1" si="26"/>
        <v>7.4417002228146761E-2</v>
      </c>
      <c r="Q100" s="9">
        <v>0.11899999999999999</v>
      </c>
      <c r="R100" s="9">
        <f t="shared" ca="1" si="27"/>
        <v>2.4150569351466642E-3</v>
      </c>
      <c r="S100" s="8">
        <f t="shared" si="28"/>
        <v>0.43133344921100331</v>
      </c>
      <c r="T100" s="11">
        <v>9.2499999999999999E-2</v>
      </c>
      <c r="U100" s="11">
        <f t="shared" ca="1" si="29"/>
        <v>2.7986603938313058E-3</v>
      </c>
      <c r="V100" s="6" t="e">
        <f ca="1">IF(agePb6U8(1/O100)&lt;1400,age7corr(1/O100,Q100,$W$2),agePb76(Q100))</f>
        <v>#NAME?</v>
      </c>
      <c r="W100" s="6" t="e">
        <f ca="1">IF(agePb6U8(1/O100)&lt;1400,ageer7corr(V100,1/O100,P100/O100*(1/O100),Q100,R100,$W$2,0.05),ageerPb76(Q100,R100))</f>
        <v>#NAME?</v>
      </c>
      <c r="X100" s="4" t="e">
        <f ca="1">agePb6U8(L100)/agePb7u5(J100)</f>
        <v>#NAME?</v>
      </c>
      <c r="Z100" s="1">
        <v>5.6289999999999996</v>
      </c>
      <c r="AA100" s="1">
        <v>8.5000000000000006E-2</v>
      </c>
      <c r="AB100" s="1">
        <v>0.34229999999999999</v>
      </c>
      <c r="AC100" s="1">
        <v>5.4000000000000003E-3</v>
      </c>
      <c r="AD100" s="1">
        <v>0.96065999999999996</v>
      </c>
      <c r="AE100" s="1">
        <v>2.921414</v>
      </c>
      <c r="AF100" s="1">
        <v>4.6087160000000002E-2</v>
      </c>
      <c r="AG100" s="1">
        <v>0.11899999999999999</v>
      </c>
      <c r="AH100" s="1">
        <v>4.0999999999999999E-4</v>
      </c>
      <c r="AI100" s="1">
        <v>0.31968999999999997</v>
      </c>
      <c r="AJ100" s="1">
        <v>9.2499999999999999E-2</v>
      </c>
      <c r="AK100" s="1">
        <v>2.0999999999999999E-3</v>
      </c>
      <c r="AL100" s="1">
        <v>2.448</v>
      </c>
      <c r="AM100" s="1">
        <v>1.4E-2</v>
      </c>
      <c r="AN100" s="1">
        <v>1920</v>
      </c>
      <c r="AO100" s="1">
        <v>13</v>
      </c>
      <c r="AP100" s="1">
        <v>1897</v>
      </c>
      <c r="AQ100" s="1">
        <v>26</v>
      </c>
      <c r="AR100" s="1">
        <v>1787</v>
      </c>
      <c r="AS100" s="1">
        <v>39</v>
      </c>
      <c r="AT100" s="1">
        <v>1941.2</v>
      </c>
      <c r="AU100" s="1">
        <v>6.2</v>
      </c>
      <c r="AV100" s="1">
        <v>20.76</v>
      </c>
      <c r="AW100" s="1">
        <v>0.27</v>
      </c>
      <c r="AX100" s="1">
        <v>12.44</v>
      </c>
      <c r="AY100" s="1">
        <v>0.12000000000000001</v>
      </c>
      <c r="AZ100" s="1">
        <v>93212.099999999991</v>
      </c>
      <c r="BA100" s="1">
        <v>993.6</v>
      </c>
      <c r="BB100" s="1">
        <v>32900.579999999994</v>
      </c>
      <c r="BC100" s="1">
        <v>335.34000000000003</v>
      </c>
      <c r="BD100" s="1">
        <v>276903.90000000002</v>
      </c>
      <c r="BE100" s="1">
        <v>2794.5000000000005</v>
      </c>
      <c r="BF100" s="1">
        <v>3.6638999999999999</v>
      </c>
      <c r="BG100" s="1">
        <v>4.7816999999999998</v>
      </c>
      <c r="BH100" s="1">
        <f t="shared" si="30"/>
        <v>75576.271186440688</v>
      </c>
      <c r="BI100" s="1">
        <f t="shared" si="31"/>
        <v>98636.387569064813</v>
      </c>
    </row>
    <row r="101" spans="1:61" x14ac:dyDescent="0.2">
      <c r="A101" t="s">
        <v>317</v>
      </c>
      <c r="B101" t="s">
        <v>38</v>
      </c>
      <c r="C101" t="s">
        <v>318</v>
      </c>
      <c r="D101" t="s">
        <v>319</v>
      </c>
      <c r="E101">
        <v>81639</v>
      </c>
      <c r="F101">
        <v>41400</v>
      </c>
      <c r="G101" t="s">
        <v>319</v>
      </c>
      <c r="H101" s="1">
        <v>60.14</v>
      </c>
      <c r="I101" s="1">
        <v>47.61</v>
      </c>
      <c r="J101" s="10">
        <v>3.097</v>
      </c>
      <c r="K101" s="10">
        <f t="shared" ca="1" si="24"/>
        <v>0.10117590424602096</v>
      </c>
      <c r="L101" s="7">
        <v>0.2472</v>
      </c>
      <c r="M101" s="7">
        <f t="shared" ca="1" si="25"/>
        <v>7.3954807822074692E-3</v>
      </c>
      <c r="N101" s="7">
        <v>0.95813999999999999</v>
      </c>
      <c r="O101" s="8">
        <v>4.0453070000000002</v>
      </c>
      <c r="P101" s="8">
        <f t="shared" ca="1" si="26"/>
        <v>0.12102343208210549</v>
      </c>
      <c r="Q101" s="9">
        <v>9.0060000000000001E-2</v>
      </c>
      <c r="R101" s="9">
        <f t="shared" ca="1" si="27"/>
        <v>1.8640604711221147E-3</v>
      </c>
      <c r="S101" s="8">
        <f t="shared" si="28"/>
        <v>0.5323844319505201</v>
      </c>
      <c r="T101" s="11">
        <v>7.0099999999999996E-2</v>
      </c>
      <c r="U101" s="11">
        <f t="shared" ca="1" si="29"/>
        <v>2.1273467042304127E-3</v>
      </c>
      <c r="V101" s="6" t="e">
        <f ca="1">IF(agePb6U8(1/O101)&lt;1400,age7corr(1/O101,Q101,$W$2),agePb76(Q101))</f>
        <v>#NAME?</v>
      </c>
      <c r="W101" s="6" t="e">
        <f ca="1">IF(agePb6U8(1/O101)&lt;1400,ageer7corr(V101,1/O101,P101/O101*(1/O101),Q101,R101,$W$2,0.05),ageerPb76(Q101,R101))</f>
        <v>#NAME?</v>
      </c>
      <c r="X101" s="4" t="e">
        <f ca="1">agePb6U8(L101)/agePb7u5(J101)</f>
        <v>#NAME?</v>
      </c>
      <c r="Z101" s="1">
        <v>3.097</v>
      </c>
      <c r="AA101" s="1">
        <v>0.08</v>
      </c>
      <c r="AB101" s="1">
        <v>0.2472</v>
      </c>
      <c r="AC101" s="1">
        <v>5.4999999999999997E-3</v>
      </c>
      <c r="AD101" s="1">
        <v>0.95813999999999999</v>
      </c>
      <c r="AE101" s="1">
        <v>4.0453070000000002</v>
      </c>
      <c r="AF101" s="1">
        <v>9.0004819999999999E-2</v>
      </c>
      <c r="AG101" s="1">
        <v>9.0060000000000001E-2</v>
      </c>
      <c r="AH101" s="1">
        <v>4.8000000000000001E-4</v>
      </c>
      <c r="AI101" s="1">
        <v>-0.15697</v>
      </c>
      <c r="AJ101" s="1">
        <v>7.0099999999999996E-2</v>
      </c>
      <c r="AK101" s="1">
        <v>1.6000000000000001E-3</v>
      </c>
      <c r="AL101" s="1">
        <v>4.7480000000000002</v>
      </c>
      <c r="AM101" s="1">
        <v>1.6E-2</v>
      </c>
      <c r="AN101" s="1">
        <v>1431</v>
      </c>
      <c r="AO101" s="1">
        <v>20</v>
      </c>
      <c r="AP101" s="1">
        <v>1424</v>
      </c>
      <c r="AQ101" s="1">
        <v>28</v>
      </c>
      <c r="AR101" s="1">
        <v>1368</v>
      </c>
      <c r="AS101" s="1">
        <v>31</v>
      </c>
      <c r="AT101" s="1">
        <v>1427</v>
      </c>
      <c r="AU101" s="1">
        <v>10</v>
      </c>
      <c r="AV101" s="1">
        <v>13.180000000000001</v>
      </c>
      <c r="AW101" s="1">
        <v>0.18000000000000002</v>
      </c>
      <c r="AX101" s="1">
        <v>3.77</v>
      </c>
      <c r="AY101" s="1">
        <v>7.3999999999999996E-2</v>
      </c>
      <c r="AZ101" s="1">
        <v>21592.170000000002</v>
      </c>
      <c r="BA101" s="1">
        <v>341.54999999999995</v>
      </c>
      <c r="BB101" s="1">
        <v>11395.35</v>
      </c>
      <c r="BC101" s="1">
        <v>167.67000000000002</v>
      </c>
      <c r="BD101" s="1">
        <v>127180.8</v>
      </c>
      <c r="BE101" s="1">
        <v>1925.1</v>
      </c>
      <c r="BF101" s="1">
        <v>-5.5889999999999995</v>
      </c>
      <c r="BG101" s="1">
        <v>5.8995000000000006</v>
      </c>
      <c r="BH101" s="1">
        <f t="shared" si="30"/>
        <v>-22755.555555555558</v>
      </c>
      <c r="BI101" s="1">
        <f t="shared" si="31"/>
        <v>-24022.22263463313</v>
      </c>
    </row>
    <row r="102" spans="1:61" x14ac:dyDescent="0.2">
      <c r="A102" t="s">
        <v>320</v>
      </c>
      <c r="B102" t="s">
        <v>38</v>
      </c>
      <c r="C102" t="s">
        <v>321</v>
      </c>
      <c r="D102" t="s">
        <v>322</v>
      </c>
      <c r="E102">
        <v>81736</v>
      </c>
      <c r="F102">
        <v>41894</v>
      </c>
      <c r="G102" t="s">
        <v>322</v>
      </c>
      <c r="H102" s="1">
        <v>122.8</v>
      </c>
      <c r="I102" s="1">
        <v>96.2</v>
      </c>
      <c r="J102" s="10">
        <v>1.67</v>
      </c>
      <c r="K102" s="10">
        <f t="shared" ca="1" si="24"/>
        <v>4.7660885430298082E-2</v>
      </c>
      <c r="L102" s="7">
        <v>0.16769999999999999</v>
      </c>
      <c r="M102" s="7">
        <f t="shared" ca="1" si="25"/>
        <v>4.70524345810076E-3</v>
      </c>
      <c r="N102" s="7">
        <v>0.94630999999999998</v>
      </c>
      <c r="O102" s="8">
        <v>5.9630289999999997</v>
      </c>
      <c r="P102" s="8">
        <f t="shared" ca="1" si="26"/>
        <v>0.16730773706612134</v>
      </c>
      <c r="Q102" s="9">
        <v>7.2620000000000004E-2</v>
      </c>
      <c r="R102" s="9">
        <f t="shared" ca="1" si="27"/>
        <v>1.5360552594226552E-3</v>
      </c>
      <c r="S102" s="8">
        <f t="shared" si="28"/>
        <v>0.30157803195477173</v>
      </c>
      <c r="T102" s="11">
        <v>4.9399999999999999E-2</v>
      </c>
      <c r="U102" s="11">
        <f t="shared" ca="1" si="29"/>
        <v>1.478561463044401E-3</v>
      </c>
      <c r="V102" s="6" t="e">
        <f ca="1">IF(agePb6U8(1/O102)&lt;1400,age7corr(1/O102,Q102,$W$2),agePb76(Q102))</f>
        <v>#NAME?</v>
      </c>
      <c r="W102" s="6" t="e">
        <f ca="1">IF(agePb6U8(1/O102)&lt;1400,ageer7corr(V102,1/O102,P102/O102*(1/O102),Q102,R102,$W$2,0.05),ageerPb76(Q102,R102))</f>
        <v>#NAME?</v>
      </c>
      <c r="X102" s="4" t="e">
        <f ca="1">agePb6U8(L102)/agePb7u5(J102)</f>
        <v>#NAME?</v>
      </c>
      <c r="Z102" s="1">
        <v>1.67</v>
      </c>
      <c r="AA102" s="1">
        <v>3.4000000000000002E-2</v>
      </c>
      <c r="AB102" s="1">
        <v>0.16769999999999999</v>
      </c>
      <c r="AC102" s="1">
        <v>3.3E-3</v>
      </c>
      <c r="AD102" s="1">
        <v>0.94630999999999998</v>
      </c>
      <c r="AE102" s="1">
        <v>5.9630289999999997</v>
      </c>
      <c r="AF102" s="1">
        <v>0.1173405</v>
      </c>
      <c r="AG102" s="1">
        <v>7.2620000000000004E-2</v>
      </c>
      <c r="AH102" s="1">
        <v>5.0000000000000001E-4</v>
      </c>
      <c r="AI102" s="1">
        <v>0.14857999999999999</v>
      </c>
      <c r="AJ102" s="1">
        <v>4.9399999999999999E-2</v>
      </c>
      <c r="AK102" s="1">
        <v>1.1000000000000001E-3</v>
      </c>
      <c r="AL102" s="1">
        <v>4.5780000000000003</v>
      </c>
      <c r="AM102" s="1">
        <v>1.4999999999999999E-2</v>
      </c>
      <c r="AN102" s="1">
        <v>997</v>
      </c>
      <c r="AO102" s="1">
        <v>13</v>
      </c>
      <c r="AP102" s="1">
        <v>999</v>
      </c>
      <c r="AQ102" s="1">
        <v>18</v>
      </c>
      <c r="AR102" s="1">
        <v>974</v>
      </c>
      <c r="AS102" s="1">
        <v>21</v>
      </c>
      <c r="AT102" s="1">
        <v>1003</v>
      </c>
      <c r="AU102" s="1">
        <v>14</v>
      </c>
      <c r="AV102" s="1">
        <v>26.91</v>
      </c>
      <c r="AW102" s="1">
        <v>0.43</v>
      </c>
      <c r="AX102" s="1">
        <v>7.62</v>
      </c>
      <c r="AY102" s="1">
        <v>0.1</v>
      </c>
      <c r="AZ102" s="1">
        <v>30851.280000000002</v>
      </c>
      <c r="BA102" s="1">
        <v>391.23</v>
      </c>
      <c r="BB102" s="1">
        <v>12581.460000000001</v>
      </c>
      <c r="BC102" s="1">
        <v>192.51</v>
      </c>
      <c r="BD102" s="1">
        <v>175246.2</v>
      </c>
      <c r="BE102" s="1">
        <v>1800.9</v>
      </c>
      <c r="BF102" s="1">
        <v>55.89</v>
      </c>
      <c r="BG102" s="1">
        <v>6.8310000000000004</v>
      </c>
      <c r="BH102" s="1">
        <f t="shared" si="30"/>
        <v>3135.5555555555557</v>
      </c>
      <c r="BI102" s="1">
        <f t="shared" si="31"/>
        <v>384.58679857658177</v>
      </c>
    </row>
    <row r="103" spans="1:61" x14ac:dyDescent="0.2">
      <c r="A103" t="s">
        <v>323</v>
      </c>
      <c r="B103" t="s">
        <v>38</v>
      </c>
      <c r="C103" t="s">
        <v>324</v>
      </c>
      <c r="D103" t="s">
        <v>325</v>
      </c>
      <c r="E103">
        <v>81591</v>
      </c>
      <c r="F103">
        <v>42040</v>
      </c>
      <c r="G103" t="s">
        <v>325</v>
      </c>
      <c r="H103" s="1">
        <v>49.5</v>
      </c>
      <c r="I103" s="1">
        <v>29.4</v>
      </c>
      <c r="J103" s="10">
        <v>1.85</v>
      </c>
      <c r="K103" s="10">
        <f t="shared" ca="1" si="24"/>
        <v>4.5221676218380052E-2</v>
      </c>
      <c r="L103" s="7">
        <v>0.1774</v>
      </c>
      <c r="M103" s="7">
        <f t="shared" ca="1" si="25"/>
        <v>4.2834920333765063E-3</v>
      </c>
      <c r="N103" s="7">
        <v>0.85772999999999999</v>
      </c>
      <c r="O103" s="8">
        <v>5.6369790000000002</v>
      </c>
      <c r="P103" s="8">
        <f t="shared" ca="1" si="26"/>
        <v>0.13611022812628484</v>
      </c>
      <c r="Q103" s="9">
        <v>7.5800000000000006E-2</v>
      </c>
      <c r="R103" s="9">
        <f t="shared" ca="1" si="27"/>
        <v>1.6196160038725229E-3</v>
      </c>
      <c r="S103" s="8">
        <f t="shared" si="28"/>
        <v>0.41248004682118405</v>
      </c>
      <c r="T103" s="11">
        <v>5.4679999999999999E-2</v>
      </c>
      <c r="U103" s="11">
        <f t="shared" ca="1" si="29"/>
        <v>1.4486065580412094E-3</v>
      </c>
      <c r="V103" s="6" t="e">
        <f ca="1">IF(agePb6U8(1/O103)&lt;1400,age7corr(1/O103,Q103,$W$2),agePb76(Q103))</f>
        <v>#NAME?</v>
      </c>
      <c r="W103" s="6" t="e">
        <f ca="1">IF(agePb6U8(1/O103)&lt;1400,ageer7corr(V103,1/O103,P103/O103*(1/O103),Q103,R103,$W$2,0.05),ageerPb76(Q103,R103))</f>
        <v>#NAME?</v>
      </c>
      <c r="X103" s="4" t="e">
        <f ca="1">agePb6U8(L103)/agePb7u5(J103)</f>
        <v>#NAME?</v>
      </c>
      <c r="Z103" s="1">
        <v>1.85</v>
      </c>
      <c r="AA103" s="1">
        <v>2.5999999999999999E-2</v>
      </c>
      <c r="AB103" s="1">
        <v>0.1774</v>
      </c>
      <c r="AC103" s="1">
        <v>2.3999999999999998E-3</v>
      </c>
      <c r="AD103" s="1">
        <v>0.85772999999999999</v>
      </c>
      <c r="AE103" s="1">
        <v>5.6369790000000002</v>
      </c>
      <c r="AF103" s="1">
        <v>7.6261270000000006E-2</v>
      </c>
      <c r="AG103" s="1">
        <v>7.5800000000000006E-2</v>
      </c>
      <c r="AH103" s="1">
        <v>5.6999999999999998E-4</v>
      </c>
      <c r="AI103" s="1">
        <v>0.26245000000000002</v>
      </c>
      <c r="AJ103" s="1">
        <v>5.4679999999999999E-2</v>
      </c>
      <c r="AK103" s="1">
        <v>9.5E-4</v>
      </c>
      <c r="AL103" s="1">
        <v>5.7850000000000001</v>
      </c>
      <c r="AM103" s="1">
        <v>4.2999999999999997E-2</v>
      </c>
      <c r="AN103" s="1">
        <v>1063.2</v>
      </c>
      <c r="AO103" s="1">
        <v>9.1999999999999993</v>
      </c>
      <c r="AP103" s="1">
        <v>1053</v>
      </c>
      <c r="AQ103" s="1">
        <v>13</v>
      </c>
      <c r="AR103" s="1">
        <v>1076</v>
      </c>
      <c r="AS103" s="1">
        <v>18</v>
      </c>
      <c r="AT103" s="1">
        <v>1089</v>
      </c>
      <c r="AU103" s="1">
        <v>15</v>
      </c>
      <c r="AV103" s="1">
        <v>10.85</v>
      </c>
      <c r="AW103" s="1">
        <v>0.55000000000000004</v>
      </c>
      <c r="AX103" s="1">
        <v>2.327</v>
      </c>
      <c r="AY103" s="1">
        <v>8.2000000000000003E-2</v>
      </c>
      <c r="AZ103" s="1">
        <v>10420.380000000001</v>
      </c>
      <c r="BA103" s="1">
        <v>459.54</v>
      </c>
      <c r="BB103" s="1">
        <v>5638.6799999999994</v>
      </c>
      <c r="BC103" s="1">
        <v>229.77</v>
      </c>
      <c r="BD103" s="1">
        <v>74644.2</v>
      </c>
      <c r="BE103" s="1">
        <v>2856.6</v>
      </c>
      <c r="BF103" s="1">
        <v>-12.419999999999998</v>
      </c>
      <c r="BG103" s="1">
        <v>6.8310000000000004</v>
      </c>
      <c r="BH103" s="1">
        <f t="shared" si="30"/>
        <v>-6010.0000000000009</v>
      </c>
      <c r="BI103" s="1">
        <f t="shared" si="31"/>
        <v>-3313.4921533029183</v>
      </c>
    </row>
    <row r="104" spans="1:61" x14ac:dyDescent="0.2">
      <c r="A104" t="s">
        <v>326</v>
      </c>
      <c r="B104" t="s">
        <v>38</v>
      </c>
      <c r="C104" t="s">
        <v>327</v>
      </c>
      <c r="D104" t="s">
        <v>328</v>
      </c>
      <c r="E104">
        <v>81685</v>
      </c>
      <c r="F104">
        <v>42285</v>
      </c>
      <c r="G104" t="s">
        <v>328</v>
      </c>
      <c r="H104" s="1">
        <v>250.9</v>
      </c>
      <c r="I104" s="1">
        <v>114.3</v>
      </c>
      <c r="J104" s="10">
        <v>2.33</v>
      </c>
      <c r="K104" s="10">
        <f t="shared" ca="1" si="24"/>
        <v>7.1327133686977781E-2</v>
      </c>
      <c r="L104" s="7">
        <v>0.20619999999999999</v>
      </c>
      <c r="M104" s="7">
        <f t="shared" ca="1" si="25"/>
        <v>6.177975072788818E-3</v>
      </c>
      <c r="N104" s="7">
        <v>0.99434999999999996</v>
      </c>
      <c r="O104" s="8">
        <v>4.8496610000000002</v>
      </c>
      <c r="P104" s="8">
        <f t="shared" ca="1" si="26"/>
        <v>0.14530111706565921</v>
      </c>
      <c r="Q104" s="9">
        <v>8.1900000000000001E-2</v>
      </c>
      <c r="R104" s="9">
        <f t="shared" ca="1" si="27"/>
        <v>1.6540689223850378E-3</v>
      </c>
      <c r="S104" s="8">
        <f t="shared" si="28"/>
        <v>0.41702177900507936</v>
      </c>
      <c r="T104" s="11">
        <v>6.1400000000000003E-2</v>
      </c>
      <c r="U104" s="11">
        <f t="shared" ca="1" si="29"/>
        <v>1.6486309471801142E-3</v>
      </c>
      <c r="V104" s="6" t="e">
        <f ca="1">IF(agePb6U8(1/O104)&lt;1400,age7corr(1/O104,Q104,$W$2),agePb76(Q104))</f>
        <v>#NAME?</v>
      </c>
      <c r="W104" s="6" t="e">
        <f ca="1">IF(agePb6U8(1/O104)&lt;1400,ageer7corr(V104,1/O104,P104/O104*(1/O104),Q104,R104,$W$2,0.05),ageerPb76(Q104,R104))</f>
        <v>#NAME?</v>
      </c>
      <c r="X104" s="4" t="e">
        <f ca="1">agePb6U8(L104)/agePb7u5(J104)</f>
        <v>#NAME?</v>
      </c>
      <c r="Z104" s="1">
        <v>2.33</v>
      </c>
      <c r="AA104" s="1">
        <v>5.3999999999999999E-2</v>
      </c>
      <c r="AB104" s="1">
        <v>0.20619999999999999</v>
      </c>
      <c r="AC104" s="1">
        <v>4.5999999999999999E-3</v>
      </c>
      <c r="AD104" s="1">
        <v>0.99434999999999996</v>
      </c>
      <c r="AE104" s="1">
        <v>4.8496610000000002</v>
      </c>
      <c r="AF104" s="1">
        <v>0.1081884</v>
      </c>
      <c r="AG104" s="1">
        <v>8.1900000000000001E-2</v>
      </c>
      <c r="AH104" s="1">
        <v>2.3000000000000001E-4</v>
      </c>
      <c r="AI104" s="1">
        <v>-0.29393999999999998</v>
      </c>
      <c r="AJ104" s="1">
        <v>6.1400000000000003E-2</v>
      </c>
      <c r="AK104" s="1">
        <v>1.1000000000000001E-3</v>
      </c>
      <c r="AL104" s="1">
        <v>7.7640000000000002</v>
      </c>
      <c r="AM104" s="1">
        <v>0.03</v>
      </c>
      <c r="AN104" s="1">
        <v>1221</v>
      </c>
      <c r="AO104" s="1">
        <v>16</v>
      </c>
      <c r="AP104" s="1">
        <v>1208</v>
      </c>
      <c r="AQ104" s="1">
        <v>25</v>
      </c>
      <c r="AR104" s="1">
        <v>1204</v>
      </c>
      <c r="AS104" s="1">
        <v>22</v>
      </c>
      <c r="AT104" s="1">
        <v>1243</v>
      </c>
      <c r="AU104" s="1">
        <v>5.6</v>
      </c>
      <c r="AV104" s="1">
        <v>55</v>
      </c>
      <c r="AW104" s="1">
        <v>1.7</v>
      </c>
      <c r="AX104" s="1">
        <v>9.0500000000000007</v>
      </c>
      <c r="AY104" s="1">
        <v>0.12999999999999998</v>
      </c>
      <c r="AZ104" s="1">
        <v>45705.599999999999</v>
      </c>
      <c r="BA104" s="1">
        <v>993.6</v>
      </c>
      <c r="BB104" s="1">
        <v>35955.899999999994</v>
      </c>
      <c r="BC104" s="1">
        <v>931.50000000000011</v>
      </c>
      <c r="BD104" s="1">
        <v>439668</v>
      </c>
      <c r="BE104" s="1">
        <v>10557</v>
      </c>
      <c r="BF104" s="1">
        <v>-4.3470000000000004</v>
      </c>
      <c r="BG104" s="1">
        <v>5.1543000000000001</v>
      </c>
      <c r="BH104" s="1">
        <f t="shared" si="30"/>
        <v>-101142.85714285713</v>
      </c>
      <c r="BI104" s="1">
        <f t="shared" si="31"/>
        <v>-119951.11797675495</v>
      </c>
    </row>
    <row r="105" spans="1:61" x14ac:dyDescent="0.2">
      <c r="A105" t="s">
        <v>329</v>
      </c>
      <c r="B105" t="s">
        <v>38</v>
      </c>
      <c r="C105" t="s">
        <v>330</v>
      </c>
      <c r="D105" t="s">
        <v>331</v>
      </c>
      <c r="E105">
        <v>81755</v>
      </c>
      <c r="F105">
        <v>42501</v>
      </c>
      <c r="G105" t="s">
        <v>331</v>
      </c>
      <c r="H105" s="1">
        <v>292.8</v>
      </c>
      <c r="I105" s="1">
        <v>164.3</v>
      </c>
      <c r="J105" s="10">
        <v>1.9139999999999999</v>
      </c>
      <c r="K105" s="10">
        <f t="shared" ca="1" si="24"/>
        <v>5.0540660858362355E-2</v>
      </c>
      <c r="L105" s="7">
        <v>0.1807</v>
      </c>
      <c r="M105" s="7">
        <f t="shared" ca="1" si="25"/>
        <v>4.9619548567071828E-3</v>
      </c>
      <c r="N105" s="7">
        <v>0.98755999999999999</v>
      </c>
      <c r="O105" s="8">
        <v>5.5340340000000001</v>
      </c>
      <c r="P105" s="8">
        <f t="shared" ca="1" si="26"/>
        <v>0.15196250657153035</v>
      </c>
      <c r="Q105" s="9">
        <v>7.6300000000000007E-2</v>
      </c>
      <c r="R105" s="9">
        <f t="shared" ca="1" si="27"/>
        <v>1.5365793178355618E-3</v>
      </c>
      <c r="S105" s="8">
        <f t="shared" si="28"/>
        <v>0.46957271514783072</v>
      </c>
      <c r="T105" s="11">
        <v>5.5300000000000002E-2</v>
      </c>
      <c r="U105" s="11">
        <f t="shared" ca="1" si="29"/>
        <v>1.5598833289704715E-3</v>
      </c>
      <c r="V105" s="6" t="e">
        <f ca="1">IF(agePb6U8(1/O105)&lt;1400,age7corr(1/O105,Q105,$W$2),agePb76(Q105))</f>
        <v>#NAME?</v>
      </c>
      <c r="W105" s="6" t="e">
        <f ca="1">IF(agePb6U8(1/O105)&lt;1400,ageer7corr(V105,1/O105,P105/O105*(1/O105),Q105,R105,$W$2,0.05),ageerPb76(Q105,R105))</f>
        <v>#NAME?</v>
      </c>
      <c r="X105" s="4" t="e">
        <f ca="1">agePb6U8(L105)/agePb7u5(J105)</f>
        <v>#NAME?</v>
      </c>
      <c r="Z105" s="1">
        <v>1.9139999999999999</v>
      </c>
      <c r="AA105" s="1">
        <v>3.3000000000000002E-2</v>
      </c>
      <c r="AB105" s="1">
        <v>0.1807</v>
      </c>
      <c r="AC105" s="1">
        <v>3.3999999999999998E-3</v>
      </c>
      <c r="AD105" s="1">
        <v>0.98755999999999999</v>
      </c>
      <c r="AE105" s="1">
        <v>5.5340340000000001</v>
      </c>
      <c r="AF105" s="1">
        <v>0.10412680000000001</v>
      </c>
      <c r="AG105" s="1">
        <v>7.6300000000000007E-2</v>
      </c>
      <c r="AH105" s="1">
        <v>1.8000000000000001E-4</v>
      </c>
      <c r="AI105" s="1">
        <v>0.16425999999999999</v>
      </c>
      <c r="AJ105" s="1">
        <v>5.5300000000000002E-2</v>
      </c>
      <c r="AK105" s="1">
        <v>1.1000000000000001E-3</v>
      </c>
      <c r="AL105" s="1">
        <v>6.2939999999999996</v>
      </c>
      <c r="AM105" s="1">
        <v>1.4999999999999999E-2</v>
      </c>
      <c r="AN105" s="1">
        <v>1086</v>
      </c>
      <c r="AO105" s="1">
        <v>11</v>
      </c>
      <c r="AP105" s="1">
        <v>1071</v>
      </c>
      <c r="AQ105" s="1">
        <v>18</v>
      </c>
      <c r="AR105" s="1">
        <v>1088</v>
      </c>
      <c r="AS105" s="1">
        <v>22</v>
      </c>
      <c r="AT105" s="1">
        <v>1102.9000000000001</v>
      </c>
      <c r="AU105" s="1">
        <v>4.8</v>
      </c>
      <c r="AV105" s="1">
        <v>64.14</v>
      </c>
      <c r="AW105" s="1">
        <v>0.8</v>
      </c>
      <c r="AX105" s="1">
        <v>13.010000000000002</v>
      </c>
      <c r="AY105" s="1">
        <v>0.13999999999999999</v>
      </c>
      <c r="AZ105" s="1">
        <v>58330.53</v>
      </c>
      <c r="BA105" s="1">
        <v>614.79000000000008</v>
      </c>
      <c r="BB105" s="1">
        <v>34838.1</v>
      </c>
      <c r="BC105" s="1">
        <v>322.91999999999996</v>
      </c>
      <c r="BD105" s="1">
        <v>455627.7</v>
      </c>
      <c r="BE105" s="1">
        <v>4657.5</v>
      </c>
      <c r="BF105" s="1">
        <v>10.556999999999999</v>
      </c>
      <c r="BG105" s="1">
        <v>8.0729999999999986</v>
      </c>
      <c r="BH105" s="1">
        <f t="shared" si="30"/>
        <v>43158.823529411769</v>
      </c>
      <c r="BI105" s="1">
        <f t="shared" si="31"/>
        <v>33006.754797135683</v>
      </c>
    </row>
    <row r="106" spans="1:61" s="23" customFormat="1" x14ac:dyDescent="0.2">
      <c r="A106" s="23" t="s">
        <v>332</v>
      </c>
      <c r="B106" s="23" t="s">
        <v>38</v>
      </c>
      <c r="C106" s="23" t="s">
        <v>333</v>
      </c>
      <c r="D106" s="23" t="s">
        <v>334</v>
      </c>
      <c r="E106" s="23">
        <v>81711</v>
      </c>
      <c r="F106" s="23">
        <v>42644</v>
      </c>
      <c r="G106" s="23" t="s">
        <v>334</v>
      </c>
      <c r="H106" s="24">
        <v>418</v>
      </c>
      <c r="I106" s="24">
        <v>105.7</v>
      </c>
      <c r="J106" s="25">
        <v>4.4210000000000003</v>
      </c>
      <c r="K106" s="25">
        <f t="shared" ca="1" si="24"/>
        <v>0.12474813184973954</v>
      </c>
      <c r="L106" s="26">
        <v>0.28029999999999999</v>
      </c>
      <c r="M106" s="26">
        <f t="shared" ca="1" si="25"/>
        <v>9.1250882735456305E-3</v>
      </c>
      <c r="N106" s="26">
        <v>0.85133999999999999</v>
      </c>
      <c r="O106" s="26">
        <v>3.5676060000000001</v>
      </c>
      <c r="P106" s="26">
        <f t="shared" ca="1" si="26"/>
        <v>0.11614242240181663</v>
      </c>
      <c r="Q106" s="25">
        <v>0.11279</v>
      </c>
      <c r="R106" s="25">
        <f t="shared" ca="1" si="27"/>
        <v>2.3901325569934402E-3</v>
      </c>
      <c r="S106" s="26">
        <f t="shared" si="28"/>
        <v>0.42495988496408277</v>
      </c>
      <c r="T106" s="25">
        <v>8.5800000000000001E-2</v>
      </c>
      <c r="U106" s="25">
        <f t="shared" ca="1" si="29"/>
        <v>3.45610416509688E-3</v>
      </c>
      <c r="V106" s="24" t="e">
        <f ca="1">IF(agePb6U8(1/O106)&lt;1400,age7corr(1/O106,Q106,$W$2),agePb76(Q106))</f>
        <v>#NAME?</v>
      </c>
      <c r="W106" s="24" t="e">
        <f ca="1">IF(agePb6U8(1/O106)&lt;1400,ageer7corr(V106,1/O106,P106/O106*(1/O106),Q106,R106,$W$2,0.05),ageerPb76(Q106,R106))</f>
        <v>#NAME?</v>
      </c>
      <c r="X106" s="26" t="e">
        <f ca="1">agePb6U8(L106)/agePb7u5(J106)</f>
        <v>#NAME?</v>
      </c>
      <c r="Y106" s="24"/>
      <c r="Z106" s="24">
        <v>4.4210000000000003</v>
      </c>
      <c r="AA106" s="24">
        <v>8.7999999999999995E-2</v>
      </c>
      <c r="AB106" s="24">
        <v>0.28029999999999999</v>
      </c>
      <c r="AC106" s="24">
        <v>7.1999999999999998E-3</v>
      </c>
      <c r="AD106" s="24">
        <v>0.85133999999999999</v>
      </c>
      <c r="AE106" s="24">
        <v>3.5676060000000001</v>
      </c>
      <c r="AF106" s="24">
        <v>9.1640260000000001E-2</v>
      </c>
      <c r="AG106" s="24">
        <v>0.11279</v>
      </c>
      <c r="AH106" s="24">
        <v>7.9000000000000001E-4</v>
      </c>
      <c r="AI106" s="24">
        <v>0.47371000000000002</v>
      </c>
      <c r="AJ106" s="24">
        <v>8.5800000000000001E-2</v>
      </c>
      <c r="AK106" s="24">
        <v>3.0000000000000001E-3</v>
      </c>
      <c r="AL106" s="24">
        <v>13.45</v>
      </c>
      <c r="AM106" s="24">
        <v>0.6</v>
      </c>
      <c r="AN106" s="24">
        <v>1716</v>
      </c>
      <c r="AO106" s="24">
        <v>17</v>
      </c>
      <c r="AP106" s="24">
        <v>1593</v>
      </c>
      <c r="AQ106" s="24">
        <v>36</v>
      </c>
      <c r="AR106" s="24">
        <v>1663</v>
      </c>
      <c r="AS106" s="24">
        <v>55</v>
      </c>
      <c r="AT106" s="24">
        <v>1845</v>
      </c>
      <c r="AU106" s="24">
        <v>12</v>
      </c>
      <c r="AV106" s="24">
        <v>91.5</v>
      </c>
      <c r="AW106" s="24">
        <v>4.8</v>
      </c>
      <c r="AX106" s="24">
        <v>8.370000000000001</v>
      </c>
      <c r="AY106" s="24">
        <v>0.23</v>
      </c>
      <c r="AZ106" s="24">
        <v>58870.799999999996</v>
      </c>
      <c r="BA106" s="24">
        <v>2049.3000000000002</v>
      </c>
      <c r="BB106" s="24">
        <v>113022</v>
      </c>
      <c r="BC106" s="24">
        <v>6210</v>
      </c>
      <c r="BD106" s="24">
        <v>995462.99999999988</v>
      </c>
      <c r="BE106" s="24">
        <v>45954</v>
      </c>
      <c r="BF106" s="24">
        <v>198.71999999999997</v>
      </c>
      <c r="BG106" s="24">
        <v>93.15</v>
      </c>
      <c r="BH106" s="24">
        <f t="shared" si="30"/>
        <v>5009.375</v>
      </c>
      <c r="BI106" s="24">
        <f t="shared" si="31"/>
        <v>2359.5040373220991</v>
      </c>
    </row>
    <row r="107" spans="1:61" x14ac:dyDescent="0.2">
      <c r="A107" t="s">
        <v>344</v>
      </c>
      <c r="B107" t="s">
        <v>38</v>
      </c>
      <c r="C107" t="s">
        <v>345</v>
      </c>
      <c r="D107" t="s">
        <v>346</v>
      </c>
      <c r="E107">
        <v>81713</v>
      </c>
      <c r="F107">
        <v>42900</v>
      </c>
      <c r="G107" t="s">
        <v>346</v>
      </c>
      <c r="H107" s="1">
        <v>26.02</v>
      </c>
      <c r="I107" s="1">
        <v>18.260000000000002</v>
      </c>
      <c r="J107" s="10">
        <v>2.8450000000000002</v>
      </c>
      <c r="K107" s="10">
        <f t="shared" ca="1" si="24"/>
        <v>0.10479317725882729</v>
      </c>
      <c r="L107" s="7">
        <v>0.2346</v>
      </c>
      <c r="M107" s="7">
        <f t="shared" ca="1" si="25"/>
        <v>8.6778375186448379E-3</v>
      </c>
      <c r="N107" s="7">
        <v>0.96786000000000005</v>
      </c>
      <c r="O107" s="8">
        <v>4.262575</v>
      </c>
      <c r="P107" s="8">
        <f t="shared" ca="1" si="26"/>
        <v>0.1576723746048749</v>
      </c>
      <c r="Q107" s="9">
        <v>8.7910000000000002E-2</v>
      </c>
      <c r="R107" s="9">
        <f t="shared" ca="1" si="27"/>
        <v>1.8422180218421488E-3</v>
      </c>
      <c r="S107" s="8">
        <f t="shared" si="28"/>
        <v>0.37195649996576452</v>
      </c>
      <c r="T107" s="11">
        <v>7.1999999999999995E-2</v>
      </c>
      <c r="U107" s="11">
        <f t="shared" ca="1" si="29"/>
        <v>2.5462914208707532E-3</v>
      </c>
      <c r="V107" s="6" t="e">
        <f ca="1">IF(agePb6U8(1/O107)&lt;1400,age7corr(1/O107,Q107,$W$2),agePb76(Q107))</f>
        <v>#NAME?</v>
      </c>
      <c r="W107" s="6" t="e">
        <f ca="1">IF(agePb6U8(1/O107)&lt;1400,ageer7corr(V107,1/O107,P107/O107*(1/O107),Q107,R107,$W$2,0.05),ageerPb76(Q107,R107))</f>
        <v>#NAME?</v>
      </c>
      <c r="X107" s="4" t="e">
        <f ca="1">agePb6U8(L107)/agePb7u5(J107)</f>
        <v>#NAME?</v>
      </c>
      <c r="Z107" s="1">
        <v>2.8450000000000002</v>
      </c>
      <c r="AA107" s="1">
        <v>8.7999999999999995E-2</v>
      </c>
      <c r="AB107" s="1">
        <v>0.2346</v>
      </c>
      <c r="AC107" s="1">
        <v>7.3000000000000001E-3</v>
      </c>
      <c r="AD107" s="1">
        <v>0.96786000000000005</v>
      </c>
      <c r="AE107" s="1">
        <v>4.262575</v>
      </c>
      <c r="AF107" s="1">
        <v>0.1326377</v>
      </c>
      <c r="AG107" s="1">
        <v>8.7910000000000002E-2</v>
      </c>
      <c r="AH107" s="1">
        <v>5.5000000000000003E-4</v>
      </c>
      <c r="AI107" s="1">
        <v>0.17150000000000001</v>
      </c>
      <c r="AJ107" s="1">
        <v>7.1999999999999995E-2</v>
      </c>
      <c r="AK107" s="1">
        <v>2.0999999999999999E-3</v>
      </c>
      <c r="AL107" s="1">
        <v>4.8890000000000002</v>
      </c>
      <c r="AM107" s="1">
        <v>3.5000000000000003E-2</v>
      </c>
      <c r="AN107" s="1">
        <v>1366</v>
      </c>
      <c r="AO107" s="1">
        <v>23</v>
      </c>
      <c r="AP107" s="1">
        <v>1358</v>
      </c>
      <c r="AQ107" s="1">
        <v>38</v>
      </c>
      <c r="AR107" s="1">
        <v>1405</v>
      </c>
      <c r="AS107" s="1">
        <v>40</v>
      </c>
      <c r="AT107" s="1">
        <v>1380</v>
      </c>
      <c r="AU107" s="1">
        <v>12</v>
      </c>
      <c r="AV107" s="1">
        <v>5.7</v>
      </c>
      <c r="AW107" s="1">
        <v>0.17</v>
      </c>
      <c r="AX107" s="1">
        <v>1.4450000000000001</v>
      </c>
      <c r="AY107" s="1">
        <v>2.7E-2</v>
      </c>
      <c r="AZ107" s="1">
        <v>8532.5399999999991</v>
      </c>
      <c r="BA107" s="1">
        <v>186.3</v>
      </c>
      <c r="BB107" s="1">
        <v>4533.2999999999993</v>
      </c>
      <c r="BC107" s="1">
        <v>93.15</v>
      </c>
      <c r="BD107" s="1">
        <v>51480.899999999994</v>
      </c>
      <c r="BE107" s="1">
        <v>993.6</v>
      </c>
      <c r="BF107" s="1">
        <v>-2.8565999999999998</v>
      </c>
      <c r="BG107" s="1">
        <v>5.2784999999999993</v>
      </c>
      <c r="BH107" s="1">
        <f t="shared" si="30"/>
        <v>-18021.73913043478</v>
      </c>
      <c r="BI107" s="1">
        <f t="shared" si="31"/>
        <v>-33302.856152649591</v>
      </c>
    </row>
    <row r="108" spans="1:61" s="23" customFormat="1" x14ac:dyDescent="0.2">
      <c r="A108" s="23" t="s">
        <v>347</v>
      </c>
      <c r="B108" s="23" t="s">
        <v>38</v>
      </c>
      <c r="C108" s="23" t="s">
        <v>348</v>
      </c>
      <c r="D108" s="23" t="s">
        <v>349</v>
      </c>
      <c r="E108" s="23">
        <v>81730</v>
      </c>
      <c r="F108" s="23">
        <v>43138</v>
      </c>
      <c r="G108" s="23" t="s">
        <v>349</v>
      </c>
      <c r="H108" s="24">
        <v>64.900000000000006</v>
      </c>
      <c r="I108" s="24">
        <v>36.4</v>
      </c>
      <c r="J108" s="25">
        <v>7.9</v>
      </c>
      <c r="K108" s="25">
        <f t="shared" ca="1" si="24"/>
        <v>4.8025997126556357</v>
      </c>
      <c r="L108" s="26">
        <v>0.20100000000000001</v>
      </c>
      <c r="M108" s="26">
        <f t="shared" ca="1" si="25"/>
        <v>4.3187502821997008E-2</v>
      </c>
      <c r="N108" s="26">
        <v>0.99744999999999995</v>
      </c>
      <c r="O108" s="26">
        <v>4.9751240000000001</v>
      </c>
      <c r="P108" s="26">
        <f t="shared" ca="1" si="26"/>
        <v>1.0689710437734741</v>
      </c>
      <c r="Q108" s="25">
        <v>0.22</v>
      </c>
      <c r="R108" s="25">
        <f t="shared" ca="1" si="27"/>
        <v>6.8142204249642541E-2</v>
      </c>
      <c r="S108" s="26">
        <f t="shared" si="28"/>
        <v>0.27992121243196416</v>
      </c>
      <c r="T108" s="25">
        <v>0.24</v>
      </c>
      <c r="U108" s="25">
        <f t="shared" ca="1" si="29"/>
        <v>0.12009596163068932</v>
      </c>
      <c r="V108" s="24" t="e">
        <f ca="1">IF(agePb6U8(1/O108)&lt;1400,age7corr(1/O108,Q108,$W$2),agePb76(Q108))</f>
        <v>#NAME?</v>
      </c>
      <c r="W108" s="24" t="e">
        <f ca="1">IF(agePb6U8(1/O108)&lt;1400,ageer7corr(V108,1/O108,P108/O108*(1/O108),Q108,R108,$W$2,0.05),ageerPb76(Q108,R108))</f>
        <v>#NAME?</v>
      </c>
      <c r="X108" s="26" t="e">
        <f ca="1">agePb6U8(L108)/agePb7u5(J108)</f>
        <v>#NAME?</v>
      </c>
      <c r="Y108" s="24"/>
      <c r="Z108" s="24">
        <v>7.9</v>
      </c>
      <c r="AA108" s="24">
        <v>4.8</v>
      </c>
      <c r="AB108" s="24">
        <v>0.20100000000000001</v>
      </c>
      <c r="AC108" s="24">
        <v>4.2999999999999997E-2</v>
      </c>
      <c r="AD108" s="24">
        <v>0.99744999999999995</v>
      </c>
      <c r="AE108" s="24">
        <v>4.9751240000000001</v>
      </c>
      <c r="AF108" s="24">
        <v>1.06433</v>
      </c>
      <c r="AG108" s="24">
        <v>0.22</v>
      </c>
      <c r="AH108" s="24">
        <v>6.8000000000000005E-2</v>
      </c>
      <c r="AI108" s="24">
        <v>-0.97102999999999995</v>
      </c>
      <c r="AJ108" s="24">
        <v>0.24</v>
      </c>
      <c r="AK108" s="24">
        <v>0.12</v>
      </c>
      <c r="AL108" s="24">
        <v>2.4500000000000002</v>
      </c>
      <c r="AM108" s="24">
        <v>0.57999999999999996</v>
      </c>
      <c r="AN108" s="24">
        <v>1820</v>
      </c>
      <c r="AO108" s="24">
        <v>360</v>
      </c>
      <c r="AP108" s="24">
        <v>1160</v>
      </c>
      <c r="AQ108" s="24">
        <v>210</v>
      </c>
      <c r="AR108" s="24">
        <v>4000</v>
      </c>
      <c r="AS108" s="24">
        <v>1700</v>
      </c>
      <c r="AT108" s="24">
        <v>2840</v>
      </c>
      <c r="AU108" s="24">
        <v>480</v>
      </c>
      <c r="AV108" s="24">
        <v>14.21</v>
      </c>
      <c r="AW108" s="24">
        <v>0.98</v>
      </c>
      <c r="AX108" s="24">
        <v>2.8800000000000003</v>
      </c>
      <c r="AY108" s="24">
        <v>0.12000000000000001</v>
      </c>
      <c r="AZ108" s="24">
        <v>54648</v>
      </c>
      <c r="BA108" s="24">
        <v>27945</v>
      </c>
      <c r="BB108" s="24">
        <v>29808.000000000004</v>
      </c>
      <c r="BC108" s="24">
        <v>15525</v>
      </c>
      <c r="BD108" s="24">
        <v>108675</v>
      </c>
      <c r="BE108" s="24">
        <v>18009</v>
      </c>
      <c r="BF108" s="24">
        <v>1614.6</v>
      </c>
      <c r="BG108" s="24">
        <v>1055.7</v>
      </c>
      <c r="BH108" s="24">
        <f t="shared" si="30"/>
        <v>67.307692307692307</v>
      </c>
      <c r="BI108" s="24">
        <f t="shared" si="31"/>
        <v>45.400324094561057</v>
      </c>
    </row>
    <row r="109" spans="1:61" x14ac:dyDescent="0.2">
      <c r="A109" t="s">
        <v>350</v>
      </c>
      <c r="B109" t="s">
        <v>38</v>
      </c>
      <c r="C109" t="s">
        <v>351</v>
      </c>
      <c r="D109" t="s">
        <v>352</v>
      </c>
      <c r="E109">
        <v>81786</v>
      </c>
      <c r="F109">
        <v>43958</v>
      </c>
      <c r="G109" t="s">
        <v>352</v>
      </c>
      <c r="H109" s="1">
        <v>69.52</v>
      </c>
      <c r="I109" s="1">
        <v>65.8</v>
      </c>
      <c r="J109" s="10">
        <v>2.0630000000000002</v>
      </c>
      <c r="K109" s="10">
        <f t="shared" ca="1" si="24"/>
        <v>6.0319048400981921E-2</v>
      </c>
      <c r="L109" s="7">
        <v>0.1908</v>
      </c>
      <c r="M109" s="7">
        <f t="shared" ca="1" si="25"/>
        <v>5.4563592257108589E-3</v>
      </c>
      <c r="N109" s="7">
        <v>0.95916000000000001</v>
      </c>
      <c r="O109" s="8">
        <v>5.2410899999999998</v>
      </c>
      <c r="P109" s="8">
        <f t="shared" ca="1" si="26"/>
        <v>0.14988087018655852</v>
      </c>
      <c r="Q109" s="9">
        <v>7.8549999999999995E-2</v>
      </c>
      <c r="R109" s="9">
        <f t="shared" ca="1" si="27"/>
        <v>1.6369609036259844E-3</v>
      </c>
      <c r="S109" s="8">
        <f t="shared" si="28"/>
        <v>0.49027283714621517</v>
      </c>
      <c r="T109" s="11">
        <v>6.1199999999999997E-2</v>
      </c>
      <c r="U109" s="11">
        <f t="shared" ca="1" si="29"/>
        <v>1.6456536695185901E-3</v>
      </c>
      <c r="V109" s="6" t="e">
        <f ca="1">IF(agePb6U8(1/O109)&lt;1400,age7corr(1/O109,Q109,$W$2),agePb76(Q109))</f>
        <v>#NAME?</v>
      </c>
      <c r="W109" s="6" t="e">
        <f ca="1">IF(agePb6U8(1/O109)&lt;1400,ageer7corr(V109,1/O109,P109/O109*(1/O109),Q109,R109,$W$2,0.05),ageerPb76(Q109,R109))</f>
        <v>#NAME?</v>
      </c>
      <c r="X109" s="4" t="e">
        <f ca="1">agePb6U8(L109)/agePb7u5(J109)</f>
        <v>#NAME?</v>
      </c>
      <c r="Z109" s="1">
        <v>2.0630000000000002</v>
      </c>
      <c r="AA109" s="1">
        <v>4.3999999999999997E-2</v>
      </c>
      <c r="AB109" s="1">
        <v>0.1908</v>
      </c>
      <c r="AC109" s="1">
        <v>3.8999999999999998E-3</v>
      </c>
      <c r="AD109" s="1">
        <v>0.95916000000000001</v>
      </c>
      <c r="AE109" s="1">
        <v>5.2410899999999998</v>
      </c>
      <c r="AF109" s="1">
        <v>0.10712919999999999</v>
      </c>
      <c r="AG109" s="1">
        <v>7.8549999999999995E-2</v>
      </c>
      <c r="AH109" s="1">
        <v>4.6000000000000001E-4</v>
      </c>
      <c r="AI109" s="1">
        <v>5.4017000000000003E-2</v>
      </c>
      <c r="AJ109" s="1">
        <v>6.1199999999999997E-2</v>
      </c>
      <c r="AK109" s="1">
        <v>1.1000000000000001E-3</v>
      </c>
      <c r="AL109" s="1">
        <v>3.5510000000000002</v>
      </c>
      <c r="AM109" s="1">
        <v>1.4999999999999999E-2</v>
      </c>
      <c r="AN109" s="1">
        <v>1136</v>
      </c>
      <c r="AO109" s="1">
        <v>15</v>
      </c>
      <c r="AP109" s="1">
        <v>1125</v>
      </c>
      <c r="AQ109" s="1">
        <v>21</v>
      </c>
      <c r="AR109" s="1">
        <v>1201</v>
      </c>
      <c r="AS109" s="1">
        <v>20</v>
      </c>
      <c r="AT109" s="1">
        <v>1161</v>
      </c>
      <c r="AU109" s="1">
        <v>11</v>
      </c>
      <c r="AV109" s="1">
        <v>15.219999999999999</v>
      </c>
      <c r="AW109" s="1">
        <v>0.21000000000000002</v>
      </c>
      <c r="AX109" s="1">
        <v>5.21</v>
      </c>
      <c r="AY109" s="1">
        <v>0.11</v>
      </c>
      <c r="AZ109" s="1">
        <v>25709.399999999998</v>
      </c>
      <c r="BA109" s="1">
        <v>329.13</v>
      </c>
      <c r="BB109" s="1">
        <v>8836.8299999999981</v>
      </c>
      <c r="BC109" s="1">
        <v>105.57000000000001</v>
      </c>
      <c r="BD109" s="1">
        <v>113146.2</v>
      </c>
      <c r="BE109" s="1">
        <v>1428.3</v>
      </c>
      <c r="BF109" s="1">
        <v>6.7688999999999995</v>
      </c>
      <c r="BG109" s="1">
        <v>3.6638999999999999</v>
      </c>
      <c r="BH109" s="1">
        <f t="shared" si="30"/>
        <v>16715.596330275232</v>
      </c>
      <c r="BI109" s="1">
        <f t="shared" si="31"/>
        <v>9050.3517680416753</v>
      </c>
    </row>
    <row r="110" spans="1:61" x14ac:dyDescent="0.2">
      <c r="A110" t="s">
        <v>353</v>
      </c>
      <c r="B110" t="s">
        <v>38</v>
      </c>
      <c r="C110" t="s">
        <v>354</v>
      </c>
      <c r="D110" t="s">
        <v>355</v>
      </c>
      <c r="E110">
        <v>81812</v>
      </c>
      <c r="F110">
        <v>44267</v>
      </c>
      <c r="G110" t="s">
        <v>355</v>
      </c>
      <c r="H110" s="1">
        <v>145.69999999999999</v>
      </c>
      <c r="I110" s="1">
        <v>118.8</v>
      </c>
      <c r="J110" s="10">
        <v>2.782</v>
      </c>
      <c r="K110" s="10">
        <f t="shared" ca="1" si="24"/>
        <v>7.9654313128668677E-2</v>
      </c>
      <c r="L110" s="7">
        <v>0.23</v>
      </c>
      <c r="M110" s="7">
        <f t="shared" ca="1" si="25"/>
        <v>6.7208630398186212E-3</v>
      </c>
      <c r="N110" s="7">
        <v>0.97618000000000005</v>
      </c>
      <c r="O110" s="8">
        <v>4.3478260000000004</v>
      </c>
      <c r="P110" s="8">
        <f t="shared" ca="1" si="26"/>
        <v>0.12704845001915768</v>
      </c>
      <c r="Q110" s="9">
        <v>8.763E-2</v>
      </c>
      <c r="R110" s="9">
        <f t="shared" ca="1" si="27"/>
        <v>1.7976670325730514E-3</v>
      </c>
      <c r="S110" s="8">
        <f t="shared" si="28"/>
        <v>0.42337447441746101</v>
      </c>
      <c r="T110" s="11">
        <v>6.9099999999999995E-2</v>
      </c>
      <c r="U110" s="11">
        <f t="shared" ca="1" si="29"/>
        <v>2.1142194777269458E-3</v>
      </c>
      <c r="V110" s="6" t="e">
        <f ca="1">IF(agePb6U8(1/O110)&lt;1400,age7corr(1/O110,Q110,$W$2),agePb76(Q110))</f>
        <v>#NAME?</v>
      </c>
      <c r="W110" s="6" t="e">
        <f ca="1">IF(agePb6U8(1/O110)&lt;1400,ageer7corr(V110,1/O110,P110/O110*(1/O110),Q110,R110,$W$2,0.05),ageerPb76(Q110,R110))</f>
        <v>#NAME?</v>
      </c>
      <c r="X110" s="4" t="e">
        <f ca="1">agePb6U8(L110)/agePb7u5(J110)</f>
        <v>#NAME?</v>
      </c>
      <c r="Z110" s="1">
        <v>2.782</v>
      </c>
      <c r="AA110" s="1">
        <v>5.7000000000000002E-2</v>
      </c>
      <c r="AB110" s="1">
        <v>0.23</v>
      </c>
      <c r="AC110" s="1">
        <v>4.8999999999999998E-3</v>
      </c>
      <c r="AD110" s="1">
        <v>0.97618000000000005</v>
      </c>
      <c r="AE110" s="1">
        <v>4.3478260000000004</v>
      </c>
      <c r="AF110" s="1">
        <v>9.2627600000000004E-2</v>
      </c>
      <c r="AG110" s="1">
        <v>8.763E-2</v>
      </c>
      <c r="AH110" s="1">
        <v>4.0000000000000002E-4</v>
      </c>
      <c r="AI110" s="1">
        <v>0.37628</v>
      </c>
      <c r="AJ110" s="1">
        <v>6.9099999999999995E-2</v>
      </c>
      <c r="AK110" s="1">
        <v>1.6000000000000001E-3</v>
      </c>
      <c r="AL110" s="1">
        <v>4.258</v>
      </c>
      <c r="AM110" s="1">
        <v>4.8000000000000001E-2</v>
      </c>
      <c r="AN110" s="1">
        <v>1350</v>
      </c>
      <c r="AO110" s="1">
        <v>16</v>
      </c>
      <c r="AP110" s="1">
        <v>1334</v>
      </c>
      <c r="AQ110" s="1">
        <v>26</v>
      </c>
      <c r="AR110" s="1">
        <v>1350</v>
      </c>
      <c r="AS110" s="1">
        <v>31</v>
      </c>
      <c r="AT110" s="1">
        <v>1374.3</v>
      </c>
      <c r="AU110" s="1">
        <v>8.8000000000000007</v>
      </c>
      <c r="AV110" s="1">
        <v>31.88</v>
      </c>
      <c r="AW110" s="1">
        <v>0.87</v>
      </c>
      <c r="AX110" s="1">
        <v>9.4</v>
      </c>
      <c r="AY110" s="1">
        <v>0.15</v>
      </c>
      <c r="AZ110" s="1">
        <v>53778.6</v>
      </c>
      <c r="BA110" s="1">
        <v>1552.5</v>
      </c>
      <c r="BB110" s="1">
        <v>24871.05</v>
      </c>
      <c r="BC110" s="1">
        <v>453.33</v>
      </c>
      <c r="BD110" s="1">
        <v>284231.7</v>
      </c>
      <c r="BE110" s="1">
        <v>5526.9</v>
      </c>
      <c r="BF110" s="1">
        <v>4.7196000000000007</v>
      </c>
      <c r="BG110" s="1">
        <v>5.2164000000000001</v>
      </c>
      <c r="BH110" s="1">
        <f t="shared" si="30"/>
        <v>60223.684210526313</v>
      </c>
      <c r="BI110" s="1">
        <f t="shared" si="31"/>
        <v>66573.319841036049</v>
      </c>
    </row>
    <row r="111" spans="1:61" x14ac:dyDescent="0.2">
      <c r="A111" t="s">
        <v>161</v>
      </c>
      <c r="B111" t="s">
        <v>38</v>
      </c>
      <c r="C111" t="s">
        <v>162</v>
      </c>
      <c r="D111" t="s">
        <v>163</v>
      </c>
      <c r="E111">
        <v>82882</v>
      </c>
      <c r="F111">
        <v>41585</v>
      </c>
      <c r="G111" t="s">
        <v>163</v>
      </c>
      <c r="H111" s="1">
        <v>97</v>
      </c>
      <c r="I111" s="1">
        <v>54.62</v>
      </c>
      <c r="J111" s="10">
        <v>1.7290000000000001</v>
      </c>
      <c r="K111" s="10">
        <f t="shared" ca="1" si="24"/>
        <v>5.2122705225266276E-2</v>
      </c>
      <c r="L111" s="7">
        <v>0.16900000000000001</v>
      </c>
      <c r="M111" s="7">
        <f t="shared" ca="1" si="25"/>
        <v>4.9380562977754724E-3</v>
      </c>
      <c r="N111" s="7">
        <v>0.92584</v>
      </c>
      <c r="O111" s="8">
        <v>5.91716</v>
      </c>
      <c r="P111" s="8">
        <f t="shared" ca="1" si="26"/>
        <v>0.17289507541350041</v>
      </c>
      <c r="Q111" s="9">
        <v>7.3690000000000005E-2</v>
      </c>
      <c r="R111" s="9">
        <f t="shared" ca="1" si="27"/>
        <v>1.6028058023353923E-3</v>
      </c>
      <c r="S111" s="8">
        <f t="shared" si="28"/>
        <v>0.46677726568958328</v>
      </c>
      <c r="T111" s="11">
        <v>4.9700000000000001E-2</v>
      </c>
      <c r="U111" s="11">
        <f t="shared" ca="1" si="29"/>
        <v>1.3888614041724973E-3</v>
      </c>
      <c r="V111" s="6" t="e">
        <f ca="1">IF(agePb6U8(1/O111)&lt;1400,age7corr(1/O111,Q111,$W$2),agePb76(Q111))</f>
        <v>#NAME?</v>
      </c>
      <c r="W111" s="6" t="e">
        <f ca="1">IF(agePb6U8(1/O111)&lt;1400,ageer7corr(V111,1/O111,P111/O111*(1/O111),Q111,R111,$W$2,0.05),ageerPb76(Q111,R111))</f>
        <v>#NAME?</v>
      </c>
      <c r="X111" s="4" t="e">
        <f ca="1">agePb6U8(L111)/agePb7u5(J111)</f>
        <v>#NAME?</v>
      </c>
      <c r="Z111" s="1">
        <v>1.7290000000000001</v>
      </c>
      <c r="AA111" s="1">
        <v>3.9E-2</v>
      </c>
      <c r="AB111" s="1">
        <v>0.16900000000000001</v>
      </c>
      <c r="AC111" s="1">
        <v>3.5999999999999999E-3</v>
      </c>
      <c r="AD111" s="1">
        <v>0.92584</v>
      </c>
      <c r="AE111" s="1">
        <v>5.91716</v>
      </c>
      <c r="AF111" s="1">
        <v>0.12604599999999999</v>
      </c>
      <c r="AG111" s="1">
        <v>7.3690000000000005E-2</v>
      </c>
      <c r="AH111" s="1">
        <v>6.3000000000000003E-4</v>
      </c>
      <c r="AI111" s="1">
        <v>-0.25161</v>
      </c>
      <c r="AJ111" s="1">
        <v>4.9700000000000001E-2</v>
      </c>
      <c r="AK111" s="1">
        <v>9.7000000000000005E-4</v>
      </c>
      <c r="AL111" s="1">
        <v>6.59</v>
      </c>
      <c r="AM111" s="1">
        <v>0.05</v>
      </c>
      <c r="AN111" s="1">
        <v>1019</v>
      </c>
      <c r="AO111" s="1">
        <v>15</v>
      </c>
      <c r="AP111" s="1">
        <v>1006</v>
      </c>
      <c r="AQ111" s="1">
        <v>20</v>
      </c>
      <c r="AR111" s="1">
        <v>980</v>
      </c>
      <c r="AS111" s="1">
        <v>19</v>
      </c>
      <c r="AT111" s="1">
        <v>1033</v>
      </c>
      <c r="AU111" s="1">
        <v>17</v>
      </c>
      <c r="AV111" s="1">
        <v>21.37</v>
      </c>
      <c r="AW111" s="1">
        <v>0.46</v>
      </c>
      <c r="AX111" s="1">
        <v>4.335</v>
      </c>
      <c r="AY111" s="1">
        <v>5.8999999999999997E-2</v>
      </c>
      <c r="AZ111" s="1">
        <v>17524.619999999995</v>
      </c>
      <c r="BA111" s="1">
        <v>273.24</v>
      </c>
      <c r="BB111" s="1">
        <v>10333.439999999999</v>
      </c>
      <c r="BC111" s="1">
        <v>229.77</v>
      </c>
      <c r="BD111" s="1">
        <v>139538.69999999998</v>
      </c>
      <c r="BE111" s="1">
        <v>2856.6</v>
      </c>
      <c r="BF111" s="1">
        <v>43.47</v>
      </c>
      <c r="BG111" s="1">
        <v>6.8310000000000004</v>
      </c>
      <c r="BH111" s="1">
        <f t="shared" si="30"/>
        <v>3209.9999999999995</v>
      </c>
      <c r="BI111" s="1">
        <f t="shared" si="31"/>
        <v>508.6910172397466</v>
      </c>
    </row>
    <row r="112" spans="1:61" x14ac:dyDescent="0.2">
      <c r="A112" t="s">
        <v>356</v>
      </c>
      <c r="B112" t="s">
        <v>38</v>
      </c>
      <c r="C112" t="s">
        <v>357</v>
      </c>
      <c r="D112" t="s">
        <v>358</v>
      </c>
      <c r="E112">
        <v>81896</v>
      </c>
      <c r="F112">
        <v>44475</v>
      </c>
      <c r="G112" t="s">
        <v>358</v>
      </c>
      <c r="H112" s="1">
        <v>185.4</v>
      </c>
      <c r="I112" s="1">
        <v>140.6</v>
      </c>
      <c r="J112" s="10">
        <v>3.1720000000000002</v>
      </c>
      <c r="K112" s="10">
        <f t="shared" ca="1" si="24"/>
        <v>0.10526458853764643</v>
      </c>
      <c r="L112" s="7">
        <v>0.24940000000000001</v>
      </c>
      <c r="M112" s="7">
        <f t="shared" ca="1" si="25"/>
        <v>8.5953559553982421E-3</v>
      </c>
      <c r="N112" s="7">
        <v>0.99184000000000005</v>
      </c>
      <c r="O112" s="8">
        <v>4.0096230000000004</v>
      </c>
      <c r="P112" s="8">
        <f t="shared" ca="1" si="26"/>
        <v>0.13818816773190679</v>
      </c>
      <c r="Q112" s="9">
        <v>9.2749999999999999E-2</v>
      </c>
      <c r="R112" s="9">
        <f t="shared" ca="1" si="27"/>
        <v>1.8791021792334763E-3</v>
      </c>
      <c r="S112" s="8">
        <f t="shared" si="28"/>
        <v>0.52682580686603997</v>
      </c>
      <c r="T112" s="11">
        <v>7.6300000000000007E-2</v>
      </c>
      <c r="U112" s="11">
        <f t="shared" ca="1" si="29"/>
        <v>3.0147431068003124E-3</v>
      </c>
      <c r="V112" s="6" t="e">
        <f ca="1">IF(agePb6U8(1/O112)&lt;1400,age7corr(1/O112,Q112,$W$2),agePb76(Q112))</f>
        <v>#NAME?</v>
      </c>
      <c r="W112" s="6" t="e">
        <f ca="1">IF(agePb6U8(1/O112)&lt;1400,ageer7corr(V112,1/O112,P112/O112*(1/O112),Q112,R112,$W$2,0.05),ageerPb76(Q112,R112))</f>
        <v>#NAME?</v>
      </c>
      <c r="X112" s="4" t="e">
        <f ca="1">agePb6U8(L112)/agePb7u5(J112)</f>
        <v>#NAME?</v>
      </c>
      <c r="Z112" s="1">
        <v>3.1720000000000002</v>
      </c>
      <c r="AA112" s="1">
        <v>8.4000000000000005E-2</v>
      </c>
      <c r="AB112" s="1">
        <v>0.24940000000000001</v>
      </c>
      <c r="AC112" s="1">
        <v>7.0000000000000001E-3</v>
      </c>
      <c r="AD112" s="1">
        <v>0.99184000000000005</v>
      </c>
      <c r="AE112" s="1">
        <v>4.0096230000000004</v>
      </c>
      <c r="AF112" s="1">
        <v>0.1125395</v>
      </c>
      <c r="AG112" s="1">
        <v>9.2749999999999999E-2</v>
      </c>
      <c r="AH112" s="1">
        <v>2.9999999999999997E-4</v>
      </c>
      <c r="AI112" s="1">
        <v>-7.4072000000000001E-3</v>
      </c>
      <c r="AJ112" s="1">
        <v>7.6300000000000007E-2</v>
      </c>
      <c r="AK112" s="1">
        <v>2.5999999999999999E-3</v>
      </c>
      <c r="AL112" s="1">
        <v>4.617</v>
      </c>
      <c r="AM112" s="1">
        <v>6.5000000000000002E-2</v>
      </c>
      <c r="AN112" s="1">
        <v>1449</v>
      </c>
      <c r="AO112" s="1">
        <v>21</v>
      </c>
      <c r="AP112" s="1">
        <v>1435</v>
      </c>
      <c r="AQ112" s="1">
        <v>36</v>
      </c>
      <c r="AR112" s="1">
        <v>1485</v>
      </c>
      <c r="AS112" s="1">
        <v>49</v>
      </c>
      <c r="AT112" s="1">
        <v>1482.7</v>
      </c>
      <c r="AU112" s="1">
        <v>6.1</v>
      </c>
      <c r="AV112" s="1">
        <v>40.57</v>
      </c>
      <c r="AW112" s="1">
        <v>0.73</v>
      </c>
      <c r="AX112" s="1">
        <v>11.12</v>
      </c>
      <c r="AY112" s="1">
        <v>0.27999999999999997</v>
      </c>
      <c r="AZ112" s="1">
        <v>69986.7</v>
      </c>
      <c r="BA112" s="1">
        <v>1179.8999999999999</v>
      </c>
      <c r="BB112" s="1">
        <v>36452.699999999997</v>
      </c>
      <c r="BC112" s="1">
        <v>745.2</v>
      </c>
      <c r="BD112" s="1">
        <v>398061</v>
      </c>
      <c r="BE112" s="1">
        <v>8072.9999999999982</v>
      </c>
      <c r="BF112" s="1">
        <v>4.2848999999999995</v>
      </c>
      <c r="BG112" s="1">
        <v>6.1478999999999999</v>
      </c>
      <c r="BH112" s="1">
        <f t="shared" si="30"/>
        <v>92898.550724637695</v>
      </c>
      <c r="BI112" s="1">
        <f t="shared" si="31"/>
        <v>133302.53997182706</v>
      </c>
    </row>
    <row r="113" spans="1:61" s="23" customFormat="1" x14ac:dyDescent="0.2">
      <c r="A113" s="23" t="s">
        <v>359</v>
      </c>
      <c r="B113" s="23" t="s">
        <v>38</v>
      </c>
      <c r="C113" s="23" t="s">
        <v>360</v>
      </c>
      <c r="D113" s="23" t="s">
        <v>361</v>
      </c>
      <c r="E113" s="23">
        <v>81890</v>
      </c>
      <c r="F113" s="23">
        <v>44810</v>
      </c>
      <c r="G113" s="23" t="s">
        <v>361</v>
      </c>
      <c r="H113" s="24">
        <v>261.39999999999998</v>
      </c>
      <c r="I113" s="24">
        <v>131</v>
      </c>
      <c r="J113" s="25">
        <v>2.8370000000000002</v>
      </c>
      <c r="K113" s="25">
        <f t="shared" ca="1" si="24"/>
        <v>0.10554822404948366</v>
      </c>
      <c r="L113" s="26">
        <v>0.2104</v>
      </c>
      <c r="M113" s="26">
        <f t="shared" ca="1" si="25"/>
        <v>7.9118432744841455E-3</v>
      </c>
      <c r="N113" s="26">
        <v>0.98726999999999998</v>
      </c>
      <c r="O113" s="26">
        <v>4.7528519999999999</v>
      </c>
      <c r="P113" s="26">
        <f t="shared" ca="1" si="26"/>
        <v>0.17872535959860758</v>
      </c>
      <c r="Q113" s="25">
        <v>9.7570000000000004E-2</v>
      </c>
      <c r="R113" s="25">
        <f t="shared" ca="1" si="27"/>
        <v>2.0119796122227483E-3</v>
      </c>
      <c r="S113" s="26">
        <f t="shared" si="28"/>
        <v>0.47123024673282354</v>
      </c>
      <c r="T113" s="25">
        <v>6.2300000000000001E-2</v>
      </c>
      <c r="U113" s="25">
        <f t="shared" ca="1" si="29"/>
        <v>3.8095296297574587E-3</v>
      </c>
      <c r="V113" s="24" t="e">
        <f ca="1">IF(agePb6U8(1/O113)&lt;1400,age7corr(1/O113,Q113,$W$2),agePb76(Q113))</f>
        <v>#NAME?</v>
      </c>
      <c r="W113" s="24" t="e">
        <f ca="1">IF(agePb6U8(1/O113)&lt;1400,ageer7corr(V113,1/O113,P113/O113*(1/O113),Q113,R113,$W$2,0.05),ageerPb76(Q113,R113))</f>
        <v>#NAME?</v>
      </c>
      <c r="X113" s="26" t="e">
        <f ca="1">agePb6U8(L113)/agePb7u5(J113)</f>
        <v>#NAME?</v>
      </c>
      <c r="Y113" s="24"/>
      <c r="Z113" s="24">
        <v>2.8370000000000002</v>
      </c>
      <c r="AA113" s="24">
        <v>8.8999999999999996E-2</v>
      </c>
      <c r="AB113" s="24">
        <v>0.2104</v>
      </c>
      <c r="AC113" s="24">
        <v>6.7000000000000002E-3</v>
      </c>
      <c r="AD113" s="24">
        <v>0.98726999999999998</v>
      </c>
      <c r="AE113" s="24">
        <v>4.7528519999999999</v>
      </c>
      <c r="AF113" s="24">
        <v>0.15135029999999999</v>
      </c>
      <c r="AG113" s="24">
        <v>9.7570000000000004E-2</v>
      </c>
      <c r="AH113" s="24">
        <v>4.8999999999999998E-4</v>
      </c>
      <c r="AI113" s="24">
        <v>2.5958999999999999E-2</v>
      </c>
      <c r="AJ113" s="24">
        <v>6.2300000000000001E-2</v>
      </c>
      <c r="AK113" s="24">
        <v>3.5999999999999999E-3</v>
      </c>
      <c r="AL113" s="24">
        <v>7.32</v>
      </c>
      <c r="AM113" s="24">
        <v>0.21</v>
      </c>
      <c r="AN113" s="24">
        <v>1364</v>
      </c>
      <c r="AO113" s="24">
        <v>23</v>
      </c>
      <c r="AP113" s="24">
        <v>1231</v>
      </c>
      <c r="AQ113" s="24">
        <v>36</v>
      </c>
      <c r="AR113" s="24">
        <v>1222</v>
      </c>
      <c r="AS113" s="24">
        <v>68</v>
      </c>
      <c r="AT113" s="24">
        <v>1578.1</v>
      </c>
      <c r="AU113" s="24">
        <v>9.3000000000000007</v>
      </c>
      <c r="AV113" s="24">
        <v>57.2</v>
      </c>
      <c r="AW113" s="24">
        <v>1</v>
      </c>
      <c r="AX113" s="24">
        <v>10.4</v>
      </c>
      <c r="AY113" s="24">
        <v>1</v>
      </c>
      <c r="AZ113" s="24">
        <v>51853.500000000007</v>
      </c>
      <c r="BA113" s="24">
        <v>1304.0999999999999</v>
      </c>
      <c r="BB113" s="24">
        <v>45395.1</v>
      </c>
      <c r="BC113" s="24">
        <v>745.2</v>
      </c>
      <c r="BD113" s="24">
        <v>465750</v>
      </c>
      <c r="BE113" s="24">
        <v>7452.0000000000009</v>
      </c>
      <c r="BF113" s="24">
        <v>240.327</v>
      </c>
      <c r="BG113" s="24">
        <v>18.009</v>
      </c>
      <c r="BH113" s="24">
        <f t="shared" si="30"/>
        <v>1937.984496124031</v>
      </c>
      <c r="BI113" s="24">
        <f t="shared" si="31"/>
        <v>148.4970961893375</v>
      </c>
    </row>
    <row r="114" spans="1:61" x14ac:dyDescent="0.2">
      <c r="A114" t="s">
        <v>362</v>
      </c>
      <c r="B114" t="s">
        <v>38</v>
      </c>
      <c r="C114" t="s">
        <v>363</v>
      </c>
      <c r="D114" t="s">
        <v>364</v>
      </c>
      <c r="E114">
        <v>81488</v>
      </c>
      <c r="F114">
        <v>40033</v>
      </c>
      <c r="G114" t="s">
        <v>364</v>
      </c>
      <c r="H114" s="1">
        <v>227</v>
      </c>
      <c r="I114" s="1">
        <v>80.900000000000006</v>
      </c>
      <c r="J114" s="10">
        <v>1.919</v>
      </c>
      <c r="K114" s="10">
        <f t="shared" ca="1" si="24"/>
        <v>5.4717679044345442E-2</v>
      </c>
      <c r="L114" s="7">
        <v>0.18260000000000001</v>
      </c>
      <c r="M114" s="7">
        <f t="shared" ca="1" si="25"/>
        <v>5.1987598521185804E-3</v>
      </c>
      <c r="N114" s="7">
        <v>0.98714999999999997</v>
      </c>
      <c r="O114" s="8">
        <v>5.476451</v>
      </c>
      <c r="P114" s="8">
        <f t="shared" ca="1" si="26"/>
        <v>0.15591868524368849</v>
      </c>
      <c r="Q114" s="9">
        <v>7.6240000000000002E-2</v>
      </c>
      <c r="R114" s="9">
        <f t="shared" ca="1" si="27"/>
        <v>1.552132417031485E-3</v>
      </c>
      <c r="S114" s="8">
        <f t="shared" si="28"/>
        <v>0.40872449280838496</v>
      </c>
      <c r="T114" s="11">
        <v>5.0700000000000002E-2</v>
      </c>
      <c r="U114" s="11">
        <f t="shared" ca="1" si="29"/>
        <v>1.5710493308613831E-3</v>
      </c>
      <c r="V114" s="6" t="e">
        <f ca="1">IF(agePb6U8(1/O114)&lt;1400,age7corr(1/O114,Q114,$W$2),agePb76(Q114))</f>
        <v>#NAME?</v>
      </c>
      <c r="W114" s="6" t="e">
        <f ca="1">IF(agePb6U8(1/O114)&lt;1400,ageer7corr(V114,1/O114,P114/O114*(1/O114),Q114,R114,$W$2,0.05),ageerPb76(Q114,R114))</f>
        <v>#NAME?</v>
      </c>
      <c r="X114" s="4" t="e">
        <f ca="1">agePb6U8(L114)/agePb7u5(J114)</f>
        <v>#NAME?</v>
      </c>
      <c r="Z114" s="1">
        <v>1.919</v>
      </c>
      <c r="AA114" s="1">
        <v>3.9E-2</v>
      </c>
      <c r="AB114" s="1">
        <v>0.18260000000000001</v>
      </c>
      <c r="AC114" s="1">
        <v>3.7000000000000002E-3</v>
      </c>
      <c r="AD114" s="1">
        <v>0.98714999999999997</v>
      </c>
      <c r="AE114" s="1">
        <v>5.476451</v>
      </c>
      <c r="AF114" s="1">
        <v>0.1109686</v>
      </c>
      <c r="AG114" s="1">
        <v>7.6240000000000002E-2</v>
      </c>
      <c r="AH114" s="1">
        <v>2.9E-4</v>
      </c>
      <c r="AI114" s="1">
        <v>0.13915</v>
      </c>
      <c r="AJ114" s="1">
        <v>5.0700000000000002E-2</v>
      </c>
      <c r="AK114" s="1">
        <v>1.1999999999999999E-3</v>
      </c>
      <c r="AL114" s="1">
        <v>10.83</v>
      </c>
      <c r="AM114" s="1">
        <v>0.27</v>
      </c>
      <c r="AN114" s="1">
        <v>1087</v>
      </c>
      <c r="AO114" s="1">
        <v>14</v>
      </c>
      <c r="AP114" s="1">
        <v>1081</v>
      </c>
      <c r="AQ114" s="1">
        <v>20</v>
      </c>
      <c r="AR114" s="1">
        <v>1000</v>
      </c>
      <c r="AS114" s="1">
        <v>22</v>
      </c>
      <c r="AT114" s="1">
        <v>1101.3</v>
      </c>
      <c r="AU114" s="1">
        <v>7.6</v>
      </c>
      <c r="AV114" s="1">
        <v>49.6</v>
      </c>
      <c r="AW114" s="1">
        <v>2.2000000000000002</v>
      </c>
      <c r="AX114" s="1">
        <v>6.4</v>
      </c>
      <c r="AY114" s="1">
        <v>0.32</v>
      </c>
      <c r="AZ114" s="1">
        <v>26144.1</v>
      </c>
      <c r="BA114" s="1">
        <v>1428.3</v>
      </c>
      <c r="BB114" s="1">
        <v>26578.799999999999</v>
      </c>
      <c r="BC114" s="1">
        <v>869.4</v>
      </c>
      <c r="BD114" s="1">
        <v>349623</v>
      </c>
      <c r="BE114" s="1">
        <v>11178.000000000002</v>
      </c>
      <c r="BF114" s="1">
        <v>3.4155000000000002</v>
      </c>
      <c r="BG114" s="1">
        <v>4.4091000000000005</v>
      </c>
      <c r="BH114" s="1">
        <f t="shared" si="30"/>
        <v>102363.63636363635</v>
      </c>
      <c r="BI114" s="1">
        <f t="shared" si="31"/>
        <v>132182.66990342943</v>
      </c>
    </row>
    <row r="115" spans="1:61" x14ac:dyDescent="0.2">
      <c r="A115" t="s">
        <v>365</v>
      </c>
      <c r="B115" t="s">
        <v>38</v>
      </c>
      <c r="C115" t="s">
        <v>366</v>
      </c>
      <c r="D115" t="s">
        <v>367</v>
      </c>
      <c r="E115">
        <v>81405</v>
      </c>
      <c r="F115">
        <v>40296</v>
      </c>
      <c r="G115" t="s">
        <v>367</v>
      </c>
      <c r="H115" s="1">
        <v>176.9</v>
      </c>
      <c r="I115" s="1">
        <v>184.7</v>
      </c>
      <c r="J115" s="10">
        <v>3.194</v>
      </c>
      <c r="K115" s="10">
        <f t="shared" ca="1" si="24"/>
        <v>0.10159554320933573</v>
      </c>
      <c r="L115" s="7">
        <v>0.25009999999999999</v>
      </c>
      <c r="M115" s="7">
        <f t="shared" ca="1" si="25"/>
        <v>7.7349857142725211E-3</v>
      </c>
      <c r="N115" s="7">
        <v>0.98912</v>
      </c>
      <c r="O115" s="8">
        <v>3.9984009999999999</v>
      </c>
      <c r="P115" s="8">
        <f t="shared" ca="1" si="26"/>
        <v>0.12366083123787136</v>
      </c>
      <c r="Q115" s="9">
        <v>9.2480000000000007E-2</v>
      </c>
      <c r="R115" s="9">
        <f t="shared" ca="1" si="27"/>
        <v>1.8664190740559851E-3</v>
      </c>
      <c r="S115" s="8">
        <f t="shared" si="28"/>
        <v>0.47396535649012961</v>
      </c>
      <c r="T115" s="11">
        <v>7.0400000000000004E-2</v>
      </c>
      <c r="U115" s="11">
        <f t="shared" ca="1" si="29"/>
        <v>2.2073658509635416E-3</v>
      </c>
      <c r="V115" s="6" t="e">
        <f ca="1">IF(agePb6U8(1/O115)&lt;1400,age7corr(1/O115,Q115,$W$2),agePb76(Q115))</f>
        <v>#NAME?</v>
      </c>
      <c r="W115" s="6" t="e">
        <f ca="1">IF(agePb6U8(1/O115)&lt;1400,ageer7corr(V115,1/O115,P115/O115*(1/O115),Q115,R115,$W$2,0.05),ageerPb76(Q115,R115))</f>
        <v>#NAME?</v>
      </c>
      <c r="X115" s="4" t="e">
        <f ca="1">agePb6U8(L115)/agePb7u5(J115)</f>
        <v>#NAME?</v>
      </c>
      <c r="Z115" s="1">
        <v>3.194</v>
      </c>
      <c r="AA115" s="1">
        <v>7.9000000000000001E-2</v>
      </c>
      <c r="AB115" s="1">
        <v>0.25009999999999999</v>
      </c>
      <c r="AC115" s="1">
        <v>5.8999999999999999E-3</v>
      </c>
      <c r="AD115" s="1">
        <v>0.98912</v>
      </c>
      <c r="AE115" s="1">
        <v>3.9984009999999999</v>
      </c>
      <c r="AF115" s="1">
        <v>9.4324530000000004E-2</v>
      </c>
      <c r="AG115" s="1">
        <v>9.2480000000000007E-2</v>
      </c>
      <c r="AH115" s="1">
        <v>2.5000000000000001E-4</v>
      </c>
      <c r="AI115" s="1">
        <v>0.23724000000000001</v>
      </c>
      <c r="AJ115" s="1">
        <v>7.0400000000000004E-2</v>
      </c>
      <c r="AK115" s="1">
        <v>1.6999999999999999E-3</v>
      </c>
      <c r="AL115" s="1">
        <v>3.6469999999999998</v>
      </c>
      <c r="AM115" s="1">
        <v>1.2999999999999999E-2</v>
      </c>
      <c r="AN115" s="1">
        <v>1461</v>
      </c>
      <c r="AO115" s="1">
        <v>16</v>
      </c>
      <c r="AP115" s="1">
        <v>1439</v>
      </c>
      <c r="AQ115" s="1">
        <v>31</v>
      </c>
      <c r="AR115" s="1">
        <v>1375</v>
      </c>
      <c r="AS115" s="1">
        <v>33</v>
      </c>
      <c r="AT115" s="1">
        <v>1477.2</v>
      </c>
      <c r="AU115" s="1">
        <v>5.0999999999999996</v>
      </c>
      <c r="AV115" s="1">
        <v>38.71</v>
      </c>
      <c r="AW115" s="1">
        <v>0.48000000000000004</v>
      </c>
      <c r="AX115" s="1">
        <v>14.62</v>
      </c>
      <c r="AY115" s="1">
        <v>0.2</v>
      </c>
      <c r="AZ115" s="1">
        <v>83400.3</v>
      </c>
      <c r="BA115" s="1">
        <v>1117.8000000000002</v>
      </c>
      <c r="BB115" s="1">
        <v>34974.720000000001</v>
      </c>
      <c r="BC115" s="1">
        <v>509.21999999999991</v>
      </c>
      <c r="BD115" s="1">
        <v>378623.7</v>
      </c>
      <c r="BE115" s="1">
        <v>4843.8</v>
      </c>
      <c r="BF115" s="1">
        <v>18.63</v>
      </c>
      <c r="BG115" s="1">
        <v>8.0729999999999986</v>
      </c>
      <c r="BH115" s="1">
        <f t="shared" si="30"/>
        <v>20323.333333333336</v>
      </c>
      <c r="BI115" s="1">
        <f t="shared" si="31"/>
        <v>8810.6148949525923</v>
      </c>
    </row>
    <row r="116" spans="1:61" x14ac:dyDescent="0.2">
      <c r="A116" t="s">
        <v>368</v>
      </c>
      <c r="B116" t="s">
        <v>38</v>
      </c>
      <c r="C116" t="s">
        <v>369</v>
      </c>
      <c r="D116" t="s">
        <v>370</v>
      </c>
      <c r="E116">
        <v>81441</v>
      </c>
      <c r="F116">
        <v>40431</v>
      </c>
      <c r="G116" t="s">
        <v>370</v>
      </c>
      <c r="H116" s="1">
        <v>110.1</v>
      </c>
      <c r="I116" s="1">
        <v>67.2</v>
      </c>
      <c r="J116" s="10">
        <v>1.9630000000000001</v>
      </c>
      <c r="K116" s="10">
        <f t="shared" ca="1" si="24"/>
        <v>5.3266758865168441E-2</v>
      </c>
      <c r="L116" s="7">
        <v>0.18659999999999999</v>
      </c>
      <c r="M116" s="7">
        <f t="shared" ca="1" si="25"/>
        <v>5.2552663110445692E-3</v>
      </c>
      <c r="N116" s="7">
        <v>0.94713999999999998</v>
      </c>
      <c r="O116" s="8">
        <v>5.359057</v>
      </c>
      <c r="P116" s="8">
        <f t="shared" ca="1" si="26"/>
        <v>0.15092856147233896</v>
      </c>
      <c r="Q116" s="9">
        <v>7.6749999999999999E-2</v>
      </c>
      <c r="R116" s="9">
        <f t="shared" ca="1" si="27"/>
        <v>1.5968171467015252E-3</v>
      </c>
      <c r="S116" s="8">
        <f t="shared" si="28"/>
        <v>0.56783921468096155</v>
      </c>
      <c r="T116" s="11">
        <v>5.2699999999999997E-2</v>
      </c>
      <c r="U116" s="11">
        <f t="shared" ca="1" si="29"/>
        <v>1.5234552832295407E-3</v>
      </c>
      <c r="V116" s="6" t="e">
        <f ca="1">IF(agePb6U8(1/O116)&lt;1400,age7corr(1/O116,Q116,$W$2),agePb76(Q116))</f>
        <v>#NAME?</v>
      </c>
      <c r="W116" s="6" t="e">
        <f ca="1">IF(agePb6U8(1/O116)&lt;1400,ageer7corr(V116,1/O116,P116/O116*(1/O116),Q116,R116,$W$2,0.05),ageerPb76(Q116,R116))</f>
        <v>#NAME?</v>
      </c>
      <c r="X116" s="4" t="e">
        <f ca="1">agePb6U8(L116)/agePb7u5(J116)</f>
        <v>#NAME?</v>
      </c>
      <c r="Z116" s="1">
        <v>1.9630000000000001</v>
      </c>
      <c r="AA116" s="1">
        <v>3.5999999999999997E-2</v>
      </c>
      <c r="AB116" s="1">
        <v>0.18659999999999999</v>
      </c>
      <c r="AC116" s="1">
        <v>3.7000000000000002E-3</v>
      </c>
      <c r="AD116" s="1">
        <v>0.94713999999999998</v>
      </c>
      <c r="AE116" s="1">
        <v>5.359057</v>
      </c>
      <c r="AF116" s="1">
        <v>0.1062621</v>
      </c>
      <c r="AG116" s="1">
        <v>7.6749999999999999E-2</v>
      </c>
      <c r="AH116" s="1">
        <v>4.4000000000000002E-4</v>
      </c>
      <c r="AI116" s="1">
        <v>0.21540000000000001</v>
      </c>
      <c r="AJ116" s="1">
        <v>5.2699999999999997E-2</v>
      </c>
      <c r="AK116" s="1">
        <v>1.1000000000000001E-3</v>
      </c>
      <c r="AL116" s="1">
        <v>6.2130000000000001</v>
      </c>
      <c r="AM116" s="1">
        <v>5.0999999999999997E-2</v>
      </c>
      <c r="AN116" s="1">
        <v>1103</v>
      </c>
      <c r="AO116" s="1">
        <v>12</v>
      </c>
      <c r="AP116" s="1">
        <v>1103</v>
      </c>
      <c r="AQ116" s="1">
        <v>20</v>
      </c>
      <c r="AR116" s="1">
        <v>1038</v>
      </c>
      <c r="AS116" s="1">
        <v>21</v>
      </c>
      <c r="AT116" s="1">
        <v>1115</v>
      </c>
      <c r="AU116" s="1">
        <v>12</v>
      </c>
      <c r="AV116" s="1">
        <v>24.080000000000002</v>
      </c>
      <c r="AW116" s="1">
        <v>0.27999999999999997</v>
      </c>
      <c r="AX116" s="1">
        <v>5.32</v>
      </c>
      <c r="AY116" s="1">
        <v>0.18000000000000002</v>
      </c>
      <c r="AZ116" s="1">
        <v>22647.87</v>
      </c>
      <c r="BA116" s="1">
        <v>596.16</v>
      </c>
      <c r="BB116" s="1">
        <v>13438.44</v>
      </c>
      <c r="BC116" s="1">
        <v>298.08</v>
      </c>
      <c r="BD116" s="1">
        <v>174873.59999999998</v>
      </c>
      <c r="BE116" s="1">
        <v>3415.5</v>
      </c>
      <c r="BF116" s="1">
        <v>37.26</v>
      </c>
      <c r="BG116" s="1">
        <v>6.2099999999999991</v>
      </c>
      <c r="BH116" s="1">
        <f t="shared" si="30"/>
        <v>4693.333333333333</v>
      </c>
      <c r="BI116" s="1">
        <f t="shared" si="31"/>
        <v>787.57500132752386</v>
      </c>
    </row>
    <row r="117" spans="1:61" x14ac:dyDescent="0.2">
      <c r="A117" t="s">
        <v>371</v>
      </c>
      <c r="B117" t="s">
        <v>38</v>
      </c>
      <c r="C117" t="s">
        <v>372</v>
      </c>
      <c r="D117" t="s">
        <v>373</v>
      </c>
      <c r="E117">
        <v>81466</v>
      </c>
      <c r="F117">
        <v>44048</v>
      </c>
      <c r="G117" t="s">
        <v>373</v>
      </c>
      <c r="H117" s="1">
        <v>394</v>
      </c>
      <c r="I117" s="1">
        <v>95.9</v>
      </c>
      <c r="J117" s="10">
        <v>1.9039999999999999</v>
      </c>
      <c r="K117" s="10">
        <f t="shared" ca="1" si="24"/>
        <v>6.6076367938923519E-2</v>
      </c>
      <c r="L117" s="7">
        <v>0.17879999999999999</v>
      </c>
      <c r="M117" s="7">
        <f t="shared" ca="1" si="25"/>
        <v>6.2287860775595751E-3</v>
      </c>
      <c r="N117" s="7">
        <v>0.99317999999999995</v>
      </c>
      <c r="O117" s="8">
        <v>5.592841</v>
      </c>
      <c r="P117" s="8">
        <f t="shared" ca="1" si="26"/>
        <v>0.1948355912706978</v>
      </c>
      <c r="Q117" s="9">
        <v>7.7249999999999999E-2</v>
      </c>
      <c r="R117" s="9">
        <f t="shared" ca="1" si="27"/>
        <v>1.5701671885503148E-3</v>
      </c>
      <c r="S117" s="8">
        <f t="shared" si="28"/>
        <v>0.41736256597573523</v>
      </c>
      <c r="T117" s="11">
        <v>5.6500000000000002E-2</v>
      </c>
      <c r="U117" s="11">
        <f t="shared" ca="1" si="29"/>
        <v>1.9588006534611937E-3</v>
      </c>
      <c r="V117" s="6" t="e">
        <f ca="1">IF(agePb6U8(1/O117)&lt;1400,age7corr(1/O117,Q117,$W$2),agePb76(Q117))</f>
        <v>#NAME?</v>
      </c>
      <c r="W117" s="6" t="e">
        <f ca="1">IF(agePb6U8(1/O117)&lt;1400,ageer7corr(V117,1/O117,P117/O117*(1/O117),Q117,R117,$W$2,0.05),ageerPb76(Q117,R117))</f>
        <v>#NAME?</v>
      </c>
      <c r="X117" s="4" t="e">
        <f ca="1">agePb6U8(L117)/agePb7u5(J117)</f>
        <v>#NAME?</v>
      </c>
      <c r="Z117" s="1">
        <v>1.9039999999999999</v>
      </c>
      <c r="AA117" s="1">
        <v>5.3999999999999999E-2</v>
      </c>
      <c r="AB117" s="1">
        <v>0.17879999999999999</v>
      </c>
      <c r="AC117" s="1">
        <v>5.1000000000000004E-3</v>
      </c>
      <c r="AD117" s="1">
        <v>0.99317999999999995</v>
      </c>
      <c r="AE117" s="1">
        <v>5.592841</v>
      </c>
      <c r="AF117" s="1">
        <v>0.15952730000000001</v>
      </c>
      <c r="AG117" s="1">
        <v>7.7249999999999999E-2</v>
      </c>
      <c r="AH117" s="1">
        <v>2.7999999999999998E-4</v>
      </c>
      <c r="AI117" s="1">
        <v>0.13539000000000001</v>
      </c>
      <c r="AJ117" s="1">
        <v>5.6500000000000002E-2</v>
      </c>
      <c r="AK117" s="1">
        <v>1.6000000000000001E-3</v>
      </c>
      <c r="AL117" s="1">
        <v>13.936999999999999</v>
      </c>
      <c r="AM117" s="1">
        <v>3.1E-2</v>
      </c>
      <c r="AN117" s="1">
        <v>1082</v>
      </c>
      <c r="AO117" s="1">
        <v>19</v>
      </c>
      <c r="AP117" s="1">
        <v>1060</v>
      </c>
      <c r="AQ117" s="1">
        <v>28</v>
      </c>
      <c r="AR117" s="1">
        <v>1111</v>
      </c>
      <c r="AS117" s="1">
        <v>30</v>
      </c>
      <c r="AT117" s="1">
        <v>1127.5</v>
      </c>
      <c r="AU117" s="1">
        <v>7.3</v>
      </c>
      <c r="AV117" s="1">
        <v>86.1</v>
      </c>
      <c r="AW117" s="1">
        <v>2.2000000000000002</v>
      </c>
      <c r="AX117" s="1">
        <v>7.5900000000000007</v>
      </c>
      <c r="AY117" s="1">
        <v>0.12999999999999998</v>
      </c>
      <c r="AZ117" s="1">
        <v>34471.71</v>
      </c>
      <c r="BA117" s="1">
        <v>583.74</v>
      </c>
      <c r="BB117" s="1">
        <v>45891.9</v>
      </c>
      <c r="BC117" s="1">
        <v>745.2</v>
      </c>
      <c r="BD117" s="1">
        <v>599265</v>
      </c>
      <c r="BE117" s="1">
        <v>10557</v>
      </c>
      <c r="BF117" s="1">
        <v>11.799000000000001</v>
      </c>
      <c r="BG117" s="1">
        <v>8.0729999999999986</v>
      </c>
      <c r="BH117" s="1">
        <f t="shared" si="30"/>
        <v>50789.473684210519</v>
      </c>
      <c r="BI117" s="1">
        <f t="shared" si="31"/>
        <v>34762.209145710374</v>
      </c>
    </row>
    <row r="118" spans="1:61" x14ac:dyDescent="0.2">
      <c r="A118" t="s">
        <v>380</v>
      </c>
      <c r="B118" t="s">
        <v>38</v>
      </c>
      <c r="C118" t="s">
        <v>381</v>
      </c>
      <c r="D118" t="s">
        <v>382</v>
      </c>
      <c r="E118">
        <v>81453</v>
      </c>
      <c r="F118">
        <v>44274</v>
      </c>
      <c r="G118" t="s">
        <v>382</v>
      </c>
      <c r="H118" s="1">
        <v>37.5</v>
      </c>
      <c r="I118" s="1">
        <v>25.21</v>
      </c>
      <c r="J118" s="10">
        <v>1.881</v>
      </c>
      <c r="K118" s="10">
        <f t="shared" ca="1" si="24"/>
        <v>8.7500082285675601E-2</v>
      </c>
      <c r="L118" s="7">
        <v>0.17610000000000001</v>
      </c>
      <c r="M118" s="7">
        <f t="shared" ca="1" si="25"/>
        <v>7.5693119898706781E-3</v>
      </c>
      <c r="N118" s="7">
        <v>0.97221000000000002</v>
      </c>
      <c r="O118" s="8">
        <v>5.6785920000000001</v>
      </c>
      <c r="P118" s="8">
        <f t="shared" ca="1" si="26"/>
        <v>0.24408308878698581</v>
      </c>
      <c r="Q118" s="9">
        <v>7.7799999999999994E-2</v>
      </c>
      <c r="R118" s="9">
        <f t="shared" ca="1" si="27"/>
        <v>1.6605830301433288E-3</v>
      </c>
      <c r="S118" s="8">
        <f t="shared" si="28"/>
        <v>0.47867931586555157</v>
      </c>
      <c r="T118" s="11">
        <v>6.0199999999999997E-2</v>
      </c>
      <c r="U118" s="11">
        <f t="shared" ca="1" si="29"/>
        <v>2.2493590198098658E-3</v>
      </c>
      <c r="V118" s="6" t="e">
        <f ca="1">IF(agePb6U8(1/O118)&lt;1400,age7corr(1/O118,Q118,$W$2),agePb76(Q118))</f>
        <v>#NAME?</v>
      </c>
      <c r="W118" s="6" t="e">
        <f ca="1">IF(agePb6U8(1/O118)&lt;1400,ageer7corr(V118,1/O118,P118/O118*(1/O118),Q118,R118,$W$2,0.05),ageerPb76(Q118,R118))</f>
        <v>#NAME?</v>
      </c>
      <c r="X118" s="4" t="e">
        <f ca="1">agePb6U8(L118)/agePb7u5(J118)</f>
        <v>#NAME?</v>
      </c>
      <c r="Z118" s="1">
        <v>1.881</v>
      </c>
      <c r="AA118" s="1">
        <v>7.9000000000000001E-2</v>
      </c>
      <c r="AB118" s="1">
        <v>0.17610000000000001</v>
      </c>
      <c r="AC118" s="1">
        <v>6.7000000000000002E-3</v>
      </c>
      <c r="AD118" s="1">
        <v>0.97221000000000002</v>
      </c>
      <c r="AE118" s="1">
        <v>5.6785920000000001</v>
      </c>
      <c r="AF118" s="1">
        <v>0.21605089999999999</v>
      </c>
      <c r="AG118" s="1">
        <v>7.7799999999999994E-2</v>
      </c>
      <c r="AH118" s="1">
        <v>5.8E-4</v>
      </c>
      <c r="AI118" s="1">
        <v>-0.11199000000000001</v>
      </c>
      <c r="AJ118" s="1">
        <v>6.0199999999999997E-2</v>
      </c>
      <c r="AK118" s="1">
        <v>1.9E-3</v>
      </c>
      <c r="AL118" s="1">
        <v>4.5599999999999996</v>
      </c>
      <c r="AM118" s="1">
        <v>0.36</v>
      </c>
      <c r="AN118" s="1">
        <v>1072</v>
      </c>
      <c r="AO118" s="1">
        <v>28</v>
      </c>
      <c r="AP118" s="1">
        <v>1045</v>
      </c>
      <c r="AQ118" s="1">
        <v>37</v>
      </c>
      <c r="AR118" s="1">
        <v>1181</v>
      </c>
      <c r="AS118" s="1">
        <v>37</v>
      </c>
      <c r="AT118" s="1">
        <v>1141</v>
      </c>
      <c r="AU118" s="1">
        <v>15</v>
      </c>
      <c r="AV118" s="1">
        <v>8.2100000000000009</v>
      </c>
      <c r="AW118" s="1">
        <v>0.8899999999999999</v>
      </c>
      <c r="AX118" s="1">
        <v>1.9940000000000002</v>
      </c>
      <c r="AY118" s="1">
        <v>3.9E-2</v>
      </c>
      <c r="AZ118" s="1">
        <v>9762.1200000000008</v>
      </c>
      <c r="BA118" s="1">
        <v>260.82</v>
      </c>
      <c r="BB118" s="1">
        <v>4340.79</v>
      </c>
      <c r="BC118" s="1">
        <v>428.49</v>
      </c>
      <c r="BD118" s="1">
        <v>56324.700000000004</v>
      </c>
      <c r="BE118" s="1">
        <v>5589.0000000000009</v>
      </c>
      <c r="BF118" s="1">
        <v>4.1607000000000003</v>
      </c>
      <c r="BG118" s="1">
        <v>5.4027000000000003</v>
      </c>
      <c r="BH118" s="1">
        <f t="shared" si="30"/>
        <v>13537.313432835821</v>
      </c>
      <c r="BI118" s="1">
        <f t="shared" si="31"/>
        <v>17629.55275015155</v>
      </c>
    </row>
    <row r="119" spans="1:61" x14ac:dyDescent="0.2">
      <c r="A119" t="s">
        <v>383</v>
      </c>
      <c r="B119" t="s">
        <v>38</v>
      </c>
      <c r="C119" t="s">
        <v>384</v>
      </c>
      <c r="D119" t="s">
        <v>385</v>
      </c>
      <c r="E119">
        <v>81468</v>
      </c>
      <c r="F119">
        <v>44656</v>
      </c>
      <c r="G119" t="s">
        <v>385</v>
      </c>
      <c r="H119" s="1">
        <v>181.8</v>
      </c>
      <c r="I119" s="1">
        <v>54.6</v>
      </c>
      <c r="J119" s="10">
        <v>2.6520000000000001</v>
      </c>
      <c r="K119" s="10">
        <f t="shared" ca="1" si="24"/>
        <v>8.0834655934196947E-2</v>
      </c>
      <c r="L119" s="7">
        <v>0.22289999999999999</v>
      </c>
      <c r="M119" s="7">
        <f t="shared" ca="1" si="25"/>
        <v>6.849362306083683E-3</v>
      </c>
      <c r="N119" s="7">
        <v>0.98958000000000002</v>
      </c>
      <c r="O119" s="8">
        <v>4.4863169999999997</v>
      </c>
      <c r="P119" s="8">
        <f t="shared" ca="1" si="26"/>
        <v>0.13785738022375008</v>
      </c>
      <c r="Q119" s="9">
        <v>8.6290000000000006E-2</v>
      </c>
      <c r="R119" s="9">
        <f t="shared" ca="1" si="27"/>
        <v>1.7589728934807383E-3</v>
      </c>
      <c r="S119" s="8">
        <f t="shared" si="28"/>
        <v>0.54002321993392333</v>
      </c>
      <c r="T119" s="11">
        <v>7.3700000000000002E-2</v>
      </c>
      <c r="U119" s="11">
        <f t="shared" ca="1" si="29"/>
        <v>2.1754714431589306E-3</v>
      </c>
      <c r="V119" s="6" t="e">
        <f ca="1">IF(agePb6U8(1/O119)&lt;1400,age7corr(1/O119,Q119,$W$2),agePb76(Q119))</f>
        <v>#NAME?</v>
      </c>
      <c r="W119" s="6" t="e">
        <f ca="1">IF(agePb6U8(1/O119)&lt;1400,ageer7corr(V119,1/O119,P119/O119*(1/O119),Q119,R119,$W$2,0.05),ageerPb76(Q119,R119))</f>
        <v>#NAME?</v>
      </c>
      <c r="X119" s="4" t="e">
        <f ca="1">agePb6U8(L119)/agePb7u5(J119)</f>
        <v>#NAME?</v>
      </c>
      <c r="Z119" s="1">
        <v>2.6520000000000001</v>
      </c>
      <c r="AA119" s="1">
        <v>6.0999999999999999E-2</v>
      </c>
      <c r="AB119" s="1">
        <v>0.22289999999999999</v>
      </c>
      <c r="AC119" s="1">
        <v>5.1999999999999998E-3</v>
      </c>
      <c r="AD119" s="1">
        <v>0.98958000000000002</v>
      </c>
      <c r="AE119" s="1">
        <v>4.4863169999999997</v>
      </c>
      <c r="AF119" s="1">
        <v>0.10466060000000001</v>
      </c>
      <c r="AG119" s="1">
        <v>8.6290000000000006E-2</v>
      </c>
      <c r="AH119" s="1">
        <v>3.4000000000000002E-4</v>
      </c>
      <c r="AI119" s="1">
        <v>0.11468</v>
      </c>
      <c r="AJ119" s="1">
        <v>7.3700000000000002E-2</v>
      </c>
      <c r="AK119" s="1">
        <v>1.6000000000000001E-3</v>
      </c>
      <c r="AL119" s="1">
        <v>10.702</v>
      </c>
      <c r="AM119" s="1">
        <v>3.7999999999999999E-2</v>
      </c>
      <c r="AN119" s="1">
        <v>1314</v>
      </c>
      <c r="AO119" s="1">
        <v>17</v>
      </c>
      <c r="AP119" s="1">
        <v>1297</v>
      </c>
      <c r="AQ119" s="1">
        <v>27</v>
      </c>
      <c r="AR119" s="1">
        <v>1438</v>
      </c>
      <c r="AS119" s="1">
        <v>31</v>
      </c>
      <c r="AT119" s="1">
        <v>1344.6</v>
      </c>
      <c r="AU119" s="1">
        <v>7.6</v>
      </c>
      <c r="AV119" s="1">
        <v>39.75</v>
      </c>
      <c r="AW119" s="1">
        <v>0.61</v>
      </c>
      <c r="AX119" s="1">
        <v>4.32</v>
      </c>
      <c r="AY119" s="1">
        <v>0.12000000000000001</v>
      </c>
      <c r="AZ119" s="1">
        <v>25932.960000000003</v>
      </c>
      <c r="BA119" s="1">
        <v>453.33</v>
      </c>
      <c r="BB119" s="1">
        <v>29733.48</v>
      </c>
      <c r="BC119" s="1">
        <v>509.21999999999991</v>
      </c>
      <c r="BD119" s="1">
        <v>345897</v>
      </c>
      <c r="BE119" s="1">
        <v>6085.8</v>
      </c>
      <c r="BF119" s="1">
        <v>-0.24840000000000004</v>
      </c>
      <c r="BG119" s="1">
        <v>6.2099999999999991</v>
      </c>
      <c r="BH119" s="1">
        <f t="shared" si="30"/>
        <v>-1392499.9999999998</v>
      </c>
      <c r="BI119" s="1">
        <f t="shared" si="31"/>
        <v>-34812508.621183835</v>
      </c>
    </row>
    <row r="120" spans="1:61" x14ac:dyDescent="0.2">
      <c r="A120" t="s">
        <v>386</v>
      </c>
      <c r="B120" t="s">
        <v>38</v>
      </c>
      <c r="C120" t="s">
        <v>387</v>
      </c>
      <c r="D120" t="s">
        <v>388</v>
      </c>
      <c r="E120">
        <v>81546</v>
      </c>
      <c r="F120">
        <v>44816</v>
      </c>
      <c r="G120" t="s">
        <v>388</v>
      </c>
      <c r="H120" s="1">
        <v>135.5</v>
      </c>
      <c r="I120" s="1">
        <v>78.900000000000006</v>
      </c>
      <c r="J120" s="10">
        <v>3.0289999999999999</v>
      </c>
      <c r="K120" s="10">
        <f t="shared" ref="K120:K123" ca="1" si="32">SQRT(K$2^2+(AA120/Z120)^2)*J120</f>
        <v>0.11351623848595406</v>
      </c>
      <c r="L120" s="7">
        <v>0.2399</v>
      </c>
      <c r="M120" s="7">
        <f t="shared" ref="M120:M123" ca="1" si="33">SQRT(M$2^2+(AC120/AB120)^2)*L120</f>
        <v>8.9878141947861822E-3</v>
      </c>
      <c r="N120" s="7">
        <v>0.99131000000000002</v>
      </c>
      <c r="O120" s="8">
        <v>4.1684039999999998</v>
      </c>
      <c r="P120" s="8">
        <f t="shared" ref="P120:P123" ca="1" si="34">SQRT(P$2^2+(AF120/AE120)^2)*O120</f>
        <v>0.15616858753647098</v>
      </c>
      <c r="Q120" s="9">
        <v>9.1509999999999994E-2</v>
      </c>
      <c r="R120" s="9">
        <f t="shared" ref="R120:R123" ca="1" si="35">SQRT(R$2^2+(AH120/AG120)^2)*Q120</f>
        <v>1.8672257603193033E-3</v>
      </c>
      <c r="S120" s="8">
        <f t="shared" si="28"/>
        <v>0.37616082812968699</v>
      </c>
      <c r="T120" s="11">
        <v>8.2799999999999999E-2</v>
      </c>
      <c r="U120" s="11">
        <f t="shared" ref="U120:U123" ca="1" si="36">SQRT(U$2^2+(AK120/AJ120)^2)*T120</f>
        <v>2.9158765405963264E-3</v>
      </c>
      <c r="V120" s="6" t="e">
        <f ca="1">IF(agePb6U8(1/O120)&lt;1400,age7corr(1/O120,Q120,$W$2),agePb76(Q120))</f>
        <v>#NAME?</v>
      </c>
      <c r="W120" s="6" t="e">
        <f ca="1">IF(agePb6U8(1/O120)&lt;1400,ageer7corr(V120,1/O120,P120/O120*(1/O120),Q120,R120,$W$2,0.05),ageerPb76(Q120,R120))</f>
        <v>#NAME?</v>
      </c>
      <c r="X120" s="4" t="e">
        <f ca="1">agePb6U8(L120)/agePb7u5(J120)</f>
        <v>#NAME?</v>
      </c>
      <c r="Z120" s="1">
        <v>3.0289999999999999</v>
      </c>
      <c r="AA120" s="1">
        <v>9.6000000000000002E-2</v>
      </c>
      <c r="AB120" s="1">
        <v>0.2399</v>
      </c>
      <c r="AC120" s="1">
        <v>7.6E-3</v>
      </c>
      <c r="AD120" s="1">
        <v>0.99131000000000002</v>
      </c>
      <c r="AE120" s="1">
        <v>4.1684039999999998</v>
      </c>
      <c r="AF120" s="1">
        <v>0.13205449999999999</v>
      </c>
      <c r="AG120" s="1">
        <v>9.1509999999999994E-2</v>
      </c>
      <c r="AH120" s="1">
        <v>3.6999999999999999E-4</v>
      </c>
      <c r="AI120" s="1">
        <v>2.5198000000000002E-2</v>
      </c>
      <c r="AJ120" s="1">
        <v>8.2799999999999999E-2</v>
      </c>
      <c r="AK120" s="1">
        <v>2.3999999999999998E-3</v>
      </c>
      <c r="AL120" s="1">
        <v>5.3440000000000003</v>
      </c>
      <c r="AM120" s="1">
        <v>2.4E-2</v>
      </c>
      <c r="AN120" s="1">
        <v>1413</v>
      </c>
      <c r="AO120" s="1">
        <v>24</v>
      </c>
      <c r="AP120" s="1">
        <v>1386</v>
      </c>
      <c r="AQ120" s="1">
        <v>40</v>
      </c>
      <c r="AR120" s="1">
        <v>1608</v>
      </c>
      <c r="AS120" s="1">
        <v>45</v>
      </c>
      <c r="AT120" s="1">
        <v>1457.2</v>
      </c>
      <c r="AU120" s="1">
        <v>7.7</v>
      </c>
      <c r="AV120" s="1">
        <v>29.62</v>
      </c>
      <c r="AW120" s="1">
        <v>0.88</v>
      </c>
      <c r="AX120" s="1">
        <v>6.24</v>
      </c>
      <c r="AY120" s="1">
        <v>0.11</v>
      </c>
      <c r="AZ120" s="1">
        <v>41979.6</v>
      </c>
      <c r="BA120" s="1">
        <v>931.50000000000011</v>
      </c>
      <c r="BB120" s="1">
        <v>25516.89</v>
      </c>
      <c r="BC120" s="1">
        <v>503.01</v>
      </c>
      <c r="BD120" s="1">
        <v>279698.40000000002</v>
      </c>
      <c r="BE120" s="1">
        <v>5340.6</v>
      </c>
      <c r="BF120" s="1">
        <v>6.2100000000000009E-2</v>
      </c>
      <c r="BG120" s="1">
        <v>6.2099999999999991</v>
      </c>
      <c r="BH120" s="1">
        <f t="shared" si="30"/>
        <v>4504000</v>
      </c>
      <c r="BI120" s="1">
        <f t="shared" ref="BI120:BI123" si="37">SQRT((BG120/BF120)^2+(BE120/BD120)^2)*BH120</f>
        <v>450400008.21047938</v>
      </c>
    </row>
    <row r="121" spans="1:61" x14ac:dyDescent="0.2">
      <c r="A121" t="s">
        <v>164</v>
      </c>
      <c r="B121" t="s">
        <v>38</v>
      </c>
      <c r="C121" t="s">
        <v>165</v>
      </c>
      <c r="D121" t="s">
        <v>166</v>
      </c>
      <c r="E121">
        <v>82985</v>
      </c>
      <c r="F121">
        <v>41971</v>
      </c>
      <c r="G121" t="s">
        <v>166</v>
      </c>
      <c r="H121" s="1">
        <v>51.3</v>
      </c>
      <c r="I121" s="1">
        <v>26.5</v>
      </c>
      <c r="J121" s="10">
        <v>3.0449999999999999</v>
      </c>
      <c r="K121" s="10">
        <f t="shared" ca="1" si="32"/>
        <v>9.4301696697355331E-2</v>
      </c>
      <c r="L121" s="7">
        <v>0.2417</v>
      </c>
      <c r="M121" s="7">
        <f t="shared" ca="1" si="33"/>
        <v>7.8617781703632407E-3</v>
      </c>
      <c r="N121" s="7">
        <v>0.97231999999999996</v>
      </c>
      <c r="O121" s="8">
        <v>4.1373600000000001</v>
      </c>
      <c r="P121" s="8">
        <f t="shared" ca="1" si="34"/>
        <v>0.13457599055496491</v>
      </c>
      <c r="Q121" s="9">
        <v>9.0969999999999995E-2</v>
      </c>
      <c r="R121" s="9">
        <f t="shared" ca="1" si="35"/>
        <v>1.8922516640235778E-3</v>
      </c>
      <c r="S121" s="8">
        <f t="shared" si="28"/>
        <v>0.43239764178830731</v>
      </c>
      <c r="T121" s="11">
        <v>7.17E-2</v>
      </c>
      <c r="U121" s="11">
        <f t="shared" ca="1" si="36"/>
        <v>3.0571810545010252E-3</v>
      </c>
      <c r="V121" s="6" t="e">
        <f ca="1">IF(agePb6U8(1/O121)&lt;1400,age7corr(1/O121,Q121,$W$2),agePb76(Q121))</f>
        <v>#NAME?</v>
      </c>
      <c r="W121" s="6" t="e">
        <f ca="1">IF(agePb6U8(1/O121)&lt;1400,ageer7corr(V121,1/O121,P121/O121*(1/O121),Q121,R121,$W$2,0.05),ageerPb76(Q121,R121))</f>
        <v>#NAME?</v>
      </c>
      <c r="X121" s="4" t="e">
        <f ca="1">agePb6U8(L121)/agePb7u5(J121)</f>
        <v>#NAME?</v>
      </c>
      <c r="Z121" s="1">
        <v>3.0449999999999999</v>
      </c>
      <c r="AA121" s="1">
        <v>7.1999999999999995E-2</v>
      </c>
      <c r="AB121" s="1">
        <v>0.2417</v>
      </c>
      <c r="AC121" s="1">
        <v>6.1999999999999998E-3</v>
      </c>
      <c r="AD121" s="1">
        <v>0.97231999999999996</v>
      </c>
      <c r="AE121" s="1">
        <v>4.1373600000000001</v>
      </c>
      <c r="AF121" s="1">
        <v>0.1061301</v>
      </c>
      <c r="AG121" s="1">
        <v>9.0969999999999995E-2</v>
      </c>
      <c r="AH121" s="1">
        <v>5.1999999999999995E-4</v>
      </c>
      <c r="AI121" s="1">
        <v>-0.1137</v>
      </c>
      <c r="AJ121" s="1">
        <v>7.17E-2</v>
      </c>
      <c r="AK121" s="1">
        <v>2.7000000000000001E-3</v>
      </c>
      <c r="AL121" s="1">
        <v>7.11</v>
      </c>
      <c r="AM121" s="1">
        <v>0.12</v>
      </c>
      <c r="AN121" s="1">
        <v>1418</v>
      </c>
      <c r="AO121" s="1">
        <v>18</v>
      </c>
      <c r="AP121" s="1">
        <v>1395</v>
      </c>
      <c r="AQ121" s="1">
        <v>32</v>
      </c>
      <c r="AR121" s="1">
        <v>1399</v>
      </c>
      <c r="AS121" s="1">
        <v>51</v>
      </c>
      <c r="AT121" s="1">
        <v>1446</v>
      </c>
      <c r="AU121" s="1">
        <v>11</v>
      </c>
      <c r="AV121" s="1">
        <v>11.299999999999999</v>
      </c>
      <c r="AW121" s="1">
        <v>0.97000000000000008</v>
      </c>
      <c r="AX121" s="1">
        <v>2.1</v>
      </c>
      <c r="AY121" s="1">
        <v>0.19</v>
      </c>
      <c r="AZ121" s="1">
        <v>12606.300000000001</v>
      </c>
      <c r="BA121" s="1">
        <v>1117.8000000000002</v>
      </c>
      <c r="BB121" s="1">
        <v>9811.7999999999993</v>
      </c>
      <c r="BC121" s="1">
        <v>745.2</v>
      </c>
      <c r="BD121" s="1">
        <v>105570</v>
      </c>
      <c r="BE121" s="1">
        <v>7452.0000000000009</v>
      </c>
      <c r="BF121" s="1">
        <v>5.5889999999999995</v>
      </c>
      <c r="BG121" s="1">
        <v>6.0236999999999998</v>
      </c>
      <c r="BH121" s="1">
        <f t="shared" si="30"/>
        <v>18888.888888888891</v>
      </c>
      <c r="BI121" s="1">
        <f t="shared" si="37"/>
        <v>20401.640794595933</v>
      </c>
    </row>
    <row r="122" spans="1:61" x14ac:dyDescent="0.2">
      <c r="A122" t="s">
        <v>167</v>
      </c>
      <c r="B122" t="s">
        <v>38</v>
      </c>
      <c r="C122" t="s">
        <v>168</v>
      </c>
      <c r="D122" t="s">
        <v>169</v>
      </c>
      <c r="E122">
        <v>83006</v>
      </c>
      <c r="F122">
        <v>42800</v>
      </c>
      <c r="G122" t="s">
        <v>169</v>
      </c>
      <c r="H122" s="1">
        <v>77.8</v>
      </c>
      <c r="I122" s="1">
        <v>41.5</v>
      </c>
      <c r="J122" s="10">
        <v>2.8220000000000001</v>
      </c>
      <c r="K122" s="10">
        <f t="shared" ca="1" si="32"/>
        <v>9.3067038203651892E-2</v>
      </c>
      <c r="L122" s="7">
        <v>0.2291</v>
      </c>
      <c r="M122" s="7">
        <f t="shared" ca="1" si="33"/>
        <v>7.0060491005987102E-3</v>
      </c>
      <c r="N122" s="7">
        <v>0.97116999999999998</v>
      </c>
      <c r="O122" s="8">
        <v>4.3649060000000004</v>
      </c>
      <c r="P122" s="8">
        <f t="shared" ca="1" si="34"/>
        <v>0.1334821255763273</v>
      </c>
      <c r="Q122" s="9">
        <v>8.8569999999999996E-2</v>
      </c>
      <c r="R122" s="9">
        <f t="shared" ca="1" si="35"/>
        <v>1.8578099902842595E-3</v>
      </c>
      <c r="S122" s="8">
        <f t="shared" si="28"/>
        <v>0.35603243509723403</v>
      </c>
      <c r="T122" s="11">
        <v>6.7599999999999993E-2</v>
      </c>
      <c r="U122" s="11">
        <f t="shared" ca="1" si="36"/>
        <v>3.9392770910409445E-3</v>
      </c>
      <c r="V122" s="6" t="e">
        <f ca="1">IF(agePb6U8(1/O122)&lt;1400,age7corr(1/O122,Q122,$W$2),agePb76(Q122))</f>
        <v>#NAME?</v>
      </c>
      <c r="W122" s="6" t="e">
        <f ca="1">IF(agePb6U8(1/O122)&lt;1400,ageer7corr(V122,1/O122,P122/O122*(1/O122),Q122,R122,$W$2,0.05),ageerPb76(Q122,R122))</f>
        <v>#NAME?</v>
      </c>
      <c r="X122" s="4" t="e">
        <f ca="1">agePb6U8(L122)/agePb7u5(J122)</f>
        <v>#NAME?</v>
      </c>
      <c r="Z122" s="1">
        <v>2.8220000000000001</v>
      </c>
      <c r="AA122" s="1">
        <v>7.3999999999999996E-2</v>
      </c>
      <c r="AB122" s="1">
        <v>0.2291</v>
      </c>
      <c r="AC122" s="1">
        <v>5.3E-3</v>
      </c>
      <c r="AD122" s="1">
        <v>0.97116999999999998</v>
      </c>
      <c r="AE122" s="1">
        <v>4.3649060000000004</v>
      </c>
      <c r="AF122" s="1">
        <v>0.10097780000000001</v>
      </c>
      <c r="AG122" s="1">
        <v>8.8569999999999996E-2</v>
      </c>
      <c r="AH122" s="1">
        <v>5.5999999999999995E-4</v>
      </c>
      <c r="AI122" s="1">
        <v>-0.2107</v>
      </c>
      <c r="AJ122" s="1">
        <v>6.7599999999999993E-2</v>
      </c>
      <c r="AK122" s="1">
        <v>3.7000000000000002E-3</v>
      </c>
      <c r="AL122" s="1">
        <v>7.0049999999999999</v>
      </c>
      <c r="AM122" s="1">
        <v>9.2999999999999999E-2</v>
      </c>
      <c r="AN122" s="1">
        <v>1361</v>
      </c>
      <c r="AO122" s="1">
        <v>20</v>
      </c>
      <c r="AP122" s="1">
        <v>1337</v>
      </c>
      <c r="AQ122" s="1">
        <v>30</v>
      </c>
      <c r="AR122" s="1">
        <v>1322</v>
      </c>
      <c r="AS122" s="1">
        <v>70</v>
      </c>
      <c r="AT122" s="1">
        <v>1395</v>
      </c>
      <c r="AU122" s="1">
        <v>12</v>
      </c>
      <c r="AV122" s="1">
        <v>17.13</v>
      </c>
      <c r="AW122" s="1">
        <v>0.35</v>
      </c>
      <c r="AX122" s="1">
        <v>3.3</v>
      </c>
      <c r="AY122" s="1">
        <v>0.15</v>
      </c>
      <c r="AZ122" s="1">
        <v>18331.920000000002</v>
      </c>
      <c r="BA122" s="1">
        <v>385.02</v>
      </c>
      <c r="BB122" s="1">
        <v>13599.9</v>
      </c>
      <c r="BC122" s="1">
        <v>235.98</v>
      </c>
      <c r="BD122" s="1">
        <v>154877.40000000002</v>
      </c>
      <c r="BE122" s="1">
        <v>2173.5</v>
      </c>
      <c r="BF122" s="1">
        <v>-18.63</v>
      </c>
      <c r="BG122" s="1">
        <v>6.8310000000000004</v>
      </c>
      <c r="BH122" s="1">
        <f t="shared" si="30"/>
        <v>-8313.3333333333358</v>
      </c>
      <c r="BI122" s="1">
        <f t="shared" si="37"/>
        <v>-3050.4540362314101</v>
      </c>
    </row>
    <row r="123" spans="1:61" x14ac:dyDescent="0.2">
      <c r="A123" t="s">
        <v>170</v>
      </c>
      <c r="B123" t="s">
        <v>38</v>
      </c>
      <c r="C123" t="s">
        <v>171</v>
      </c>
      <c r="D123" t="s">
        <v>172</v>
      </c>
      <c r="E123">
        <v>83087</v>
      </c>
      <c r="F123">
        <v>43210</v>
      </c>
      <c r="G123" t="s">
        <v>172</v>
      </c>
      <c r="H123" s="1">
        <v>85.2</v>
      </c>
      <c r="I123" s="1">
        <v>47.6</v>
      </c>
      <c r="J123" s="10">
        <v>4.03</v>
      </c>
      <c r="K123" s="10">
        <f t="shared" ca="1" si="32"/>
        <v>0.12458475027064911</v>
      </c>
      <c r="L123" s="7">
        <v>0.27960000000000002</v>
      </c>
      <c r="M123" s="7">
        <f t="shared" ca="1" si="33"/>
        <v>8.5744075013962327E-3</v>
      </c>
      <c r="N123" s="7">
        <v>0.98040000000000005</v>
      </c>
      <c r="O123" s="8">
        <v>3.5765380000000002</v>
      </c>
      <c r="P123" s="8">
        <f t="shared" ca="1" si="34"/>
        <v>0.10968059131396084</v>
      </c>
      <c r="Q123" s="9">
        <v>0.10396</v>
      </c>
      <c r="R123" s="9">
        <f t="shared" ca="1" si="35"/>
        <v>2.1316595975905722E-3</v>
      </c>
      <c r="S123" s="8">
        <f t="shared" si="28"/>
        <v>0.48867069986213357</v>
      </c>
      <c r="T123" s="11">
        <v>8.5199999999999998E-2</v>
      </c>
      <c r="U123" s="11">
        <f t="shared" ca="1" si="36"/>
        <v>3.2777455666967198E-3</v>
      </c>
      <c r="V123" s="6" t="e">
        <f ca="1">IF(agePb6U8(1/O123)&lt;1400,age7corr(1/O123,Q123,$W$2),agePb76(Q123))</f>
        <v>#NAME?</v>
      </c>
      <c r="W123" s="6" t="e">
        <f ca="1">IF(agePb6U8(1/O123)&lt;1400,ageer7corr(V123,1/O123,P123/O123*(1/O123),Q123,R123,$W$2,0.05),ageerPb76(Q123,R123))</f>
        <v>#NAME?</v>
      </c>
      <c r="X123" s="4" t="e">
        <f ca="1">agePb6U8(L123)/agePb7u5(J123)</f>
        <v>#NAME?</v>
      </c>
      <c r="Z123" s="1">
        <v>4.03</v>
      </c>
      <c r="AA123" s="1">
        <v>9.5000000000000001E-2</v>
      </c>
      <c r="AB123" s="1">
        <v>0.27960000000000002</v>
      </c>
      <c r="AC123" s="1">
        <v>6.4999999999999997E-3</v>
      </c>
      <c r="AD123" s="1">
        <v>0.98040000000000005</v>
      </c>
      <c r="AE123" s="1">
        <v>3.5765380000000002</v>
      </c>
      <c r="AF123" s="1">
        <v>8.3145549999999999E-2</v>
      </c>
      <c r="AG123" s="1">
        <v>0.10396</v>
      </c>
      <c r="AH123" s="1">
        <v>4.6999999999999999E-4</v>
      </c>
      <c r="AI123" s="1">
        <v>0.27351999999999999</v>
      </c>
      <c r="AJ123" s="1">
        <v>8.5199999999999998E-2</v>
      </c>
      <c r="AK123" s="1">
        <v>2.8E-3</v>
      </c>
      <c r="AL123" s="1">
        <v>6.3049999999999997</v>
      </c>
      <c r="AM123" s="1">
        <v>7.8E-2</v>
      </c>
      <c r="AN123" s="1">
        <v>1639</v>
      </c>
      <c r="AO123" s="1">
        <v>19</v>
      </c>
      <c r="AP123" s="1">
        <v>1589</v>
      </c>
      <c r="AQ123" s="1">
        <v>33</v>
      </c>
      <c r="AR123" s="1">
        <v>1653</v>
      </c>
      <c r="AS123" s="1">
        <v>52</v>
      </c>
      <c r="AT123" s="1">
        <v>1695.9</v>
      </c>
      <c r="AU123" s="1">
        <v>8.3000000000000007</v>
      </c>
      <c r="AV123" s="1">
        <v>18.8</v>
      </c>
      <c r="AW123" s="1">
        <v>1.3</v>
      </c>
      <c r="AX123" s="1">
        <v>3.78</v>
      </c>
      <c r="AY123" s="1">
        <v>0.16</v>
      </c>
      <c r="AZ123" s="1">
        <v>26454.6</v>
      </c>
      <c r="BA123" s="1">
        <v>1304.0999999999999</v>
      </c>
      <c r="BB123" s="1">
        <v>21362.400000000001</v>
      </c>
      <c r="BC123" s="1">
        <v>1304.0999999999999</v>
      </c>
      <c r="BD123" s="1">
        <v>204930</v>
      </c>
      <c r="BE123" s="1">
        <v>13041.000000000002</v>
      </c>
      <c r="BF123" s="1">
        <v>-24.839999999999996</v>
      </c>
      <c r="BG123" s="1">
        <v>6.8310000000000004</v>
      </c>
      <c r="BH123" s="1">
        <f t="shared" si="30"/>
        <v>-8250.0000000000018</v>
      </c>
      <c r="BI123" s="1">
        <f t="shared" si="37"/>
        <v>-2328.7016903201675</v>
      </c>
    </row>
    <row r="124" spans="1:61" x14ac:dyDescent="0.2">
      <c r="X124" s="4"/>
    </row>
    <row r="125" spans="1:61" x14ac:dyDescent="0.2">
      <c r="X125" s="4"/>
    </row>
    <row r="126" spans="1:61" s="23" customFormat="1" x14ac:dyDescent="0.2">
      <c r="A126" s="23" t="s">
        <v>389</v>
      </c>
      <c r="B126" s="23" t="s">
        <v>38</v>
      </c>
      <c r="C126" s="23" t="s">
        <v>390</v>
      </c>
      <c r="D126" s="23" t="s">
        <v>391</v>
      </c>
      <c r="E126" s="23">
        <v>83808</v>
      </c>
      <c r="F126" s="23">
        <v>47868</v>
      </c>
      <c r="G126" s="23" t="s">
        <v>391</v>
      </c>
      <c r="H126" s="24">
        <v>237.3</v>
      </c>
      <c r="I126" s="24">
        <v>113.5</v>
      </c>
      <c r="J126" s="25">
        <v>1.9810000000000001</v>
      </c>
      <c r="K126" s="25">
        <f t="shared" ref="K126:K157" ca="1" si="38">SQRT(K$2^2+(AA126/Z126)^2)*J126</f>
        <v>5.3532647982329429E-2</v>
      </c>
      <c r="L126" s="26">
        <v>0.17810000000000001</v>
      </c>
      <c r="M126" s="26">
        <f t="shared" ref="M126:M157" ca="1" si="39">SQRT(M$2^2+(AC126/AB126)^2)*L126</f>
        <v>4.7220592965357818E-3</v>
      </c>
      <c r="N126" s="26">
        <v>0.98229999999999995</v>
      </c>
      <c r="O126" s="26">
        <v>5.6148230000000003</v>
      </c>
      <c r="P126" s="26">
        <f t="shared" ref="P126:P157" ca="1" si="40">SQRT(P$2^2+(AF126/AE126)^2)*O126</f>
        <v>0.14886876686104175</v>
      </c>
      <c r="Q126" s="25">
        <v>8.0689999999999998E-2</v>
      </c>
      <c r="R126" s="25">
        <f t="shared" ref="R126:R157" ca="1" si="41">SQRT(R$2^2+(AH126/AG126)^2)*Q126</f>
        <v>1.6315484792061804E-3</v>
      </c>
      <c r="S126" s="26">
        <f t="shared" ref="S126:S157" si="42">(((BE126/BD126)^2+(AW126/AV126)^2)+((BE126/BD126)^2+(BC126/BB126)^2)-((BC126/BB126)^2+(AW126/AV126)^2))/(2*SQRT((BE126/BD126)^2+(AW126/AV126)^2)*SQRT((BE126/BD126)^2+(BC126/BB126)^2))</f>
        <v>0.37865075523480407</v>
      </c>
      <c r="T126" s="25">
        <v>6.5500000000000003E-2</v>
      </c>
      <c r="U126" s="25">
        <f t="shared" ref="U126:U157" ca="1" si="43">SQRT(U$2^2+(AK126/AJ126)^2)*T126</f>
        <v>1.9173158320944415E-3</v>
      </c>
      <c r="V126" s="24" t="e">
        <f ca="1">IF(agePb6U8(1/O126)&lt;1400,age7corr(1/O126,Q126,$W$2),agePb76(Q126))</f>
        <v>#NAME?</v>
      </c>
      <c r="W126" s="24" t="e">
        <f ca="1">IF(agePb6U8(1/O126)&lt;1400,ageer7corr(V126,1/O126,P126/O126*(1/O126),Q126,R126,$W$2,0.05),ageerPb76(Q126,R126))</f>
        <v>#NAME?</v>
      </c>
      <c r="X126" s="26" t="e">
        <f ca="1">agePb6U8(L126)/agePb7u5(J126)</f>
        <v>#NAME?</v>
      </c>
      <c r="Y126" s="24"/>
      <c r="Z126" s="24">
        <v>1.9810000000000001</v>
      </c>
      <c r="AA126" s="24">
        <v>3.5999999999999997E-2</v>
      </c>
      <c r="AB126" s="24">
        <v>0.17810000000000001</v>
      </c>
      <c r="AC126" s="24">
        <v>3.0999999999999999E-3</v>
      </c>
      <c r="AD126" s="24">
        <v>0.98229999999999995</v>
      </c>
      <c r="AE126" s="24">
        <v>5.6148230000000003</v>
      </c>
      <c r="AF126" s="24">
        <v>9.773134E-2</v>
      </c>
      <c r="AG126" s="24">
        <v>8.0689999999999998E-2</v>
      </c>
      <c r="AH126" s="24">
        <v>2.4000000000000001E-4</v>
      </c>
      <c r="AI126" s="24">
        <v>-2.4417000000000001E-2</v>
      </c>
      <c r="AJ126" s="24">
        <v>6.5500000000000003E-2</v>
      </c>
      <c r="AK126" s="24">
        <v>1.4E-3</v>
      </c>
      <c r="AL126" s="24">
        <v>6.1</v>
      </c>
      <c r="AM126" s="24">
        <v>0.31</v>
      </c>
      <c r="AN126" s="24">
        <v>1109</v>
      </c>
      <c r="AO126" s="24">
        <v>12</v>
      </c>
      <c r="AP126" s="24">
        <v>1056</v>
      </c>
      <c r="AQ126" s="24">
        <v>17</v>
      </c>
      <c r="AR126" s="24">
        <v>1283</v>
      </c>
      <c r="AS126" s="24">
        <v>26</v>
      </c>
      <c r="AT126" s="24">
        <v>1213.9000000000001</v>
      </c>
      <c r="AU126" s="24">
        <v>5.9</v>
      </c>
      <c r="AV126" s="24">
        <v>51.9</v>
      </c>
      <c r="AW126" s="24">
        <v>1.6</v>
      </c>
      <c r="AX126" s="24">
        <v>8.98</v>
      </c>
      <c r="AY126" s="24">
        <v>0.51</v>
      </c>
      <c r="AZ126" s="24">
        <v>47630.700000000004</v>
      </c>
      <c r="BA126" s="24">
        <v>1863.0000000000002</v>
      </c>
      <c r="BB126" s="24">
        <v>28808.19</v>
      </c>
      <c r="BC126" s="24">
        <v>534.05999999999995</v>
      </c>
      <c r="BD126" s="24">
        <v>357075</v>
      </c>
      <c r="BE126" s="24">
        <v>6831</v>
      </c>
      <c r="BF126" s="24">
        <v>112.401</v>
      </c>
      <c r="BG126" s="24">
        <v>6.2099999999999991</v>
      </c>
      <c r="BH126" s="24">
        <f t="shared" ref="BH126:BH157" si="44">BD126/BF126</f>
        <v>3176.7955801104972</v>
      </c>
      <c r="BI126" s="24">
        <f t="shared" ref="BI126:BI157" si="45">SQRT((BG126/BF126)^2+(BE126/BD126)^2)*BH126</f>
        <v>185.73752580082618</v>
      </c>
    </row>
    <row r="127" spans="1:61" x14ac:dyDescent="0.2">
      <c r="A127" t="s">
        <v>422</v>
      </c>
      <c r="B127" t="s">
        <v>38</v>
      </c>
      <c r="C127" t="s">
        <v>423</v>
      </c>
      <c r="D127" t="s">
        <v>424</v>
      </c>
      <c r="E127">
        <v>83861</v>
      </c>
      <c r="F127">
        <v>49476</v>
      </c>
      <c r="G127" t="s">
        <v>424</v>
      </c>
      <c r="H127" s="1">
        <v>18.670000000000002</v>
      </c>
      <c r="I127" s="1">
        <v>12.6</v>
      </c>
      <c r="J127" s="10">
        <v>1.839</v>
      </c>
      <c r="K127" s="10">
        <f t="shared" ca="1" si="38"/>
        <v>8.6236699844091907E-2</v>
      </c>
      <c r="L127" s="7">
        <v>0.17710000000000001</v>
      </c>
      <c r="M127" s="7">
        <f t="shared" ca="1" si="39"/>
        <v>7.6671874895557369E-3</v>
      </c>
      <c r="N127" s="7">
        <v>0.91432999999999998</v>
      </c>
      <c r="O127" s="8">
        <v>5.6465269999999999</v>
      </c>
      <c r="P127" s="8">
        <f t="shared" ca="1" si="40"/>
        <v>0.24445497586085582</v>
      </c>
      <c r="Q127" s="9">
        <v>7.5399999999999995E-2</v>
      </c>
      <c r="R127" s="9">
        <f t="shared" ca="1" si="41"/>
        <v>1.866564759123026E-3</v>
      </c>
      <c r="S127" s="8">
        <f t="shared" si="42"/>
        <v>0.38827178975482524</v>
      </c>
      <c r="T127" s="11">
        <v>6.2799999999999995E-2</v>
      </c>
      <c r="U127" s="11">
        <f t="shared" ca="1" si="43"/>
        <v>2.7087886591611386E-3</v>
      </c>
      <c r="V127" s="6" t="e">
        <f ca="1">IF(agePb6U8(1/O127)&lt;1400,age7corr(1/O127,Q127,$W$2),agePb76(Q127))</f>
        <v>#NAME?</v>
      </c>
      <c r="W127" s="6" t="e">
        <f ca="1">IF(agePb6U8(1/O127)&lt;1400,ageer7corr(V127,1/O127,P127/O127*(1/O127),Q127,R127,$W$2,0.05),ageerPb76(Q127,R127))</f>
        <v>#NAME?</v>
      </c>
      <c r="X127" s="4" t="e">
        <f ca="1">agePb6U8(L127)/agePb7u5(J127)</f>
        <v>#NAME?</v>
      </c>
      <c r="Z127" s="1">
        <v>1.839</v>
      </c>
      <c r="AA127" s="1">
        <v>7.8E-2</v>
      </c>
      <c r="AB127" s="1">
        <v>0.17710000000000001</v>
      </c>
      <c r="AC127" s="1">
        <v>6.7999999999999996E-3</v>
      </c>
      <c r="AD127" s="1">
        <v>0.91432999999999998</v>
      </c>
      <c r="AE127" s="1">
        <v>5.6465269999999999</v>
      </c>
      <c r="AF127" s="1">
        <v>0.2168062</v>
      </c>
      <c r="AG127" s="1">
        <v>7.5399999999999995E-2</v>
      </c>
      <c r="AH127" s="1">
        <v>1.1000000000000001E-3</v>
      </c>
      <c r="AI127" s="1">
        <v>-6.8178000000000002E-2</v>
      </c>
      <c r="AJ127" s="1">
        <v>6.2799999999999995E-2</v>
      </c>
      <c r="AK127" s="1">
        <v>2.3999999999999998E-3</v>
      </c>
      <c r="AL127" s="1">
        <v>4.4669999999999996</v>
      </c>
      <c r="AM127" s="1">
        <v>2.3E-2</v>
      </c>
      <c r="AN127" s="1">
        <v>1064</v>
      </c>
      <c r="AO127" s="1">
        <v>26</v>
      </c>
      <c r="AP127" s="1">
        <v>1051</v>
      </c>
      <c r="AQ127" s="1">
        <v>37</v>
      </c>
      <c r="AR127" s="1">
        <v>1232</v>
      </c>
      <c r="AS127" s="1">
        <v>47</v>
      </c>
      <c r="AT127" s="1">
        <v>1077</v>
      </c>
      <c r="AU127" s="1">
        <v>28</v>
      </c>
      <c r="AV127" s="1">
        <v>4.08</v>
      </c>
      <c r="AW127" s="1">
        <v>0.11</v>
      </c>
      <c r="AX127" s="1">
        <v>0.99599999999999989</v>
      </c>
      <c r="AY127" s="1">
        <v>2.5999999999999999E-2</v>
      </c>
      <c r="AZ127" s="1">
        <v>5117.04</v>
      </c>
      <c r="BA127" s="1">
        <v>111.78</v>
      </c>
      <c r="BB127" s="1">
        <v>2116.989</v>
      </c>
      <c r="BC127" s="1">
        <v>37.26</v>
      </c>
      <c r="BD127" s="1">
        <v>28472.85</v>
      </c>
      <c r="BE127" s="1">
        <v>503.01</v>
      </c>
      <c r="BF127" s="1">
        <v>1.1178000000000001</v>
      </c>
      <c r="BG127" s="1">
        <v>5.1543000000000001</v>
      </c>
      <c r="BH127" s="1">
        <f t="shared" si="44"/>
        <v>25472.222222222219</v>
      </c>
      <c r="BI127" s="1">
        <f t="shared" si="45"/>
        <v>117456.10894087244</v>
      </c>
    </row>
    <row r="128" spans="1:61" x14ac:dyDescent="0.2">
      <c r="A128" t="s">
        <v>743</v>
      </c>
      <c r="B128" t="s">
        <v>38</v>
      </c>
      <c r="C128" t="s">
        <v>744</v>
      </c>
      <c r="D128" t="s">
        <v>745</v>
      </c>
      <c r="E128">
        <v>82964</v>
      </c>
      <c r="F128">
        <v>53331</v>
      </c>
      <c r="G128" t="s">
        <v>745</v>
      </c>
      <c r="H128" s="1">
        <v>112.7</v>
      </c>
      <c r="I128" s="1">
        <v>50.8</v>
      </c>
      <c r="J128" s="10">
        <v>3.35</v>
      </c>
      <c r="K128" s="10">
        <f t="shared" ca="1" si="38"/>
        <v>9.4752308678997366E-2</v>
      </c>
      <c r="L128" s="7">
        <v>0.25869999999999999</v>
      </c>
      <c r="M128" s="7">
        <f t="shared" ca="1" si="39"/>
        <v>6.9231695053638548E-3</v>
      </c>
      <c r="N128" s="7">
        <v>0.97887000000000002</v>
      </c>
      <c r="O128" s="8">
        <v>3.8654809999999999</v>
      </c>
      <c r="P128" s="8">
        <f t="shared" ca="1" si="40"/>
        <v>0.10344561740473543</v>
      </c>
      <c r="Q128" s="9">
        <v>9.4219999999999998E-2</v>
      </c>
      <c r="R128" s="9">
        <f t="shared" ca="1" si="41"/>
        <v>1.9630240344937198E-3</v>
      </c>
      <c r="S128" s="8">
        <f t="shared" si="42"/>
        <v>0.46090651560537477</v>
      </c>
      <c r="T128" s="11">
        <v>8.7900000000000006E-2</v>
      </c>
      <c r="U128" s="11">
        <f t="shared" ca="1" si="43"/>
        <v>2.6628112963557899E-3</v>
      </c>
      <c r="V128" s="6" t="e">
        <f ca="1">IF(agePb6U8(1/O128)&lt;1400,age7corr(1/O128,Q128,$W$2),agePb76(Q128))</f>
        <v>#NAME?</v>
      </c>
      <c r="W128" s="6" t="e">
        <f ca="1">IF(agePb6U8(1/O128)&lt;1400,ageer7corr(V128,1/O128,P128/O128*(1/O128),Q128,R128,$W$2,0.05),ageerPb76(Q128,R128))</f>
        <v>#NAME?</v>
      </c>
      <c r="X128" s="4" t="e">
        <f ca="1">agePb6U8(L128)/agePb7u5(J128)</f>
        <v>#NAME?</v>
      </c>
      <c r="Z128" s="1">
        <v>3.35</v>
      </c>
      <c r="AA128" s="1">
        <v>6.7000000000000004E-2</v>
      </c>
      <c r="AB128" s="1">
        <v>0.25869999999999999</v>
      </c>
      <c r="AC128" s="1">
        <v>4.5999999999999999E-3</v>
      </c>
      <c r="AD128" s="1">
        <v>0.97887000000000002</v>
      </c>
      <c r="AE128" s="1">
        <v>3.8654809999999999</v>
      </c>
      <c r="AF128" s="1">
        <v>6.8732950000000001E-2</v>
      </c>
      <c r="AG128" s="1">
        <v>9.4219999999999998E-2</v>
      </c>
      <c r="AH128" s="1">
        <v>5.5000000000000003E-4</v>
      </c>
      <c r="AI128" s="1">
        <v>-0.17408999999999999</v>
      </c>
      <c r="AJ128" s="1">
        <v>8.7900000000000006E-2</v>
      </c>
      <c r="AK128" s="1">
        <v>2E-3</v>
      </c>
      <c r="AL128" s="1">
        <v>7.04</v>
      </c>
      <c r="AM128" s="1">
        <v>0.19</v>
      </c>
      <c r="AN128" s="1">
        <v>1492</v>
      </c>
      <c r="AO128" s="1">
        <v>15</v>
      </c>
      <c r="AP128" s="1">
        <v>1483</v>
      </c>
      <c r="AQ128" s="1">
        <v>23</v>
      </c>
      <c r="AR128" s="1">
        <v>1702</v>
      </c>
      <c r="AS128" s="1">
        <v>36</v>
      </c>
      <c r="AT128" s="1">
        <v>1512</v>
      </c>
      <c r="AU128" s="1">
        <v>11</v>
      </c>
      <c r="AV128" s="1">
        <v>24.330000000000002</v>
      </c>
      <c r="AW128" s="1">
        <v>0.8</v>
      </c>
      <c r="AX128" s="1">
        <v>4</v>
      </c>
      <c r="AY128" s="1">
        <v>0.11</v>
      </c>
      <c r="AZ128" s="1">
        <v>28547.37</v>
      </c>
      <c r="BA128" s="1">
        <v>385.02</v>
      </c>
      <c r="BB128" s="1">
        <v>23163.3</v>
      </c>
      <c r="BC128" s="1">
        <v>745.2</v>
      </c>
      <c r="BD128" s="1">
        <v>247779</v>
      </c>
      <c r="BE128" s="1">
        <v>7452.0000000000009</v>
      </c>
      <c r="BF128" s="1">
        <v>3.7259999999999995</v>
      </c>
      <c r="BG128" s="1">
        <v>5.4647999999999994</v>
      </c>
      <c r="BH128" s="1">
        <f t="shared" si="44"/>
        <v>66500.000000000015</v>
      </c>
      <c r="BI128" s="1">
        <f t="shared" si="45"/>
        <v>97553.836988152951</v>
      </c>
    </row>
    <row r="129" spans="1:61" x14ac:dyDescent="0.2">
      <c r="A129" t="s">
        <v>746</v>
      </c>
      <c r="B129" t="s">
        <v>38</v>
      </c>
      <c r="C129" t="s">
        <v>747</v>
      </c>
      <c r="D129" t="s">
        <v>748</v>
      </c>
      <c r="E129">
        <v>83037</v>
      </c>
      <c r="F129">
        <v>53578</v>
      </c>
      <c r="G129" t="s">
        <v>748</v>
      </c>
      <c r="H129" s="1">
        <v>164.5</v>
      </c>
      <c r="I129" s="1">
        <v>55.9</v>
      </c>
      <c r="J129" s="10">
        <v>2.4510000000000001</v>
      </c>
      <c r="K129" s="10">
        <f t="shared" ca="1" si="38"/>
        <v>8.7103159529376431E-2</v>
      </c>
      <c r="L129" s="7">
        <v>0.20749999999999999</v>
      </c>
      <c r="M129" s="7">
        <f t="shared" ca="1" si="39"/>
        <v>7.3778384368322963E-3</v>
      </c>
      <c r="N129" s="7">
        <v>0.99429000000000001</v>
      </c>
      <c r="O129" s="8">
        <v>4.8192769999999996</v>
      </c>
      <c r="P129" s="8">
        <f t="shared" ca="1" si="40"/>
        <v>0.17135345424327342</v>
      </c>
      <c r="Q129" s="9">
        <v>8.5919999999999996E-2</v>
      </c>
      <c r="R129" s="9">
        <f t="shared" ca="1" si="41"/>
        <v>1.7536814305910864E-3</v>
      </c>
      <c r="S129" s="8">
        <f t="shared" si="42"/>
        <v>0.4607872315035032</v>
      </c>
      <c r="T129" s="11">
        <v>7.6200000000000004E-2</v>
      </c>
      <c r="U129" s="11">
        <f t="shared" ca="1" si="43"/>
        <v>2.6762989369650018E-3</v>
      </c>
      <c r="V129" s="6" t="e">
        <f ca="1">IF(agePb6U8(1/O129)&lt;1400,age7corr(1/O129,Q129,$W$2),agePb76(Q129))</f>
        <v>#NAME?</v>
      </c>
      <c r="W129" s="6" t="e">
        <f ca="1">IF(agePb6U8(1/O129)&lt;1400,ageer7corr(V129,1/O129,P129/O129*(1/O129),Q129,R129,$W$2,0.05),ageerPb76(Q129,R129))</f>
        <v>#NAME?</v>
      </c>
      <c r="X129" s="4" t="e">
        <f ca="1">agePb6U8(L129)/agePb7u5(J129)</f>
        <v>#NAME?</v>
      </c>
      <c r="Z129" s="1">
        <v>2.4510000000000001</v>
      </c>
      <c r="AA129" s="1">
        <v>7.1999999999999995E-2</v>
      </c>
      <c r="AB129" s="1">
        <v>0.20749999999999999</v>
      </c>
      <c r="AC129" s="1">
        <v>6.1000000000000004E-3</v>
      </c>
      <c r="AD129" s="1">
        <v>0.99429000000000001</v>
      </c>
      <c r="AE129" s="1">
        <v>4.8192769999999996</v>
      </c>
      <c r="AF129" s="1">
        <v>0.1416751</v>
      </c>
      <c r="AG129" s="1">
        <v>8.5919999999999996E-2</v>
      </c>
      <c r="AH129" s="1">
        <v>3.5E-4</v>
      </c>
      <c r="AI129" s="1">
        <v>6.1268999999999997E-2</v>
      </c>
      <c r="AJ129" s="1">
        <v>7.6200000000000004E-2</v>
      </c>
      <c r="AK129" s="1">
        <v>2.2000000000000001E-3</v>
      </c>
      <c r="AL129" s="1">
        <v>8.3819999999999997</v>
      </c>
      <c r="AM129" s="1">
        <v>4.2000000000000003E-2</v>
      </c>
      <c r="AN129" s="1">
        <v>1262</v>
      </c>
      <c r="AO129" s="1">
        <v>23</v>
      </c>
      <c r="AP129" s="1">
        <v>1223</v>
      </c>
      <c r="AQ129" s="1">
        <v>35</v>
      </c>
      <c r="AR129" s="1">
        <v>1484</v>
      </c>
      <c r="AS129" s="1">
        <v>41</v>
      </c>
      <c r="AT129" s="1">
        <v>1336.3</v>
      </c>
      <c r="AU129" s="1">
        <v>7.8</v>
      </c>
      <c r="AV129" s="1">
        <v>35.5</v>
      </c>
      <c r="AW129" s="1">
        <v>1.6</v>
      </c>
      <c r="AX129" s="1">
        <v>4.4010000000000007</v>
      </c>
      <c r="AY129" s="1">
        <v>8.2000000000000003E-2</v>
      </c>
      <c r="AZ129" s="1">
        <v>27758.7</v>
      </c>
      <c r="BA129" s="1">
        <v>1242</v>
      </c>
      <c r="BB129" s="1">
        <v>24902.1</v>
      </c>
      <c r="BC129" s="1">
        <v>1055.7</v>
      </c>
      <c r="BD129" s="1">
        <v>291870</v>
      </c>
      <c r="BE129" s="1">
        <v>11799</v>
      </c>
      <c r="BF129" s="1">
        <v>31.05</v>
      </c>
      <c r="BG129" s="1">
        <v>7.4519999999999991</v>
      </c>
      <c r="BH129" s="1">
        <f t="shared" si="44"/>
        <v>9400</v>
      </c>
      <c r="BI129" s="1">
        <f t="shared" si="45"/>
        <v>2287.7797096748623</v>
      </c>
    </row>
    <row r="130" spans="1:61" x14ac:dyDescent="0.2">
      <c r="A130" t="s">
        <v>749</v>
      </c>
      <c r="B130" t="s">
        <v>38</v>
      </c>
      <c r="C130" t="s">
        <v>750</v>
      </c>
      <c r="D130" t="s">
        <v>751</v>
      </c>
      <c r="E130">
        <v>82946</v>
      </c>
      <c r="F130">
        <v>53871</v>
      </c>
      <c r="G130" t="s">
        <v>751</v>
      </c>
      <c r="H130" s="1">
        <v>69.06</v>
      </c>
      <c r="I130" s="1">
        <v>29.97</v>
      </c>
      <c r="J130" s="10">
        <v>2.2690000000000001</v>
      </c>
      <c r="K130" s="10">
        <f t="shared" ca="1" si="38"/>
        <v>6.9773522198610563E-2</v>
      </c>
      <c r="L130" s="7">
        <v>0.2049</v>
      </c>
      <c r="M130" s="7">
        <f t="shared" ca="1" si="39"/>
        <v>6.1606496410687083E-3</v>
      </c>
      <c r="N130" s="7">
        <v>0.95589999999999997</v>
      </c>
      <c r="O130" s="8">
        <v>4.8804290000000004</v>
      </c>
      <c r="P130" s="8">
        <f t="shared" ca="1" si="40"/>
        <v>0.14673797627017485</v>
      </c>
      <c r="Q130" s="9">
        <v>8.0100000000000005E-2</v>
      </c>
      <c r="R130" s="9">
        <f t="shared" ca="1" si="41"/>
        <v>1.7071918462785605E-3</v>
      </c>
      <c r="S130" s="8">
        <f t="shared" si="42"/>
        <v>0.52756015057936345</v>
      </c>
      <c r="T130" s="11">
        <v>7.2400000000000006E-2</v>
      </c>
      <c r="U130" s="11">
        <f t="shared" ca="1" si="43"/>
        <v>2.3101307322314036E-3</v>
      </c>
      <c r="V130" s="6" t="e">
        <f ca="1">IF(agePb6U8(1/O130)&lt;1400,age7corr(1/O130,Q130,$W$2),agePb76(Q130))</f>
        <v>#NAME?</v>
      </c>
      <c r="W130" s="6" t="e">
        <f ca="1">IF(agePb6U8(1/O130)&lt;1400,ageer7corr(V130,1/O130,P130/O130*(1/O130),Q130,R130,$W$2,0.05),ageerPb76(Q130,R130))</f>
        <v>#NAME?</v>
      </c>
      <c r="X130" s="4" t="e">
        <f ca="1">agePb6U8(L130)/agePb7u5(J130)</f>
        <v>#NAME?</v>
      </c>
      <c r="Z130" s="1">
        <v>2.2690000000000001</v>
      </c>
      <c r="AA130" s="1">
        <v>5.2999999999999999E-2</v>
      </c>
      <c r="AB130" s="1">
        <v>0.2049</v>
      </c>
      <c r="AC130" s="1">
        <v>4.5999999999999999E-3</v>
      </c>
      <c r="AD130" s="1">
        <v>0.95589999999999997</v>
      </c>
      <c r="AE130" s="1">
        <v>4.8804290000000004</v>
      </c>
      <c r="AF130" s="1">
        <v>0.1095655</v>
      </c>
      <c r="AG130" s="1">
        <v>8.0100000000000005E-2</v>
      </c>
      <c r="AH130" s="1">
        <v>5.9000000000000003E-4</v>
      </c>
      <c r="AI130" s="1">
        <v>9.2536999999999994E-2</v>
      </c>
      <c r="AJ130" s="1">
        <v>7.2400000000000006E-2</v>
      </c>
      <c r="AK130" s="1">
        <v>1.8E-3</v>
      </c>
      <c r="AL130" s="1">
        <v>6.859</v>
      </c>
      <c r="AM130" s="1">
        <v>3.5000000000000003E-2</v>
      </c>
      <c r="AN130" s="1">
        <v>1202</v>
      </c>
      <c r="AO130" s="1">
        <v>17</v>
      </c>
      <c r="AP130" s="1">
        <v>1202</v>
      </c>
      <c r="AQ130" s="1">
        <v>25</v>
      </c>
      <c r="AR130" s="1">
        <v>1414</v>
      </c>
      <c r="AS130" s="1">
        <v>33</v>
      </c>
      <c r="AT130" s="1">
        <v>1199</v>
      </c>
      <c r="AU130" s="1">
        <v>14</v>
      </c>
      <c r="AV130" s="1">
        <v>14.91</v>
      </c>
      <c r="AW130" s="1">
        <v>0.2</v>
      </c>
      <c r="AX130" s="1">
        <v>2.3579999999999997</v>
      </c>
      <c r="AY130" s="1">
        <v>7.5999999999999998E-2</v>
      </c>
      <c r="AZ130" s="1">
        <v>14065.65</v>
      </c>
      <c r="BA130" s="1">
        <v>198.71999999999997</v>
      </c>
      <c r="BB130" s="1">
        <v>9507.51</v>
      </c>
      <c r="BC130" s="1">
        <v>124.2</v>
      </c>
      <c r="BD130" s="1">
        <v>119853.00000000001</v>
      </c>
      <c r="BE130" s="1">
        <v>1676.7</v>
      </c>
      <c r="BF130" s="1">
        <v>6.0236999999999998</v>
      </c>
      <c r="BG130" s="1">
        <v>5.2784999999999993</v>
      </c>
      <c r="BH130" s="1">
        <f t="shared" si="44"/>
        <v>19896.907216494848</v>
      </c>
      <c r="BI130" s="1">
        <f t="shared" si="45"/>
        <v>17437.655900801459</v>
      </c>
    </row>
    <row r="131" spans="1:61" x14ac:dyDescent="0.2">
      <c r="A131" t="s">
        <v>752</v>
      </c>
      <c r="B131" t="s">
        <v>38</v>
      </c>
      <c r="C131" t="s">
        <v>753</v>
      </c>
      <c r="D131" t="s">
        <v>754</v>
      </c>
      <c r="E131">
        <v>82980</v>
      </c>
      <c r="F131">
        <v>54090</v>
      </c>
      <c r="G131" t="s">
        <v>754</v>
      </c>
      <c r="H131" s="1">
        <v>157.80000000000001</v>
      </c>
      <c r="I131" s="1">
        <v>86.4</v>
      </c>
      <c r="J131" s="10">
        <v>2.64</v>
      </c>
      <c r="K131" s="10">
        <f t="shared" ca="1" si="38"/>
        <v>0.11308333210513387</v>
      </c>
      <c r="L131" s="7">
        <v>0.22090000000000001</v>
      </c>
      <c r="M131" s="7">
        <f t="shared" ca="1" si="39"/>
        <v>9.3144363221828955E-3</v>
      </c>
      <c r="N131" s="7">
        <v>0.99661</v>
      </c>
      <c r="O131" s="8">
        <v>4.5269349999999999</v>
      </c>
      <c r="P131" s="8">
        <f t="shared" ca="1" si="40"/>
        <v>0.19088209689787566</v>
      </c>
      <c r="Q131" s="9">
        <v>8.6760000000000004E-2</v>
      </c>
      <c r="R131" s="9">
        <f t="shared" ca="1" si="41"/>
        <v>1.7876853861907582E-3</v>
      </c>
      <c r="S131" s="8">
        <f t="shared" si="42"/>
        <v>0.54883818110119709</v>
      </c>
      <c r="T131" s="11">
        <v>8.2400000000000001E-2</v>
      </c>
      <c r="U131" s="11">
        <f t="shared" ca="1" si="43"/>
        <v>3.1632110267890757E-3</v>
      </c>
      <c r="V131" s="6" t="e">
        <f ca="1">IF(agePb6U8(1/O131)&lt;1400,age7corr(1/O131,Q131,$W$2),agePb76(Q131))</f>
        <v>#NAME?</v>
      </c>
      <c r="W131" s="6" t="e">
        <f ca="1">IF(agePb6U8(1/O131)&lt;1400,ageer7corr(V131,1/O131,P131/O131*(1/O131),Q131,R131,$W$2,0.05),ageerPb76(Q131,R131))</f>
        <v>#NAME?</v>
      </c>
      <c r="X131" s="4" t="e">
        <f ca="1">agePb6U8(L131)/agePb7u5(J131)</f>
        <v>#NAME?</v>
      </c>
      <c r="Z131" s="1">
        <v>2.64</v>
      </c>
      <c r="AA131" s="1">
        <v>0.1</v>
      </c>
      <c r="AB131" s="1">
        <v>0.22090000000000001</v>
      </c>
      <c r="AC131" s="1">
        <v>8.2000000000000007E-3</v>
      </c>
      <c r="AD131" s="1">
        <v>0.99661</v>
      </c>
      <c r="AE131" s="1">
        <v>4.5269349999999999</v>
      </c>
      <c r="AF131" s="1">
        <v>0.16804379999999999</v>
      </c>
      <c r="AG131" s="1">
        <v>8.6760000000000004E-2</v>
      </c>
      <c r="AH131" s="1">
        <v>4.2999999999999999E-4</v>
      </c>
      <c r="AI131" s="1">
        <v>-0.34445999999999999</v>
      </c>
      <c r="AJ131" s="1">
        <v>8.2400000000000001E-2</v>
      </c>
      <c r="AK131" s="1">
        <v>2.7000000000000001E-3</v>
      </c>
      <c r="AL131" s="1">
        <v>5.2919999999999998</v>
      </c>
      <c r="AM131" s="1">
        <v>3.4000000000000002E-2</v>
      </c>
      <c r="AN131" s="1">
        <v>1316</v>
      </c>
      <c r="AO131" s="1">
        <v>26</v>
      </c>
      <c r="AP131" s="1">
        <v>1286</v>
      </c>
      <c r="AQ131" s="1">
        <v>43</v>
      </c>
      <c r="AR131" s="1">
        <v>1601</v>
      </c>
      <c r="AS131" s="1">
        <v>51</v>
      </c>
      <c r="AT131" s="1">
        <v>1355</v>
      </c>
      <c r="AU131" s="1">
        <v>9.6</v>
      </c>
      <c r="AV131" s="1">
        <v>34.06</v>
      </c>
      <c r="AW131" s="1">
        <v>0.68</v>
      </c>
      <c r="AX131" s="1">
        <v>6.8</v>
      </c>
      <c r="AY131" s="1">
        <v>0.2</v>
      </c>
      <c r="AZ131" s="1">
        <v>45333</v>
      </c>
      <c r="BA131" s="1">
        <v>1366.1999999999998</v>
      </c>
      <c r="BB131" s="1">
        <v>25647.300000000003</v>
      </c>
      <c r="BC131" s="1">
        <v>745.2</v>
      </c>
      <c r="BD131" s="1">
        <v>298080</v>
      </c>
      <c r="BE131" s="1">
        <v>8072.9999999999982</v>
      </c>
      <c r="BF131" s="1">
        <v>1.8629999999999998</v>
      </c>
      <c r="BG131" s="1">
        <v>6.0236999999999998</v>
      </c>
      <c r="BH131" s="1">
        <f t="shared" si="44"/>
        <v>160000.00000000003</v>
      </c>
      <c r="BI131" s="1">
        <f t="shared" si="45"/>
        <v>517351.48164043733</v>
      </c>
    </row>
    <row r="132" spans="1:61" x14ac:dyDescent="0.2">
      <c r="A132" t="s">
        <v>755</v>
      </c>
      <c r="B132" t="s">
        <v>38</v>
      </c>
      <c r="C132" t="s">
        <v>756</v>
      </c>
      <c r="D132" t="s">
        <v>757</v>
      </c>
      <c r="E132">
        <v>82935</v>
      </c>
      <c r="F132">
        <v>54406</v>
      </c>
      <c r="G132" t="s">
        <v>757</v>
      </c>
      <c r="H132" s="1">
        <v>34.1</v>
      </c>
      <c r="I132" s="1">
        <v>15.58</v>
      </c>
      <c r="J132" s="10">
        <v>1.9330000000000001</v>
      </c>
      <c r="K132" s="10">
        <f t="shared" ca="1" si="38"/>
        <v>6.9703626878377001E-2</v>
      </c>
      <c r="L132" s="7">
        <v>0.18490000000000001</v>
      </c>
      <c r="M132" s="7">
        <f t="shared" ca="1" si="39"/>
        <v>6.4626004054095746E-3</v>
      </c>
      <c r="N132" s="7">
        <v>0.96245000000000003</v>
      </c>
      <c r="O132" s="8">
        <v>5.4083290000000002</v>
      </c>
      <c r="P132" s="8">
        <f t="shared" ca="1" si="40"/>
        <v>0.18903118964579999</v>
      </c>
      <c r="Q132" s="9">
        <v>7.5550000000000006E-2</v>
      </c>
      <c r="R132" s="9">
        <f t="shared" ca="1" si="41"/>
        <v>1.709713718726033E-3</v>
      </c>
      <c r="S132" s="8">
        <f t="shared" si="42"/>
        <v>0.43768597477323967</v>
      </c>
      <c r="T132" s="11">
        <v>7.1400000000000005E-2</v>
      </c>
      <c r="U132" s="11">
        <f t="shared" ca="1" si="43"/>
        <v>2.7927019174985353E-3</v>
      </c>
      <c r="V132" s="6" t="e">
        <f ca="1">IF(agePb6U8(1/O132)&lt;1400,age7corr(1/O132,Q132,$W$2),agePb76(Q132))</f>
        <v>#NAME?</v>
      </c>
      <c r="W132" s="6" t="e">
        <f ca="1">IF(agePb6U8(1/O132)&lt;1400,ageer7corr(V132,1/O132,P132/O132*(1/O132),Q132,R132,$W$2,0.05),ageerPb76(Q132,R132))</f>
        <v>#NAME?</v>
      </c>
      <c r="X132" s="4" t="e">
        <f ca="1">agePb6U8(L132)/agePb7u5(J132)</f>
        <v>#NAME?</v>
      </c>
      <c r="Z132" s="1">
        <v>1.9330000000000001</v>
      </c>
      <c r="AA132" s="1">
        <v>5.8000000000000003E-2</v>
      </c>
      <c r="AB132" s="1">
        <v>0.18490000000000001</v>
      </c>
      <c r="AC132" s="1">
        <v>5.3E-3</v>
      </c>
      <c r="AD132" s="1">
        <v>0.96245000000000003</v>
      </c>
      <c r="AE132" s="1">
        <v>5.4083290000000002</v>
      </c>
      <c r="AF132" s="1">
        <v>0.1550251</v>
      </c>
      <c r="AG132" s="1">
        <v>7.5550000000000006E-2</v>
      </c>
      <c r="AH132" s="1">
        <v>8.0000000000000004E-4</v>
      </c>
      <c r="AI132" s="1">
        <v>-0.11407</v>
      </c>
      <c r="AJ132" s="1">
        <v>7.1400000000000005E-2</v>
      </c>
      <c r="AK132" s="1">
        <v>2.3999999999999998E-3</v>
      </c>
      <c r="AL132" s="1">
        <v>6.0330000000000004</v>
      </c>
      <c r="AM132" s="1">
        <v>4.3999999999999997E-2</v>
      </c>
      <c r="AN132" s="1">
        <v>1092</v>
      </c>
      <c r="AO132" s="1">
        <v>20</v>
      </c>
      <c r="AP132" s="1">
        <v>1093</v>
      </c>
      <c r="AQ132" s="1">
        <v>29</v>
      </c>
      <c r="AR132" s="1">
        <v>1394</v>
      </c>
      <c r="AS132" s="1">
        <v>45</v>
      </c>
      <c r="AT132" s="1">
        <v>1082</v>
      </c>
      <c r="AU132" s="1">
        <v>21</v>
      </c>
      <c r="AV132" s="1">
        <v>7.36</v>
      </c>
      <c r="AW132" s="1">
        <v>0.13999999999999999</v>
      </c>
      <c r="AX132" s="1">
        <v>1.2260000000000002</v>
      </c>
      <c r="AY132" s="1">
        <v>0.05</v>
      </c>
      <c r="AZ132" s="1">
        <v>7135.29</v>
      </c>
      <c r="BA132" s="1">
        <v>155.25</v>
      </c>
      <c r="BB132" s="1">
        <v>3993.0300000000007</v>
      </c>
      <c r="BC132" s="1">
        <v>93.15</v>
      </c>
      <c r="BD132" s="1">
        <v>53219.7</v>
      </c>
      <c r="BE132" s="1">
        <v>993.6</v>
      </c>
      <c r="BF132" s="1">
        <v>-2.3598000000000003</v>
      </c>
      <c r="BG132" s="1">
        <v>4.0985999999999994</v>
      </c>
      <c r="BH132" s="1">
        <f t="shared" si="44"/>
        <v>-22552.631578947363</v>
      </c>
      <c r="BI132" s="1">
        <f t="shared" si="45"/>
        <v>-39172.623048866284</v>
      </c>
    </row>
    <row r="133" spans="1:61" s="23" customFormat="1" x14ac:dyDescent="0.2">
      <c r="A133" s="23" t="s">
        <v>758</v>
      </c>
      <c r="B133" s="23" t="s">
        <v>38</v>
      </c>
      <c r="C133" s="23" t="s">
        <v>759</v>
      </c>
      <c r="D133" s="23" t="s">
        <v>760</v>
      </c>
      <c r="E133" s="23">
        <v>82952</v>
      </c>
      <c r="F133" s="23">
        <v>54659</v>
      </c>
      <c r="G133" s="23" t="s">
        <v>760</v>
      </c>
      <c r="H133" s="24">
        <v>122.8</v>
      </c>
      <c r="I133" s="24">
        <v>41.2</v>
      </c>
      <c r="J133" s="25">
        <v>2.63</v>
      </c>
      <c r="K133" s="25">
        <f t="shared" ca="1" si="38"/>
        <v>0.15895521381823244</v>
      </c>
      <c r="L133" s="26">
        <v>0.19900000000000001</v>
      </c>
      <c r="M133" s="26">
        <f t="shared" ca="1" si="39"/>
        <v>9.0249875346174301E-3</v>
      </c>
      <c r="N133" s="26">
        <v>0.83708000000000005</v>
      </c>
      <c r="O133" s="26">
        <v>5.0251260000000002</v>
      </c>
      <c r="P133" s="26">
        <f t="shared" ca="1" si="40"/>
        <v>0.22789798342776182</v>
      </c>
      <c r="Q133" s="25">
        <v>9.6000000000000002E-2</v>
      </c>
      <c r="R133" s="25">
        <f t="shared" ca="1" si="41"/>
        <v>3.561797299117399E-3</v>
      </c>
      <c r="S133" s="26">
        <f t="shared" si="42"/>
        <v>0.31271276394605019</v>
      </c>
      <c r="T133" s="25">
        <v>0.10730000000000001</v>
      </c>
      <c r="U133" s="25">
        <f t="shared" ca="1" si="43"/>
        <v>6.5608929270336369E-3</v>
      </c>
      <c r="V133" s="24" t="e">
        <f ca="1">IF(agePb6U8(1/O133)&lt;1400,age7corr(1/O133,Q133,$W$2),agePb76(Q133))</f>
        <v>#NAME?</v>
      </c>
      <c r="W133" s="24" t="e">
        <f ca="1">IF(agePb6U8(1/O133)&lt;1400,ageer7corr(V133,1/O133,P133/O133*(1/O133),Q133,R133,$W$2,0.05),ageerPb76(Q133,R133))</f>
        <v>#NAME?</v>
      </c>
      <c r="X133" s="26" t="e">
        <f ca="1">agePb6U8(L133)/agePb7u5(J133)</f>
        <v>#NAME?</v>
      </c>
      <c r="Y133" s="24"/>
      <c r="Z133" s="24">
        <v>2.63</v>
      </c>
      <c r="AA133" s="24">
        <v>0.15</v>
      </c>
      <c r="AB133" s="24">
        <v>0.19900000000000001</v>
      </c>
      <c r="AC133" s="24">
        <v>8.0999999999999996E-3</v>
      </c>
      <c r="AD133" s="24">
        <v>0.83708000000000005</v>
      </c>
      <c r="AE133" s="24">
        <v>5.0251260000000002</v>
      </c>
      <c r="AF133" s="24">
        <v>0.20454030000000001</v>
      </c>
      <c r="AG133" s="24">
        <v>9.6000000000000002E-2</v>
      </c>
      <c r="AH133" s="24">
        <v>3.0000000000000001E-3</v>
      </c>
      <c r="AI133" s="24">
        <v>-0.24374000000000001</v>
      </c>
      <c r="AJ133" s="24">
        <v>0.10730000000000001</v>
      </c>
      <c r="AK133" s="24">
        <v>6.1999999999999998E-3</v>
      </c>
      <c r="AL133" s="24">
        <v>5.85</v>
      </c>
      <c r="AM133" s="24">
        <v>0.22</v>
      </c>
      <c r="AN133" s="24">
        <v>1314</v>
      </c>
      <c r="AO133" s="24">
        <v>40</v>
      </c>
      <c r="AP133" s="24">
        <v>1169</v>
      </c>
      <c r="AQ133" s="24">
        <v>44</v>
      </c>
      <c r="AR133" s="24">
        <v>2060</v>
      </c>
      <c r="AS133" s="24">
        <v>110</v>
      </c>
      <c r="AT133" s="24">
        <v>1542</v>
      </c>
      <c r="AU133" s="24">
        <v>59</v>
      </c>
      <c r="AV133" s="24">
        <v>26.509999999999998</v>
      </c>
      <c r="AW133" s="24">
        <v>0.74</v>
      </c>
      <c r="AX133" s="24">
        <v>3.2399999999999998</v>
      </c>
      <c r="AY133" s="24">
        <v>0.12000000000000001</v>
      </c>
      <c r="AZ133" s="24">
        <v>28131.3</v>
      </c>
      <c r="BA133" s="24">
        <v>1242</v>
      </c>
      <c r="BB133" s="24">
        <v>19188.900000000001</v>
      </c>
      <c r="BC133" s="24">
        <v>683.09999999999991</v>
      </c>
      <c r="BD133" s="24">
        <v>200583</v>
      </c>
      <c r="BE133" s="24">
        <v>4284.8999999999996</v>
      </c>
      <c r="BF133" s="24">
        <v>252.126</v>
      </c>
      <c r="BG133" s="24">
        <v>40.985999999999997</v>
      </c>
      <c r="BH133" s="24">
        <f t="shared" si="44"/>
        <v>795.56650246305412</v>
      </c>
      <c r="BI133" s="24">
        <f t="shared" si="45"/>
        <v>130.44042709203032</v>
      </c>
    </row>
    <row r="134" spans="1:61" x14ac:dyDescent="0.2">
      <c r="A134" t="s">
        <v>761</v>
      </c>
      <c r="B134" t="s">
        <v>38</v>
      </c>
      <c r="C134" t="s">
        <v>762</v>
      </c>
      <c r="D134" t="s">
        <v>763</v>
      </c>
      <c r="E134">
        <v>83016</v>
      </c>
      <c r="F134">
        <v>55425</v>
      </c>
      <c r="G134" t="s">
        <v>763</v>
      </c>
      <c r="H134" s="1">
        <v>210.7</v>
      </c>
      <c r="I134" s="1">
        <v>60.4</v>
      </c>
      <c r="J134" s="10">
        <v>1.9179999999999999</v>
      </c>
      <c r="K134" s="10">
        <f t="shared" ca="1" si="38"/>
        <v>8.3351602264143662E-2</v>
      </c>
      <c r="L134" s="7">
        <v>0.17899999999999999</v>
      </c>
      <c r="M134" s="7">
        <f t="shared" ca="1" si="39"/>
        <v>6.7310028970429068E-3</v>
      </c>
      <c r="N134" s="7">
        <v>0.97926000000000002</v>
      </c>
      <c r="O134" s="8">
        <v>5.5865919999999996</v>
      </c>
      <c r="P134" s="8">
        <f t="shared" ca="1" si="40"/>
        <v>0.21007470637417444</v>
      </c>
      <c r="Q134" s="9">
        <v>7.8579999999999997E-2</v>
      </c>
      <c r="R134" s="9">
        <f t="shared" ca="1" si="41"/>
        <v>1.7084573626520503E-3</v>
      </c>
      <c r="S134" s="8">
        <f t="shared" si="42"/>
        <v>0.41472282929672327</v>
      </c>
      <c r="T134" s="11">
        <v>7.6499999999999999E-2</v>
      </c>
      <c r="U134" s="11">
        <f t="shared" ca="1" si="43"/>
        <v>3.278856507991772E-3</v>
      </c>
      <c r="V134" s="6" t="e">
        <f ca="1">IF(agePb6U8(1/O134)&lt;1400,age7corr(1/O134,Q134,$W$2),agePb76(Q134))</f>
        <v>#NAME?</v>
      </c>
      <c r="W134" s="6" t="e">
        <f ca="1">IF(agePb6U8(1/O134)&lt;1400,ageer7corr(V134,1/O134,P134/O134*(1/O134),Q134,R134,$W$2,0.05),ageerPb76(Q134,R134))</f>
        <v>#NAME?</v>
      </c>
      <c r="X134" s="4" t="e">
        <f ca="1">agePb6U8(L134)/agePb7u5(J134)</f>
        <v>#NAME?</v>
      </c>
      <c r="Z134" s="1">
        <v>1.9179999999999999</v>
      </c>
      <c r="AA134" s="1">
        <v>7.3999999999999996E-2</v>
      </c>
      <c r="AB134" s="1">
        <v>0.17899999999999999</v>
      </c>
      <c r="AC134" s="1">
        <v>5.7000000000000002E-3</v>
      </c>
      <c r="AD134" s="1">
        <v>0.97926000000000002</v>
      </c>
      <c r="AE134" s="1">
        <v>5.5865919999999996</v>
      </c>
      <c r="AF134" s="1">
        <v>0.1778971</v>
      </c>
      <c r="AG134" s="1">
        <v>7.8579999999999997E-2</v>
      </c>
      <c r="AH134" s="1">
        <v>6.7000000000000002E-4</v>
      </c>
      <c r="AI134" s="1">
        <v>-0.18364</v>
      </c>
      <c r="AJ134" s="1">
        <v>7.6499999999999999E-2</v>
      </c>
      <c r="AK134" s="1">
        <v>2.8999999999999998E-3</v>
      </c>
      <c r="AL134" s="1">
        <v>8.5449999999999999</v>
      </c>
      <c r="AM134" s="1">
        <v>9.4E-2</v>
      </c>
      <c r="AN134" s="1">
        <v>1086</v>
      </c>
      <c r="AO134" s="1">
        <v>26</v>
      </c>
      <c r="AP134" s="1">
        <v>1061</v>
      </c>
      <c r="AQ134" s="1">
        <v>31</v>
      </c>
      <c r="AR134" s="1">
        <v>1489</v>
      </c>
      <c r="AS134" s="1">
        <v>54</v>
      </c>
      <c r="AT134" s="1">
        <v>1161</v>
      </c>
      <c r="AU134" s="1">
        <v>17</v>
      </c>
      <c r="AV134" s="1">
        <v>45.5</v>
      </c>
      <c r="AW134" s="1">
        <v>1.2</v>
      </c>
      <c r="AX134" s="1">
        <v>4.75</v>
      </c>
      <c r="AY134" s="1">
        <v>0.13999999999999999</v>
      </c>
      <c r="AZ134" s="1">
        <v>29559.600000000002</v>
      </c>
      <c r="BA134" s="1">
        <v>807.3</v>
      </c>
      <c r="BB134" s="1">
        <v>24467.399999999998</v>
      </c>
      <c r="BC134" s="1">
        <v>621</v>
      </c>
      <c r="BD134" s="1">
        <v>313605</v>
      </c>
      <c r="BE134" s="1">
        <v>6831</v>
      </c>
      <c r="BF134" s="1">
        <v>27.324000000000002</v>
      </c>
      <c r="BG134" s="1">
        <v>8.6940000000000008</v>
      </c>
      <c r="BH134" s="1">
        <f t="shared" si="44"/>
        <v>11477.272727272726</v>
      </c>
      <c r="BI134" s="1">
        <f t="shared" si="45"/>
        <v>3660.4067858533026</v>
      </c>
    </row>
    <row r="135" spans="1:61" x14ac:dyDescent="0.2">
      <c r="A135" t="s">
        <v>425</v>
      </c>
      <c r="B135" t="s">
        <v>38</v>
      </c>
      <c r="C135" t="s">
        <v>426</v>
      </c>
      <c r="D135" t="s">
        <v>427</v>
      </c>
      <c r="E135">
        <v>83801</v>
      </c>
      <c r="F135">
        <v>49675</v>
      </c>
      <c r="G135" t="s">
        <v>427</v>
      </c>
      <c r="H135" s="1">
        <v>523.5</v>
      </c>
      <c r="I135" s="1">
        <v>17.98</v>
      </c>
      <c r="J135" s="10">
        <v>2.0950000000000002</v>
      </c>
      <c r="K135" s="10">
        <f t="shared" ca="1" si="38"/>
        <v>7.2364424961440826E-2</v>
      </c>
      <c r="L135" s="7">
        <v>0.18709999999999999</v>
      </c>
      <c r="M135" s="7">
        <f t="shared" ca="1" si="39"/>
        <v>6.4064470652616798E-3</v>
      </c>
      <c r="N135" s="7">
        <v>0.99372000000000005</v>
      </c>
      <c r="O135" s="8">
        <v>5.344735</v>
      </c>
      <c r="P135" s="8">
        <f t="shared" ca="1" si="40"/>
        <v>0.18300780377276268</v>
      </c>
      <c r="Q135" s="9">
        <v>8.1170000000000006E-2</v>
      </c>
      <c r="R135" s="9">
        <f t="shared" ca="1" si="41"/>
        <v>1.6508869010322907E-3</v>
      </c>
      <c r="S135" s="8">
        <f t="shared" si="42"/>
        <v>0.50698969550290218</v>
      </c>
      <c r="T135" s="11">
        <v>5.4399999999999997E-2</v>
      </c>
      <c r="U135" s="11">
        <f t="shared" ca="1" si="43"/>
        <v>2.5443553210980577E-3</v>
      </c>
      <c r="V135" s="6" t="e">
        <f ca="1">IF(agePb6U8(1/O135)&lt;1400,age7corr(1/O135,Q135,$W$2),agePb76(Q135))</f>
        <v>#NAME?</v>
      </c>
      <c r="W135" s="6" t="e">
        <f ca="1">IF(agePb6U8(1/O135)&lt;1400,ageer7corr(V135,1/O135,P135/O135*(1/O135),Q135,R135,$W$2,0.05),ageerPb76(Q135,R135))</f>
        <v>#NAME?</v>
      </c>
      <c r="X135" s="4" t="e">
        <f ca="1">agePb6U8(L135)/agePb7u5(J135)</f>
        <v>#NAME?</v>
      </c>
      <c r="Z135" s="1">
        <v>2.0950000000000002</v>
      </c>
      <c r="AA135" s="1">
        <v>5.8999999999999997E-2</v>
      </c>
      <c r="AB135" s="1">
        <v>0.18709999999999999</v>
      </c>
      <c r="AC135" s="1">
        <v>5.1999999999999998E-3</v>
      </c>
      <c r="AD135" s="1">
        <v>0.99372000000000005</v>
      </c>
      <c r="AE135" s="1">
        <v>5.344735</v>
      </c>
      <c r="AF135" s="1">
        <v>0.14854419999999999</v>
      </c>
      <c r="AG135" s="1">
        <v>8.1170000000000006E-2</v>
      </c>
      <c r="AH135" s="1">
        <v>2.9999999999999997E-4</v>
      </c>
      <c r="AI135" s="1">
        <v>-7.5907000000000002E-2</v>
      </c>
      <c r="AJ135" s="1">
        <v>5.4399999999999997E-2</v>
      </c>
      <c r="AK135" s="1">
        <v>2.3E-3</v>
      </c>
      <c r="AL135" s="1">
        <v>107.5</v>
      </c>
      <c r="AM135" s="1">
        <v>1.2</v>
      </c>
      <c r="AN135" s="1">
        <v>1146</v>
      </c>
      <c r="AO135" s="1">
        <v>20</v>
      </c>
      <c r="AP135" s="1">
        <v>1105</v>
      </c>
      <c r="AQ135" s="1">
        <v>28</v>
      </c>
      <c r="AR135" s="1">
        <v>1071</v>
      </c>
      <c r="AS135" s="1">
        <v>45</v>
      </c>
      <c r="AT135" s="1">
        <v>1225.4000000000001</v>
      </c>
      <c r="AU135" s="1">
        <v>7.3</v>
      </c>
      <c r="AV135" s="1">
        <v>114.3</v>
      </c>
      <c r="AW135" s="1">
        <v>2.1</v>
      </c>
      <c r="AX135" s="1">
        <v>1.421</v>
      </c>
      <c r="AY135" s="1">
        <v>7.5999999999999998E-2</v>
      </c>
      <c r="AZ135" s="1">
        <v>6185.16</v>
      </c>
      <c r="BA135" s="1">
        <v>111.78</v>
      </c>
      <c r="BB135" s="1">
        <v>67316.399999999994</v>
      </c>
      <c r="BC135" s="1">
        <v>1242</v>
      </c>
      <c r="BD135" s="1">
        <v>831519</v>
      </c>
      <c r="BE135" s="1">
        <v>15525</v>
      </c>
      <c r="BF135" s="1">
        <v>22.355999999999998</v>
      </c>
      <c r="BG135" s="1">
        <v>6.2099999999999991</v>
      </c>
      <c r="BH135" s="1">
        <f t="shared" si="44"/>
        <v>37194.444444444445</v>
      </c>
      <c r="BI135" s="1">
        <f t="shared" si="45"/>
        <v>10355.102135738642</v>
      </c>
    </row>
    <row r="136" spans="1:61" x14ac:dyDescent="0.2">
      <c r="A136" t="s">
        <v>428</v>
      </c>
      <c r="B136" t="s">
        <v>38</v>
      </c>
      <c r="C136" t="s">
        <v>429</v>
      </c>
      <c r="D136" t="s">
        <v>430</v>
      </c>
      <c r="E136">
        <v>83883</v>
      </c>
      <c r="F136">
        <v>50048</v>
      </c>
      <c r="G136" t="s">
        <v>430</v>
      </c>
      <c r="H136" s="1">
        <v>450</v>
      </c>
      <c r="I136" s="1">
        <v>163.1</v>
      </c>
      <c r="J136" s="10">
        <v>1.8919999999999999</v>
      </c>
      <c r="K136" s="10">
        <f t="shared" ca="1" si="38"/>
        <v>5.5793060500388403E-2</v>
      </c>
      <c r="L136" s="7">
        <v>0.17749999999999999</v>
      </c>
      <c r="M136" s="7">
        <f t="shared" ca="1" si="39"/>
        <v>5.423329235810786E-3</v>
      </c>
      <c r="N136" s="7">
        <v>0.99138000000000004</v>
      </c>
      <c r="O136" s="8">
        <v>5.6338030000000003</v>
      </c>
      <c r="P136" s="8">
        <f t="shared" ca="1" si="40"/>
        <v>0.17213502304741357</v>
      </c>
      <c r="Q136" s="9">
        <v>7.7170000000000002E-2</v>
      </c>
      <c r="R136" s="9">
        <f t="shared" ca="1" si="41"/>
        <v>1.5742247488843518E-3</v>
      </c>
      <c r="S136" s="8">
        <f t="shared" si="42"/>
        <v>0.53425787183306639</v>
      </c>
      <c r="T136" s="11">
        <v>6.0999999999999999E-2</v>
      </c>
      <c r="U136" s="11">
        <f t="shared" ca="1" si="43"/>
        <v>2.0120636172845032E-3</v>
      </c>
      <c r="V136" s="6" t="e">
        <f ca="1">IF(agePb6U8(1/O136)&lt;1400,age7corr(1/O136,Q136,$W$2),agePb76(Q136))</f>
        <v>#NAME?</v>
      </c>
      <c r="W136" s="6" t="e">
        <f ca="1">IF(agePb6U8(1/O136)&lt;1400,ageer7corr(V136,1/O136,P136/O136*(1/O136),Q136,R136,$W$2,0.05),ageerPb76(Q136,R136))</f>
        <v>#NAME?</v>
      </c>
      <c r="X136" s="4" t="e">
        <f ca="1">agePb6U8(L136)/agePb7u5(J136)</f>
        <v>#NAME?</v>
      </c>
      <c r="Z136" s="1">
        <v>1.8919999999999999</v>
      </c>
      <c r="AA136" s="1">
        <v>4.1000000000000002E-2</v>
      </c>
      <c r="AB136" s="1">
        <v>0.17749999999999999</v>
      </c>
      <c r="AC136" s="1">
        <v>4.1000000000000003E-3</v>
      </c>
      <c r="AD136" s="1">
        <v>0.99138000000000004</v>
      </c>
      <c r="AE136" s="1">
        <v>5.6338030000000003</v>
      </c>
      <c r="AF136" s="1">
        <v>0.1301329</v>
      </c>
      <c r="AG136" s="1">
        <v>7.7170000000000002E-2</v>
      </c>
      <c r="AH136" s="1">
        <v>3.1E-4</v>
      </c>
      <c r="AI136" s="1">
        <v>0.13428000000000001</v>
      </c>
      <c r="AJ136" s="1">
        <v>6.0999999999999999E-2</v>
      </c>
      <c r="AK136" s="1">
        <v>1.6000000000000001E-3</v>
      </c>
      <c r="AL136" s="1">
        <v>8.66</v>
      </c>
      <c r="AM136" s="1">
        <v>5.5E-2</v>
      </c>
      <c r="AN136" s="1">
        <v>1078</v>
      </c>
      <c r="AO136" s="1">
        <v>15</v>
      </c>
      <c r="AP136" s="1">
        <v>1053</v>
      </c>
      <c r="AQ136" s="1">
        <v>22</v>
      </c>
      <c r="AR136" s="1">
        <v>1196</v>
      </c>
      <c r="AS136" s="1">
        <v>30</v>
      </c>
      <c r="AT136" s="1">
        <v>1125.5</v>
      </c>
      <c r="AU136" s="1">
        <v>7.9</v>
      </c>
      <c r="AV136" s="1">
        <v>98.199999999999989</v>
      </c>
      <c r="AW136" s="1">
        <v>1.9</v>
      </c>
      <c r="AX136" s="1">
        <v>12.89</v>
      </c>
      <c r="AY136" s="1">
        <v>0.34</v>
      </c>
      <c r="AZ136" s="1">
        <v>63466.19999999999</v>
      </c>
      <c r="BA136" s="1">
        <v>1117.8000000000002</v>
      </c>
      <c r="BB136" s="1">
        <v>52847.1</v>
      </c>
      <c r="BC136" s="1">
        <v>931.50000000000011</v>
      </c>
      <c r="BD136" s="1">
        <v>689931</v>
      </c>
      <c r="BE136" s="1">
        <v>13662</v>
      </c>
      <c r="BF136" s="1">
        <v>9.9359999999999999</v>
      </c>
      <c r="BG136" s="1">
        <v>7.4519999999999991</v>
      </c>
      <c r="BH136" s="1">
        <f t="shared" si="44"/>
        <v>69437.5</v>
      </c>
      <c r="BI136" s="1">
        <f t="shared" si="45"/>
        <v>52096.273652878706</v>
      </c>
    </row>
    <row r="137" spans="1:61" x14ac:dyDescent="0.2">
      <c r="A137" t="s">
        <v>431</v>
      </c>
      <c r="B137" t="s">
        <v>38</v>
      </c>
      <c r="C137" t="s">
        <v>432</v>
      </c>
      <c r="D137" t="s">
        <v>433</v>
      </c>
      <c r="E137">
        <v>83857</v>
      </c>
      <c r="F137">
        <v>50228</v>
      </c>
      <c r="G137" t="s">
        <v>433</v>
      </c>
      <c r="H137" s="1">
        <v>62.9</v>
      </c>
      <c r="I137" s="1">
        <v>39.700000000000003</v>
      </c>
      <c r="J137" s="10">
        <v>1.93</v>
      </c>
      <c r="K137" s="10">
        <f t="shared" ca="1" si="38"/>
        <v>7.1343955595411152E-2</v>
      </c>
      <c r="L137" s="7">
        <v>0.18479999999999999</v>
      </c>
      <c r="M137" s="7">
        <f t="shared" ca="1" si="39"/>
        <v>6.3796877666544155E-3</v>
      </c>
      <c r="N137" s="7">
        <v>0.96664000000000005</v>
      </c>
      <c r="O137" s="8">
        <v>5.4112549999999997</v>
      </c>
      <c r="P137" s="8">
        <f t="shared" ca="1" si="40"/>
        <v>0.1868080340591646</v>
      </c>
      <c r="Q137" s="9">
        <v>7.5649999999999995E-2</v>
      </c>
      <c r="R137" s="9">
        <f t="shared" ca="1" si="41"/>
        <v>1.6276267999759649E-3</v>
      </c>
      <c r="S137" s="8">
        <f t="shared" si="42"/>
        <v>0.51152196913399706</v>
      </c>
      <c r="T137" s="11">
        <v>6.2799999999999995E-2</v>
      </c>
      <c r="U137" s="11">
        <f t="shared" ca="1" si="43"/>
        <v>1.8808338576280469E-3</v>
      </c>
      <c r="V137" s="6" t="e">
        <f ca="1">IF(agePb6U8(1/O137)&lt;1400,age7corr(1/O137,Q137,$W$2),agePb76(Q137))</f>
        <v>#NAME?</v>
      </c>
      <c r="W137" s="6" t="e">
        <f ca="1">IF(agePb6U8(1/O137)&lt;1400,ageer7corr(V137,1/O137,P137/O137*(1/O137),Q137,R137,$W$2,0.05),ageerPb76(Q137,R137))</f>
        <v>#NAME?</v>
      </c>
      <c r="X137" s="4" t="e">
        <f ca="1">agePb6U8(L137)/agePb7u5(J137)</f>
        <v>#NAME?</v>
      </c>
      <c r="Z137" s="1">
        <v>1.93</v>
      </c>
      <c r="AA137" s="1">
        <v>0.06</v>
      </c>
      <c r="AB137" s="1">
        <v>0.18479999999999999</v>
      </c>
      <c r="AC137" s="1">
        <v>5.1999999999999998E-3</v>
      </c>
      <c r="AD137" s="1">
        <v>0.96664000000000005</v>
      </c>
      <c r="AE137" s="1">
        <v>5.4112549999999997</v>
      </c>
      <c r="AF137" s="1">
        <v>0.15226480000000001</v>
      </c>
      <c r="AG137" s="1">
        <v>7.5649999999999995E-2</v>
      </c>
      <c r="AH137" s="1">
        <v>5.9999999999999995E-4</v>
      </c>
      <c r="AI137" s="1">
        <v>-3.5438999999999998E-2</v>
      </c>
      <c r="AJ137" s="1">
        <v>6.2799999999999995E-2</v>
      </c>
      <c r="AK137" s="1">
        <v>1.4E-3</v>
      </c>
      <c r="AL137" s="1">
        <v>4.9089999999999998</v>
      </c>
      <c r="AM137" s="1">
        <v>2.8000000000000001E-2</v>
      </c>
      <c r="AN137" s="1">
        <v>1091</v>
      </c>
      <c r="AO137" s="1">
        <v>21</v>
      </c>
      <c r="AP137" s="1">
        <v>1093</v>
      </c>
      <c r="AQ137" s="1">
        <v>28</v>
      </c>
      <c r="AR137" s="1">
        <v>1231</v>
      </c>
      <c r="AS137" s="1">
        <v>27</v>
      </c>
      <c r="AT137" s="1">
        <v>1086</v>
      </c>
      <c r="AU137" s="1">
        <v>16</v>
      </c>
      <c r="AV137" s="1">
        <v>13.729999999999999</v>
      </c>
      <c r="AW137" s="1">
        <v>0.31</v>
      </c>
      <c r="AX137" s="1">
        <v>3.14</v>
      </c>
      <c r="AY137" s="1">
        <v>0.12999999999999998</v>
      </c>
      <c r="AZ137" s="1">
        <v>15847.920000000002</v>
      </c>
      <c r="BA137" s="1">
        <v>391.23</v>
      </c>
      <c r="BB137" s="1">
        <v>7327.7999999999993</v>
      </c>
      <c r="BC137" s="1">
        <v>155.25</v>
      </c>
      <c r="BD137" s="1">
        <v>97062.3</v>
      </c>
      <c r="BE137" s="1">
        <v>2173.5</v>
      </c>
      <c r="BF137" s="1">
        <v>-11.799000000000001</v>
      </c>
      <c r="BG137" s="1">
        <v>6.2099999999999991</v>
      </c>
      <c r="BH137" s="1">
        <f t="shared" si="44"/>
        <v>-8226.3157894736833</v>
      </c>
      <c r="BI137" s="1">
        <f t="shared" si="45"/>
        <v>-4333.5568633777648</v>
      </c>
    </row>
    <row r="138" spans="1:61" x14ac:dyDescent="0.2">
      <c r="A138" t="s">
        <v>434</v>
      </c>
      <c r="B138" t="s">
        <v>38</v>
      </c>
      <c r="C138" t="s">
        <v>435</v>
      </c>
      <c r="D138" t="s">
        <v>436</v>
      </c>
      <c r="E138">
        <v>83946</v>
      </c>
      <c r="F138">
        <v>50378</v>
      </c>
      <c r="G138" t="s">
        <v>436</v>
      </c>
      <c r="H138" s="1">
        <v>127.1</v>
      </c>
      <c r="I138" s="1">
        <v>37.79</v>
      </c>
      <c r="J138" s="10">
        <v>2.109</v>
      </c>
      <c r="K138" s="10">
        <f t="shared" ca="1" si="38"/>
        <v>6.6182719799053283E-2</v>
      </c>
      <c r="L138" s="7">
        <v>0.1928</v>
      </c>
      <c r="M138" s="7">
        <f t="shared" ca="1" si="39"/>
        <v>6.3936480979171822E-3</v>
      </c>
      <c r="N138" s="7">
        <v>0.98480000000000001</v>
      </c>
      <c r="O138" s="8">
        <v>5.1867219999999996</v>
      </c>
      <c r="P138" s="8">
        <f t="shared" ca="1" si="40"/>
        <v>0.1720024380131677</v>
      </c>
      <c r="Q138" s="9">
        <v>7.8820000000000001E-2</v>
      </c>
      <c r="R138" s="9">
        <f t="shared" ca="1" si="41"/>
        <v>1.6215538720622267E-3</v>
      </c>
      <c r="S138" s="8">
        <f t="shared" si="42"/>
        <v>0.53171986903894752</v>
      </c>
      <c r="T138" s="11">
        <v>6.6600000000000006E-2</v>
      </c>
      <c r="U138" s="11">
        <f t="shared" ca="1" si="43"/>
        <v>2.2392463017720942E-3</v>
      </c>
      <c r="V138" s="6" t="e">
        <f ca="1">IF(agePb6U8(1/O138)&lt;1400,age7corr(1/O138,Q138,$W$2),agePb76(Q138))</f>
        <v>#NAME?</v>
      </c>
      <c r="W138" s="6" t="e">
        <f ca="1">IF(agePb6U8(1/O138)&lt;1400,ageer7corr(V138,1/O138,P138/O138*(1/O138),Q138,R138,$W$2,0.05),ageerPb76(Q138,R138))</f>
        <v>#NAME?</v>
      </c>
      <c r="X138" s="4" t="e">
        <f ca="1">agePb6U8(L138)/agePb7u5(J138)</f>
        <v>#NAME?</v>
      </c>
      <c r="Z138" s="1">
        <v>2.109</v>
      </c>
      <c r="AA138" s="1">
        <v>5.0999999999999997E-2</v>
      </c>
      <c r="AB138" s="1">
        <v>0.1928</v>
      </c>
      <c r="AC138" s="1">
        <v>5.1000000000000004E-3</v>
      </c>
      <c r="AD138" s="1">
        <v>0.98480000000000001</v>
      </c>
      <c r="AE138" s="1">
        <v>5.1867219999999996</v>
      </c>
      <c r="AF138" s="1">
        <v>0.13720060000000001</v>
      </c>
      <c r="AG138" s="1">
        <v>7.8820000000000001E-2</v>
      </c>
      <c r="AH138" s="1">
        <v>3.8000000000000002E-4</v>
      </c>
      <c r="AI138" s="1">
        <v>-0.20524000000000001</v>
      </c>
      <c r="AJ138" s="1">
        <v>6.6600000000000006E-2</v>
      </c>
      <c r="AK138" s="1">
        <v>1.8E-3</v>
      </c>
      <c r="AL138" s="1">
        <v>10.439</v>
      </c>
      <c r="AM138" s="1">
        <v>9.8000000000000004E-2</v>
      </c>
      <c r="AN138" s="1">
        <v>1151</v>
      </c>
      <c r="AO138" s="1">
        <v>17</v>
      </c>
      <c r="AP138" s="1">
        <v>1136</v>
      </c>
      <c r="AQ138" s="1">
        <v>28</v>
      </c>
      <c r="AR138" s="1">
        <v>1304</v>
      </c>
      <c r="AS138" s="1">
        <v>33</v>
      </c>
      <c r="AT138" s="1">
        <v>1167.4000000000001</v>
      </c>
      <c r="AU138" s="1">
        <v>9.6999999999999993</v>
      </c>
      <c r="AV138" s="1">
        <v>27.740000000000002</v>
      </c>
      <c r="AW138" s="1">
        <v>0.39</v>
      </c>
      <c r="AX138" s="1">
        <v>2.9870000000000001</v>
      </c>
      <c r="AY138" s="1">
        <v>6.8999999999999992E-2</v>
      </c>
      <c r="AZ138" s="1">
        <v>16102.530000000002</v>
      </c>
      <c r="BA138" s="1">
        <v>279.45000000000005</v>
      </c>
      <c r="BB138" s="1">
        <v>16419.239999999998</v>
      </c>
      <c r="BC138" s="1">
        <v>291.87</v>
      </c>
      <c r="BD138" s="1">
        <v>208593.9</v>
      </c>
      <c r="BE138" s="1">
        <v>3539.7000000000003</v>
      </c>
      <c r="BF138" s="1">
        <v>4.4712000000000005</v>
      </c>
      <c r="BG138" s="1">
        <v>4.8437999999999999</v>
      </c>
      <c r="BH138" s="1">
        <f t="shared" si="44"/>
        <v>46652.777777777774</v>
      </c>
      <c r="BI138" s="1">
        <f t="shared" si="45"/>
        <v>50546.709213324473</v>
      </c>
    </row>
    <row r="139" spans="1:61" x14ac:dyDescent="0.2">
      <c r="A139" t="s">
        <v>437</v>
      </c>
      <c r="B139" t="s">
        <v>38</v>
      </c>
      <c r="C139" t="s">
        <v>438</v>
      </c>
      <c r="D139" t="s">
        <v>439</v>
      </c>
      <c r="E139">
        <v>83850</v>
      </c>
      <c r="F139">
        <v>50485</v>
      </c>
      <c r="G139" t="s">
        <v>439</v>
      </c>
      <c r="H139" s="1">
        <v>152.6</v>
      </c>
      <c r="I139" s="1">
        <v>0.44</v>
      </c>
      <c r="J139" s="10">
        <v>1.702</v>
      </c>
      <c r="K139" s="10">
        <f t="shared" ca="1" si="38"/>
        <v>5.3289038272425218E-2</v>
      </c>
      <c r="L139" s="7">
        <v>0.16739999999999999</v>
      </c>
      <c r="M139" s="7">
        <f t="shared" ca="1" si="39"/>
        <v>5.2162346572983079E-3</v>
      </c>
      <c r="N139" s="7">
        <v>0.97945000000000004</v>
      </c>
      <c r="O139" s="8">
        <v>5.9737159999999996</v>
      </c>
      <c r="P139" s="8">
        <f t="shared" ca="1" si="40"/>
        <v>0.1861427805977777</v>
      </c>
      <c r="Q139" s="9">
        <v>7.3789999999999994E-2</v>
      </c>
      <c r="R139" s="9">
        <f t="shared" ca="1" si="41"/>
        <v>1.5550194982700376E-3</v>
      </c>
      <c r="S139" s="8">
        <f t="shared" si="42"/>
        <v>0.50970303089165703</v>
      </c>
      <c r="T139" s="11">
        <v>-5.0000000000000001E-3</v>
      </c>
      <c r="U139" s="11">
        <f t="shared" ca="1" si="43"/>
        <v>-6.2000080645108854E-2</v>
      </c>
      <c r="V139" s="6" t="e">
        <f ca="1">IF(agePb6U8(1/O139)&lt;1400,age7corr(1/O139,Q139,$W$2),agePb76(Q139))</f>
        <v>#NAME?</v>
      </c>
      <c r="W139" s="6" t="e">
        <f ca="1">IF(agePb6U8(1/O139)&lt;1400,ageer7corr(V139,1/O139,P139/O139*(1/O139),Q139,R139,$W$2,0.05),ageerPb76(Q139,R139))</f>
        <v>#NAME?</v>
      </c>
      <c r="X139" s="4" t="e">
        <f ca="1">agePb6U8(L139)/agePb7u5(J139)</f>
        <v>#NAME?</v>
      </c>
      <c r="Z139" s="1">
        <v>1.702</v>
      </c>
      <c r="AA139" s="1">
        <v>4.1000000000000002E-2</v>
      </c>
      <c r="AB139" s="1">
        <v>0.16739999999999999</v>
      </c>
      <c r="AC139" s="1">
        <v>4.0000000000000001E-3</v>
      </c>
      <c r="AD139" s="1">
        <v>0.97945000000000004</v>
      </c>
      <c r="AE139" s="1">
        <v>5.9737159999999996</v>
      </c>
      <c r="AF139" s="1">
        <v>0.14274110000000001</v>
      </c>
      <c r="AG139" s="1">
        <v>7.3789999999999994E-2</v>
      </c>
      <c r="AH139" s="1">
        <v>4.8999999999999998E-4</v>
      </c>
      <c r="AI139" s="1">
        <v>-5.7949000000000001E-2</v>
      </c>
      <c r="AJ139" s="1">
        <v>-5.0000000000000001E-3</v>
      </c>
      <c r="AK139" s="1">
        <v>6.2E-2</v>
      </c>
      <c r="AL139" s="1">
        <v>975</v>
      </c>
      <c r="AM139" s="1">
        <v>53</v>
      </c>
      <c r="AN139" s="1">
        <v>1009</v>
      </c>
      <c r="AO139" s="1">
        <v>15</v>
      </c>
      <c r="AP139" s="1">
        <v>998</v>
      </c>
      <c r="AQ139" s="1">
        <v>22</v>
      </c>
      <c r="AR139" s="1">
        <v>250</v>
      </c>
      <c r="AS139" s="1">
        <v>920</v>
      </c>
      <c r="AT139" s="1">
        <v>1038</v>
      </c>
      <c r="AU139" s="1">
        <v>13</v>
      </c>
      <c r="AV139" s="1">
        <v>33.31</v>
      </c>
      <c r="AW139" s="1">
        <v>0.45</v>
      </c>
      <c r="AX139" s="1">
        <v>3.4999999999999996E-2</v>
      </c>
      <c r="AY139" s="1">
        <v>2.0999999999999998E-2</v>
      </c>
      <c r="AZ139" s="1">
        <v>179.46899999999999</v>
      </c>
      <c r="BA139" s="1">
        <v>9.3149999999999995</v>
      </c>
      <c r="BB139" s="1">
        <v>15990.75</v>
      </c>
      <c r="BC139" s="1">
        <v>267.02999999999997</v>
      </c>
      <c r="BD139" s="1">
        <v>217722.59999999998</v>
      </c>
      <c r="BE139" s="1">
        <v>3353.4</v>
      </c>
      <c r="BF139" s="1">
        <v>2.484</v>
      </c>
      <c r="BG139" s="1">
        <v>4.0985999999999994</v>
      </c>
      <c r="BH139" s="1">
        <f t="shared" si="44"/>
        <v>87649.999999999985</v>
      </c>
      <c r="BI139" s="1">
        <f t="shared" si="45"/>
        <v>144628.80074953946</v>
      </c>
    </row>
    <row r="140" spans="1:61" x14ac:dyDescent="0.2">
      <c r="A140" t="s">
        <v>440</v>
      </c>
      <c r="B140" t="s">
        <v>38</v>
      </c>
      <c r="C140" t="s">
        <v>441</v>
      </c>
      <c r="D140" t="s">
        <v>442</v>
      </c>
      <c r="E140">
        <v>83848</v>
      </c>
      <c r="F140">
        <v>50687</v>
      </c>
      <c r="G140" t="s">
        <v>442</v>
      </c>
      <c r="H140" s="1">
        <v>340.3</v>
      </c>
      <c r="I140" s="1">
        <v>83.4</v>
      </c>
      <c r="J140" s="10">
        <v>2.3969999999999998</v>
      </c>
      <c r="K140" s="10">
        <f t="shared" ca="1" si="38"/>
        <v>7.1464981634364114E-2</v>
      </c>
      <c r="L140" s="7">
        <v>0.2074</v>
      </c>
      <c r="M140" s="7">
        <f t="shared" ca="1" si="39"/>
        <v>6.046974780830495E-3</v>
      </c>
      <c r="N140" s="7">
        <v>0.99278</v>
      </c>
      <c r="O140" s="8">
        <v>4.8216010000000002</v>
      </c>
      <c r="P140" s="8">
        <f t="shared" ca="1" si="40"/>
        <v>0.14057909116056486</v>
      </c>
      <c r="Q140" s="9">
        <v>8.3750000000000005E-2</v>
      </c>
      <c r="R140" s="9">
        <f t="shared" ca="1" si="41"/>
        <v>1.692106675124237E-3</v>
      </c>
      <c r="S140" s="8">
        <f t="shared" si="42"/>
        <v>0.5402545620483864</v>
      </c>
      <c r="T140" s="11">
        <v>6.8099999999999994E-2</v>
      </c>
      <c r="U140" s="11">
        <f t="shared" ca="1" si="43"/>
        <v>2.1012006091756207E-3</v>
      </c>
      <c r="V140" s="6" t="e">
        <f ca="1">IF(agePb6U8(1/O140)&lt;1400,age7corr(1/O140,Q140,$W$2),agePb76(Q140))</f>
        <v>#NAME?</v>
      </c>
      <c r="W140" s="6" t="e">
        <f ca="1">IF(agePb6U8(1/O140)&lt;1400,ageer7corr(V140,1/O140,P140/O140*(1/O140),Q140,R140,$W$2,0.05),ageerPb76(Q140,R140))</f>
        <v>#NAME?</v>
      </c>
      <c r="X140" s="4" t="e">
        <f ca="1">agePb6U8(L140)/agePb7u5(J140)</f>
        <v>#NAME?</v>
      </c>
      <c r="Z140" s="1">
        <v>2.3969999999999998</v>
      </c>
      <c r="AA140" s="1">
        <v>5.2999999999999999E-2</v>
      </c>
      <c r="AB140" s="1">
        <v>0.2074</v>
      </c>
      <c r="AC140" s="1">
        <v>4.4000000000000003E-3</v>
      </c>
      <c r="AD140" s="1">
        <v>0.99278</v>
      </c>
      <c r="AE140" s="1">
        <v>4.8216010000000002</v>
      </c>
      <c r="AF140" s="1">
        <v>0.10229050000000001</v>
      </c>
      <c r="AG140" s="1">
        <v>8.3750000000000005E-2</v>
      </c>
      <c r="AH140" s="1">
        <v>2.4000000000000001E-4</v>
      </c>
      <c r="AI140" s="1">
        <v>-0.10077</v>
      </c>
      <c r="AJ140" s="1">
        <v>6.8099999999999994E-2</v>
      </c>
      <c r="AK140" s="1">
        <v>1.6000000000000001E-3</v>
      </c>
      <c r="AL140" s="1">
        <v>13.13</v>
      </c>
      <c r="AM140" s="1">
        <v>0.17</v>
      </c>
      <c r="AN140" s="1">
        <v>1241</v>
      </c>
      <c r="AO140" s="1">
        <v>16</v>
      </c>
      <c r="AP140" s="1">
        <v>1215</v>
      </c>
      <c r="AQ140" s="1">
        <v>24</v>
      </c>
      <c r="AR140" s="1">
        <v>1331</v>
      </c>
      <c r="AS140" s="1">
        <v>30</v>
      </c>
      <c r="AT140" s="1">
        <v>1286.7</v>
      </c>
      <c r="AU140" s="1">
        <v>5.7</v>
      </c>
      <c r="AV140" s="1">
        <v>74.300000000000011</v>
      </c>
      <c r="AW140" s="1">
        <v>1.8</v>
      </c>
      <c r="AX140" s="1">
        <v>6.5900000000000007</v>
      </c>
      <c r="AY140" s="1">
        <v>0.42000000000000004</v>
      </c>
      <c r="AZ140" s="1">
        <v>36514.799999999996</v>
      </c>
      <c r="BA140" s="1">
        <v>1490.4</v>
      </c>
      <c r="BB140" s="1">
        <v>50176.800000000003</v>
      </c>
      <c r="BC140" s="1">
        <v>1366.1999999999998</v>
      </c>
      <c r="BD140" s="1">
        <v>601128</v>
      </c>
      <c r="BE140" s="1">
        <v>16767</v>
      </c>
      <c r="BF140" s="1">
        <v>6.2099999999999991</v>
      </c>
      <c r="BG140" s="1">
        <v>8.0729999999999986</v>
      </c>
      <c r="BH140" s="1">
        <f t="shared" si="44"/>
        <v>96800.000000000015</v>
      </c>
      <c r="BI140" s="1">
        <f t="shared" si="45"/>
        <v>125868.962020031</v>
      </c>
    </row>
    <row r="141" spans="1:61" x14ac:dyDescent="0.2">
      <c r="A141" t="s">
        <v>443</v>
      </c>
      <c r="B141" t="s">
        <v>38</v>
      </c>
      <c r="C141" t="s">
        <v>444</v>
      </c>
      <c r="D141" t="s">
        <v>445</v>
      </c>
      <c r="E141">
        <v>83800</v>
      </c>
      <c r="F141">
        <v>50818</v>
      </c>
      <c r="G141" t="s">
        <v>445</v>
      </c>
      <c r="H141" s="1">
        <v>146.19999999999999</v>
      </c>
      <c r="I141" s="1">
        <v>28.8</v>
      </c>
      <c r="J141" s="10">
        <v>2.1589999999999998</v>
      </c>
      <c r="K141" s="10">
        <f t="shared" ca="1" si="38"/>
        <v>6.8363092381781565E-2</v>
      </c>
      <c r="L141" s="7">
        <v>0.1973</v>
      </c>
      <c r="M141" s="7">
        <f t="shared" ca="1" si="39"/>
        <v>6.1368490286139521E-3</v>
      </c>
      <c r="N141" s="7">
        <v>0.99373999999999996</v>
      </c>
      <c r="O141" s="8">
        <v>5.0684240000000003</v>
      </c>
      <c r="P141" s="8">
        <f t="shared" ca="1" si="40"/>
        <v>0.15764900644761576</v>
      </c>
      <c r="Q141" s="9">
        <v>7.9200000000000007E-2</v>
      </c>
      <c r="R141" s="9">
        <f t="shared" ca="1" si="41"/>
        <v>1.6180098887213267E-3</v>
      </c>
      <c r="S141" s="8">
        <f t="shared" si="42"/>
        <v>0.52967890369489468</v>
      </c>
      <c r="T141" s="11">
        <v>6.7000000000000004E-2</v>
      </c>
      <c r="U141" s="11">
        <f t="shared" ca="1" si="43"/>
        <v>2.49110417285187E-3</v>
      </c>
      <c r="V141" s="6" t="e">
        <f ca="1">IF(agePb6U8(1/O141)&lt;1400,age7corr(1/O141,Q141,$W$2),agePb76(Q141))</f>
        <v>#NAME?</v>
      </c>
      <c r="W141" s="6" t="e">
        <f ca="1">IF(agePb6U8(1/O141)&lt;1400,ageer7corr(V141,1/O141,P141/O141*(1/O141),Q141,R141,$W$2,0.05),ageerPb76(Q141,R141))</f>
        <v>#NAME?</v>
      </c>
      <c r="X141" s="4" t="e">
        <f ca="1">agePb6U8(L141)/agePb7u5(J141)</f>
        <v>#NAME?</v>
      </c>
      <c r="Z141" s="1">
        <v>2.1589999999999998</v>
      </c>
      <c r="AA141" s="1">
        <v>5.2999999999999999E-2</v>
      </c>
      <c r="AB141" s="1">
        <v>0.1973</v>
      </c>
      <c r="AC141" s="1">
        <v>4.7000000000000002E-3</v>
      </c>
      <c r="AD141" s="1">
        <v>0.99373999999999996</v>
      </c>
      <c r="AE141" s="1">
        <v>5.0684240000000003</v>
      </c>
      <c r="AF141" s="1">
        <v>0.1207379</v>
      </c>
      <c r="AG141" s="1">
        <v>7.9200000000000007E-2</v>
      </c>
      <c r="AH141" s="1">
        <v>3.3E-4</v>
      </c>
      <c r="AI141" s="1">
        <v>-0.27310000000000001</v>
      </c>
      <c r="AJ141" s="1">
        <v>6.7000000000000004E-2</v>
      </c>
      <c r="AK141" s="1">
        <v>2.0999999999999999E-3</v>
      </c>
      <c r="AL141" s="1">
        <v>15.76</v>
      </c>
      <c r="AM141" s="1">
        <v>0.18</v>
      </c>
      <c r="AN141" s="1">
        <v>1167</v>
      </c>
      <c r="AO141" s="1">
        <v>17</v>
      </c>
      <c r="AP141" s="1">
        <v>1161</v>
      </c>
      <c r="AQ141" s="1">
        <v>25</v>
      </c>
      <c r="AR141" s="1">
        <v>1310</v>
      </c>
      <c r="AS141" s="1">
        <v>40</v>
      </c>
      <c r="AT141" s="1">
        <v>1177.0999999999999</v>
      </c>
      <c r="AU141" s="1">
        <v>8.1999999999999993</v>
      </c>
      <c r="AV141" s="1">
        <v>31.91</v>
      </c>
      <c r="AW141" s="1">
        <v>0.65</v>
      </c>
      <c r="AX141" s="1">
        <v>2.2799999999999998</v>
      </c>
      <c r="AY141" s="1">
        <v>0.11</v>
      </c>
      <c r="AZ141" s="1">
        <v>12246.119999999999</v>
      </c>
      <c r="BA141" s="1">
        <v>372.6</v>
      </c>
      <c r="BB141" s="1">
        <v>19021.23</v>
      </c>
      <c r="BC141" s="1">
        <v>471.96</v>
      </c>
      <c r="BD141" s="1">
        <v>240823.80000000002</v>
      </c>
      <c r="BE141" s="1">
        <v>5775.3</v>
      </c>
      <c r="BF141" s="1">
        <v>12.419999999999998</v>
      </c>
      <c r="BG141" s="1">
        <v>8.6940000000000008</v>
      </c>
      <c r="BH141" s="1">
        <f t="shared" si="44"/>
        <v>19390.000000000004</v>
      </c>
      <c r="BI141" s="1">
        <f t="shared" si="45"/>
        <v>13580.962926096227</v>
      </c>
    </row>
    <row r="142" spans="1:61" x14ac:dyDescent="0.2">
      <c r="A142" t="s">
        <v>452</v>
      </c>
      <c r="B142" t="s">
        <v>38</v>
      </c>
      <c r="C142" t="s">
        <v>453</v>
      </c>
      <c r="D142" t="s">
        <v>454</v>
      </c>
      <c r="E142">
        <v>83866</v>
      </c>
      <c r="F142">
        <v>51024</v>
      </c>
      <c r="G142" t="s">
        <v>454</v>
      </c>
      <c r="H142" s="1">
        <v>78.3</v>
      </c>
      <c r="I142" s="1">
        <v>26.18</v>
      </c>
      <c r="J142" s="10">
        <v>2.121</v>
      </c>
      <c r="K142" s="10">
        <f t="shared" ca="1" si="38"/>
        <v>8.703709783764621E-2</v>
      </c>
      <c r="L142" s="7">
        <v>0.19470000000000001</v>
      </c>
      <c r="M142" s="7">
        <f t="shared" ca="1" si="39"/>
        <v>8.0101957529139078E-3</v>
      </c>
      <c r="N142" s="7">
        <v>0.97958999999999996</v>
      </c>
      <c r="O142" s="8">
        <v>5.136107</v>
      </c>
      <c r="P142" s="8">
        <f t="shared" ca="1" si="40"/>
        <v>0.21130574899424673</v>
      </c>
      <c r="Q142" s="9">
        <v>7.9049999999999995E-2</v>
      </c>
      <c r="R142" s="9">
        <f t="shared" ca="1" si="41"/>
        <v>1.6643199812536049E-3</v>
      </c>
      <c r="S142" s="8">
        <f t="shared" si="42"/>
        <v>0.43834625448990577</v>
      </c>
      <c r="T142" s="11">
        <v>6.4199999999999993E-2</v>
      </c>
      <c r="U142" s="11">
        <f t="shared" ca="1" si="43"/>
        <v>2.4614337285411522E-3</v>
      </c>
      <c r="V142" s="6" t="e">
        <f ca="1">IF(agePb6U8(1/O142)&lt;1400,age7corr(1/O142,Q142,$W$2),agePb76(Q142))</f>
        <v>#NAME?</v>
      </c>
      <c r="W142" s="6" t="e">
        <f ca="1">IF(agePb6U8(1/O142)&lt;1400,ageer7corr(V142,1/O142,P142/O142*(1/O142),Q142,R142,$W$2,0.05),ageerPb76(Q142,R142))</f>
        <v>#NAME?</v>
      </c>
      <c r="X142" s="4" t="e">
        <f ca="1">agePb6U8(L142)/agePb7u5(J142)</f>
        <v>#NAME?</v>
      </c>
      <c r="Z142" s="1">
        <v>2.121</v>
      </c>
      <c r="AA142" s="1">
        <v>7.5999999999999998E-2</v>
      </c>
      <c r="AB142" s="1">
        <v>0.19470000000000001</v>
      </c>
      <c r="AC142" s="1">
        <v>7.0000000000000001E-3</v>
      </c>
      <c r="AD142" s="1">
        <v>0.97958999999999996</v>
      </c>
      <c r="AE142" s="1">
        <v>5.136107</v>
      </c>
      <c r="AF142" s="1">
        <v>0.18465719999999999</v>
      </c>
      <c r="AG142" s="1">
        <v>7.9049999999999995E-2</v>
      </c>
      <c r="AH142" s="1">
        <v>5.1999999999999995E-4</v>
      </c>
      <c r="AI142" s="1">
        <v>0.11623</v>
      </c>
      <c r="AJ142" s="1">
        <v>6.4199999999999993E-2</v>
      </c>
      <c r="AK142" s="1">
        <v>2.0999999999999999E-3</v>
      </c>
      <c r="AL142" s="1">
        <v>9.34</v>
      </c>
      <c r="AM142" s="1">
        <v>0.13</v>
      </c>
      <c r="AN142" s="1">
        <v>1154</v>
      </c>
      <c r="AO142" s="1">
        <v>25</v>
      </c>
      <c r="AP142" s="1">
        <v>1146</v>
      </c>
      <c r="AQ142" s="1">
        <v>38</v>
      </c>
      <c r="AR142" s="1">
        <v>1257</v>
      </c>
      <c r="AS142" s="1">
        <v>40</v>
      </c>
      <c r="AT142" s="1">
        <v>1173</v>
      </c>
      <c r="AU142" s="1">
        <v>13</v>
      </c>
      <c r="AV142" s="1">
        <v>17.069999999999997</v>
      </c>
      <c r="AW142" s="1">
        <v>0.36000000000000004</v>
      </c>
      <c r="AX142" s="1">
        <v>2.069</v>
      </c>
      <c r="AY142" s="1">
        <v>0.04</v>
      </c>
      <c r="AZ142" s="1">
        <v>10904.76</v>
      </c>
      <c r="BA142" s="1">
        <v>310.5</v>
      </c>
      <c r="BB142" s="1">
        <v>10035.359999999999</v>
      </c>
      <c r="BC142" s="1">
        <v>211.14000000000001</v>
      </c>
      <c r="BD142" s="1">
        <v>126808.19999999998</v>
      </c>
      <c r="BE142" s="1">
        <v>2359.7999999999997</v>
      </c>
      <c r="BF142" s="1">
        <v>6.5205000000000002</v>
      </c>
      <c r="BG142" s="1">
        <v>5.7131999999999996</v>
      </c>
      <c r="BH142" s="1">
        <f t="shared" si="44"/>
        <v>19447.619047619046</v>
      </c>
      <c r="BI142" s="1">
        <f t="shared" si="45"/>
        <v>17043.661366521927</v>
      </c>
    </row>
    <row r="143" spans="1:61" x14ac:dyDescent="0.2">
      <c r="A143" t="s">
        <v>455</v>
      </c>
      <c r="B143" t="s">
        <v>38</v>
      </c>
      <c r="C143" t="s">
        <v>456</v>
      </c>
      <c r="D143" t="s">
        <v>457</v>
      </c>
      <c r="E143">
        <v>83900</v>
      </c>
      <c r="F143">
        <v>51514</v>
      </c>
      <c r="G143" t="s">
        <v>457</v>
      </c>
      <c r="H143" s="1">
        <v>342.8</v>
      </c>
      <c r="I143" s="1">
        <v>161.1</v>
      </c>
      <c r="J143" s="10">
        <v>2.1560000000000001</v>
      </c>
      <c r="K143" s="10">
        <f t="shared" ca="1" si="38"/>
        <v>5.7474641364692311E-2</v>
      </c>
      <c r="L143" s="7">
        <v>0.19339999999999999</v>
      </c>
      <c r="M143" s="7">
        <f t="shared" ca="1" si="39"/>
        <v>5.2164570351916056E-3</v>
      </c>
      <c r="N143" s="7">
        <v>0.99111000000000005</v>
      </c>
      <c r="O143" s="8">
        <v>5.1706310000000002</v>
      </c>
      <c r="P143" s="8">
        <f t="shared" ca="1" si="40"/>
        <v>0.13946418790608867</v>
      </c>
      <c r="Q143" s="9">
        <v>8.1019999999999995E-2</v>
      </c>
      <c r="R143" s="9">
        <f t="shared" ca="1" si="41"/>
        <v>1.6516949355132138E-3</v>
      </c>
      <c r="S143" s="8">
        <f t="shared" si="42"/>
        <v>0.54618841479367386</v>
      </c>
      <c r="T143" s="11">
        <v>6.9500000000000006E-2</v>
      </c>
      <c r="U143" s="11">
        <f t="shared" ca="1" si="43"/>
        <v>1.772596964907703E-3</v>
      </c>
      <c r="V143" s="6" t="e">
        <f ca="1">IF(agePb6U8(1/O143)&lt;1400,age7corr(1/O143,Q143,$W$2),agePb76(Q143))</f>
        <v>#NAME?</v>
      </c>
      <c r="W143" s="6" t="e">
        <f ca="1">IF(agePb6U8(1/O143)&lt;1400,ageer7corr(V143,1/O143,P143/O143*(1/O143),Q143,R143,$W$2,0.05),ageerPb76(Q143,R143))</f>
        <v>#NAME?</v>
      </c>
      <c r="X143" s="4" t="e">
        <f ca="1">agePb6U8(L143)/agePb7u5(J143)</f>
        <v>#NAME?</v>
      </c>
      <c r="Z143" s="1">
        <v>2.1560000000000001</v>
      </c>
      <c r="AA143" s="1">
        <v>3.7999999999999999E-2</v>
      </c>
      <c r="AB143" s="1">
        <v>0.19339999999999999</v>
      </c>
      <c r="AC143" s="1">
        <v>3.5000000000000001E-3</v>
      </c>
      <c r="AD143" s="1">
        <v>0.99111000000000005</v>
      </c>
      <c r="AE143" s="1">
        <v>5.1706310000000002</v>
      </c>
      <c r="AF143" s="1">
        <v>9.3573980000000001E-2</v>
      </c>
      <c r="AG143" s="1">
        <v>8.1019999999999995E-2</v>
      </c>
      <c r="AH143" s="1">
        <v>3.2000000000000003E-4</v>
      </c>
      <c r="AI143" s="1">
        <v>-0.23124</v>
      </c>
      <c r="AJ143" s="1">
        <v>6.9500000000000006E-2</v>
      </c>
      <c r="AK143" s="1">
        <v>1.1000000000000001E-3</v>
      </c>
      <c r="AL143" s="1">
        <v>6.2830000000000004</v>
      </c>
      <c r="AM143" s="1">
        <v>3.5999999999999997E-2</v>
      </c>
      <c r="AN143" s="1">
        <v>1167</v>
      </c>
      <c r="AO143" s="1">
        <v>12</v>
      </c>
      <c r="AP143" s="1">
        <v>1140</v>
      </c>
      <c r="AQ143" s="1">
        <v>19</v>
      </c>
      <c r="AR143" s="1">
        <v>1357</v>
      </c>
      <c r="AS143" s="1">
        <v>20</v>
      </c>
      <c r="AT143" s="1">
        <v>1221.8</v>
      </c>
      <c r="AU143" s="1">
        <v>7.7</v>
      </c>
      <c r="AV143" s="1">
        <v>74.800000000000011</v>
      </c>
      <c r="AW143" s="1">
        <v>1.2</v>
      </c>
      <c r="AX143" s="1">
        <v>12.73</v>
      </c>
      <c r="AY143" s="1">
        <v>0.36000000000000004</v>
      </c>
      <c r="AZ143" s="1">
        <v>72905.399999999994</v>
      </c>
      <c r="BA143" s="1">
        <v>1304.0999999999999</v>
      </c>
      <c r="BB143" s="1">
        <v>45954</v>
      </c>
      <c r="BC143" s="1">
        <v>807.3</v>
      </c>
      <c r="BD143" s="1">
        <v>572562</v>
      </c>
      <c r="BE143" s="1">
        <v>10557</v>
      </c>
      <c r="BF143" s="1">
        <v>8.1971999999999987</v>
      </c>
      <c r="BG143" s="1">
        <v>5.3406000000000002</v>
      </c>
      <c r="BH143" s="1">
        <f t="shared" si="44"/>
        <v>69848.484848484863</v>
      </c>
      <c r="BI143" s="1">
        <f t="shared" si="45"/>
        <v>45525.566322152677</v>
      </c>
    </row>
    <row r="144" spans="1:61" s="23" customFormat="1" x14ac:dyDescent="0.2">
      <c r="A144" s="23" t="s">
        <v>392</v>
      </c>
      <c r="B144" s="23" t="s">
        <v>38</v>
      </c>
      <c r="C144" s="23" t="s">
        <v>393</v>
      </c>
      <c r="D144" s="23" t="s">
        <v>394</v>
      </c>
      <c r="E144" s="23">
        <v>83758</v>
      </c>
      <c r="F144" s="23">
        <v>47975</v>
      </c>
      <c r="G144" s="23" t="s">
        <v>394</v>
      </c>
      <c r="H144" s="24">
        <v>447</v>
      </c>
      <c r="I144" s="24">
        <v>154</v>
      </c>
      <c r="J144" s="25">
        <v>2.1240000000000001</v>
      </c>
      <c r="K144" s="25">
        <f t="shared" ca="1" si="38"/>
        <v>8.1028084020295099E-2</v>
      </c>
      <c r="L144" s="26">
        <v>0.1731</v>
      </c>
      <c r="M144" s="26">
        <f t="shared" ca="1" si="39"/>
        <v>4.9945414203908653E-3</v>
      </c>
      <c r="N144" s="26">
        <v>0.68076000000000003</v>
      </c>
      <c r="O144" s="26">
        <v>5.7770080000000004</v>
      </c>
      <c r="P144" s="26">
        <f t="shared" ca="1" si="40"/>
        <v>0.16668688551087515</v>
      </c>
      <c r="Q144" s="25">
        <v>8.8900000000000007E-2</v>
      </c>
      <c r="R144" s="25">
        <f t="shared" ca="1" si="41"/>
        <v>2.326216670905787E-3</v>
      </c>
      <c r="S144" s="26">
        <f t="shared" si="42"/>
        <v>0.59789036516628247</v>
      </c>
      <c r="T144" s="25">
        <v>7.5399999999999995E-2</v>
      </c>
      <c r="U144" s="25">
        <f t="shared" ca="1" si="43"/>
        <v>3.0056719714566318E-3</v>
      </c>
      <c r="V144" s="24" t="e">
        <f ca="1">IF(agePb6U8(1/O144)&lt;1400,age7corr(1/O144,Q144,$W$2),agePb76(Q144))</f>
        <v>#NAME?</v>
      </c>
      <c r="W144" s="24" t="e">
        <f ca="1">IF(agePb6U8(1/O144)&lt;1400,ageer7corr(V144,1/O144,P144/O144*(1/O144),Q144,R144,$W$2,0.05),ageerPb76(Q144,R144))</f>
        <v>#NAME?</v>
      </c>
      <c r="X144" s="26" t="e">
        <f ca="1">agePb6U8(L144)/agePb7u5(J144)</f>
        <v>#NAME?</v>
      </c>
      <c r="Y144" s="24"/>
      <c r="Z144" s="24">
        <v>2.1240000000000001</v>
      </c>
      <c r="AA144" s="24">
        <v>6.9000000000000006E-2</v>
      </c>
      <c r="AB144" s="24">
        <v>0.1731</v>
      </c>
      <c r="AC144" s="24">
        <v>3.5999999999999999E-3</v>
      </c>
      <c r="AD144" s="24">
        <v>0.68076000000000003</v>
      </c>
      <c r="AE144" s="24">
        <v>5.7770080000000004</v>
      </c>
      <c r="AF144" s="24">
        <v>0.12014569999999999</v>
      </c>
      <c r="AG144" s="24">
        <v>8.8900000000000007E-2</v>
      </c>
      <c r="AH144" s="24">
        <v>1.5E-3</v>
      </c>
      <c r="AI144" s="24">
        <v>-6.9258E-2</v>
      </c>
      <c r="AJ144" s="24">
        <v>7.5399999999999995E-2</v>
      </c>
      <c r="AK144" s="24">
        <v>2.5999999999999999E-3</v>
      </c>
      <c r="AL144" s="24">
        <v>7.03</v>
      </c>
      <c r="AM144" s="24">
        <v>0.17</v>
      </c>
      <c r="AN144" s="24">
        <v>1155</v>
      </c>
      <c r="AO144" s="24">
        <v>22</v>
      </c>
      <c r="AP144" s="24">
        <v>1029</v>
      </c>
      <c r="AQ144" s="24">
        <v>20</v>
      </c>
      <c r="AR144" s="24">
        <v>1468</v>
      </c>
      <c r="AS144" s="24">
        <v>49</v>
      </c>
      <c r="AT144" s="24">
        <v>1400</v>
      </c>
      <c r="AU144" s="24">
        <v>32</v>
      </c>
      <c r="AV144" s="24">
        <v>97.699999999999989</v>
      </c>
      <c r="AW144" s="24">
        <v>3.3</v>
      </c>
      <c r="AX144" s="24">
        <v>12.18</v>
      </c>
      <c r="AY144" s="24">
        <v>0.38</v>
      </c>
      <c r="AZ144" s="24">
        <v>75637.8</v>
      </c>
      <c r="BA144" s="24">
        <v>1800.9</v>
      </c>
      <c r="BB144" s="24">
        <v>58125.599999999999</v>
      </c>
      <c r="BC144" s="24">
        <v>1304.0999999999999</v>
      </c>
      <c r="BD144" s="24">
        <v>649566</v>
      </c>
      <c r="BE144" s="24">
        <v>22356.000000000004</v>
      </c>
      <c r="BF144" s="24">
        <v>615.41100000000006</v>
      </c>
      <c r="BG144" s="24">
        <v>55.89</v>
      </c>
      <c r="BH144" s="24">
        <f t="shared" si="44"/>
        <v>1055.499495459132</v>
      </c>
      <c r="BI144" s="24">
        <f t="shared" si="45"/>
        <v>102.51019631486567</v>
      </c>
    </row>
    <row r="145" spans="1:61" x14ac:dyDescent="0.2">
      <c r="A145" t="s">
        <v>458</v>
      </c>
      <c r="B145" t="s">
        <v>38</v>
      </c>
      <c r="C145" t="s">
        <v>459</v>
      </c>
      <c r="D145" t="s">
        <v>460</v>
      </c>
      <c r="E145">
        <v>84020</v>
      </c>
      <c r="F145">
        <v>51660</v>
      </c>
      <c r="G145" t="s">
        <v>460</v>
      </c>
      <c r="H145" s="1">
        <v>53.6</v>
      </c>
      <c r="I145" s="1">
        <v>20.91</v>
      </c>
      <c r="J145" s="10">
        <v>2.081</v>
      </c>
      <c r="K145" s="10">
        <f t="shared" ca="1" si="38"/>
        <v>8.6650010963646149E-2</v>
      </c>
      <c r="L145" s="7">
        <v>0.19259999999999999</v>
      </c>
      <c r="M145" s="7">
        <f t="shared" ca="1" si="39"/>
        <v>7.2991714598302174E-3</v>
      </c>
      <c r="N145" s="7">
        <v>0.96862999999999999</v>
      </c>
      <c r="O145" s="8">
        <v>5.1921080000000002</v>
      </c>
      <c r="P145" s="8">
        <f t="shared" ca="1" si="40"/>
        <v>0.19677094972001224</v>
      </c>
      <c r="Q145" s="9">
        <v>7.8119999999999995E-2</v>
      </c>
      <c r="R145" s="9">
        <f t="shared" ca="1" si="41"/>
        <v>1.7161566828235702E-3</v>
      </c>
      <c r="S145" s="8">
        <f t="shared" si="42"/>
        <v>0.45759497379486941</v>
      </c>
      <c r="T145" s="11">
        <v>7.0000000000000007E-2</v>
      </c>
      <c r="U145" s="11">
        <f t="shared" ca="1" si="43"/>
        <v>2.7784887978899607E-3</v>
      </c>
      <c r="V145" s="6" t="e">
        <f ca="1">IF(agePb6U8(1/O145)&lt;1400,age7corr(1/O145,Q145,$W$2),agePb76(Q145))</f>
        <v>#NAME?</v>
      </c>
      <c r="W145" s="6" t="e">
        <f ca="1">IF(agePb6U8(1/O145)&lt;1400,ageer7corr(V145,1/O145,P145/O145*(1/O145),Q145,R145,$W$2,0.05),ageerPb76(Q145,R145))</f>
        <v>#NAME?</v>
      </c>
      <c r="X145" s="4" t="e">
        <f ca="1">agePb6U8(L145)/agePb7u5(J145)</f>
        <v>#NAME?</v>
      </c>
      <c r="Z145" s="1">
        <v>2.081</v>
      </c>
      <c r="AA145" s="1">
        <v>7.5999999999999998E-2</v>
      </c>
      <c r="AB145" s="1">
        <v>0.19259999999999999</v>
      </c>
      <c r="AC145" s="1">
        <v>6.1999999999999998E-3</v>
      </c>
      <c r="AD145" s="1">
        <v>0.96862999999999999</v>
      </c>
      <c r="AE145" s="1">
        <v>5.1921080000000002</v>
      </c>
      <c r="AF145" s="1">
        <v>0.1671395</v>
      </c>
      <c r="AG145" s="1">
        <v>7.8119999999999995E-2</v>
      </c>
      <c r="AH145" s="1">
        <v>7.1000000000000002E-4</v>
      </c>
      <c r="AI145" s="1">
        <v>-0.20313999999999999</v>
      </c>
      <c r="AJ145" s="1">
        <v>7.0000000000000007E-2</v>
      </c>
      <c r="AK145" s="1">
        <v>2.3999999999999998E-3</v>
      </c>
      <c r="AL145" s="1">
        <v>7.4370000000000003</v>
      </c>
      <c r="AM145" s="1">
        <v>3.5999999999999997E-2</v>
      </c>
      <c r="AN145" s="1">
        <v>1141</v>
      </c>
      <c r="AO145" s="1">
        <v>25</v>
      </c>
      <c r="AP145" s="1">
        <v>1135</v>
      </c>
      <c r="AQ145" s="1">
        <v>34</v>
      </c>
      <c r="AR145" s="1">
        <v>1367</v>
      </c>
      <c r="AS145" s="1">
        <v>45</v>
      </c>
      <c r="AT145" s="1">
        <v>1149</v>
      </c>
      <c r="AU145" s="1">
        <v>18</v>
      </c>
      <c r="AV145" s="1">
        <v>11.690000000000001</v>
      </c>
      <c r="AW145" s="1">
        <v>0.25999999999999995</v>
      </c>
      <c r="AX145" s="1">
        <v>1.653</v>
      </c>
      <c r="AY145" s="1">
        <v>6.8000000000000005E-2</v>
      </c>
      <c r="AZ145" s="1">
        <v>9519.9300000000021</v>
      </c>
      <c r="BA145" s="1">
        <v>217.35</v>
      </c>
      <c r="BB145" s="1">
        <v>6899.31</v>
      </c>
      <c r="BC145" s="1">
        <v>173.88</v>
      </c>
      <c r="BD145" s="1">
        <v>88368.3</v>
      </c>
      <c r="BE145" s="1">
        <v>1925.1</v>
      </c>
      <c r="BF145" s="1">
        <v>-5.3406000000000002</v>
      </c>
      <c r="BG145" s="1">
        <v>6.0858000000000008</v>
      </c>
      <c r="BH145" s="1">
        <f t="shared" si="44"/>
        <v>-16546.511627906977</v>
      </c>
      <c r="BI145" s="1">
        <f t="shared" si="45"/>
        <v>-18858.772469754203</v>
      </c>
    </row>
    <row r="146" spans="1:61" x14ac:dyDescent="0.2">
      <c r="A146" t="s">
        <v>461</v>
      </c>
      <c r="B146" t="s">
        <v>38</v>
      </c>
      <c r="C146" t="s">
        <v>462</v>
      </c>
      <c r="D146" t="s">
        <v>463</v>
      </c>
      <c r="E146">
        <v>83931</v>
      </c>
      <c r="F146">
        <v>51841</v>
      </c>
      <c r="G146" t="s">
        <v>463</v>
      </c>
      <c r="H146" s="1">
        <v>435</v>
      </c>
      <c r="I146" s="1">
        <v>58.6</v>
      </c>
      <c r="J146" s="10">
        <v>1.996</v>
      </c>
      <c r="K146" s="10">
        <f t="shared" ca="1" si="38"/>
        <v>8.8513311993168586E-2</v>
      </c>
      <c r="L146" s="7">
        <v>0.17860000000000001</v>
      </c>
      <c r="M146" s="7">
        <f t="shared" ca="1" si="39"/>
        <v>8.0373617561983624E-3</v>
      </c>
      <c r="N146" s="7">
        <v>0.98655999999999999</v>
      </c>
      <c r="O146" s="8">
        <v>5.5991039999999996</v>
      </c>
      <c r="P146" s="8">
        <f t="shared" ca="1" si="40"/>
        <v>0.25197105856261831</v>
      </c>
      <c r="Q146" s="9">
        <v>8.0960000000000004E-2</v>
      </c>
      <c r="R146" s="9">
        <f t="shared" ca="1" si="41"/>
        <v>1.6976185201628782E-3</v>
      </c>
      <c r="S146" s="8">
        <f t="shared" si="42"/>
        <v>0.4345895786063394</v>
      </c>
      <c r="T146" s="11">
        <v>6.8199999999999997E-2</v>
      </c>
      <c r="U146" s="11">
        <f t="shared" ca="1" si="43"/>
        <v>2.4208461330700059E-3</v>
      </c>
      <c r="V146" s="6" t="e">
        <f ca="1">IF(agePb6U8(1/O146)&lt;1400,age7corr(1/O146,Q146,$W$2),agePb76(Q146))</f>
        <v>#NAME?</v>
      </c>
      <c r="W146" s="6" t="e">
        <f ca="1">IF(agePb6U8(1/O146)&lt;1400,ageer7corr(V146,1/O146,P146/O146*(1/O146),Q146,R146,$W$2,0.05),ageerPb76(Q146,R146))</f>
        <v>#NAME?</v>
      </c>
      <c r="X146" s="4" t="e">
        <f ca="1">agePb6U8(L146)/agePb7u5(J146)</f>
        <v>#NAME?</v>
      </c>
      <c r="Z146" s="1">
        <v>1.996</v>
      </c>
      <c r="AA146" s="1">
        <v>7.9000000000000001E-2</v>
      </c>
      <c r="AB146" s="1">
        <v>0.17860000000000001</v>
      </c>
      <c r="AC146" s="1">
        <v>7.1999999999999998E-3</v>
      </c>
      <c r="AD146" s="1">
        <v>0.98655999999999999</v>
      </c>
      <c r="AE146" s="1">
        <v>5.5991039999999996</v>
      </c>
      <c r="AF146" s="1">
        <v>0.2257198</v>
      </c>
      <c r="AG146" s="1">
        <v>8.0960000000000004E-2</v>
      </c>
      <c r="AH146" s="1">
        <v>5.1000000000000004E-4</v>
      </c>
      <c r="AI146" s="1">
        <v>0.1201</v>
      </c>
      <c r="AJ146" s="1">
        <v>6.8199999999999997E-2</v>
      </c>
      <c r="AK146" s="1">
        <v>2E-3</v>
      </c>
      <c r="AL146" s="1">
        <v>19.8</v>
      </c>
      <c r="AM146" s="1">
        <v>2.7</v>
      </c>
      <c r="AN146" s="1">
        <v>1112</v>
      </c>
      <c r="AO146" s="1">
        <v>27</v>
      </c>
      <c r="AP146" s="1">
        <v>1059</v>
      </c>
      <c r="AQ146" s="1">
        <v>40</v>
      </c>
      <c r="AR146" s="1">
        <v>1333</v>
      </c>
      <c r="AS146" s="1">
        <v>38</v>
      </c>
      <c r="AT146" s="1">
        <v>1220</v>
      </c>
      <c r="AU146" s="1">
        <v>12</v>
      </c>
      <c r="AV146" s="1">
        <v>95</v>
      </c>
      <c r="AW146" s="1">
        <v>17</v>
      </c>
      <c r="AX146" s="1">
        <v>4.63</v>
      </c>
      <c r="AY146" s="1">
        <v>0.1</v>
      </c>
      <c r="AZ146" s="1">
        <v>25287.119999999995</v>
      </c>
      <c r="BA146" s="1">
        <v>459.54</v>
      </c>
      <c r="BB146" s="1">
        <v>51543</v>
      </c>
      <c r="BC146" s="1">
        <v>8072.9999999999982</v>
      </c>
      <c r="BD146" s="1">
        <v>633420.00000000012</v>
      </c>
      <c r="BE146" s="1">
        <v>93150</v>
      </c>
      <c r="BF146" s="1">
        <v>1.3661999999999999</v>
      </c>
      <c r="BG146" s="1">
        <v>3.8502000000000001</v>
      </c>
      <c r="BH146" s="1">
        <f t="shared" si="44"/>
        <v>463636.36363636376</v>
      </c>
      <c r="BI146" s="1">
        <f t="shared" si="45"/>
        <v>1308389.2982733964</v>
      </c>
    </row>
    <row r="147" spans="1:61" s="23" customFormat="1" x14ac:dyDescent="0.2">
      <c r="A147" s="23" t="s">
        <v>464</v>
      </c>
      <c r="B147" s="23" t="s">
        <v>38</v>
      </c>
      <c r="C147" s="23" t="s">
        <v>465</v>
      </c>
      <c r="D147" s="23" t="s">
        <v>466</v>
      </c>
      <c r="E147" s="23">
        <v>83919</v>
      </c>
      <c r="F147" s="23">
        <v>51950</v>
      </c>
      <c r="G147" s="23" t="s">
        <v>466</v>
      </c>
      <c r="H147" s="24">
        <v>94.9</v>
      </c>
      <c r="I147" s="24">
        <v>24.43</v>
      </c>
      <c r="J147" s="25">
        <v>4.1859999999999999</v>
      </c>
      <c r="K147" s="25">
        <f t="shared" ca="1" si="38"/>
        <v>0.12439066846029889</v>
      </c>
      <c r="L147" s="26">
        <v>0.2457</v>
      </c>
      <c r="M147" s="26">
        <f t="shared" ca="1" si="39"/>
        <v>6.9395530115418814E-3</v>
      </c>
      <c r="N147" s="26">
        <v>0.96457000000000004</v>
      </c>
      <c r="O147" s="26">
        <v>4.070004</v>
      </c>
      <c r="P147" s="26">
        <f t="shared" ca="1" si="40"/>
        <v>0.11495322894619055</v>
      </c>
      <c r="Q147" s="25">
        <v>0.12291000000000001</v>
      </c>
      <c r="R147" s="25">
        <f t="shared" ca="1" si="41"/>
        <v>2.516812913190013E-3</v>
      </c>
      <c r="S147" s="26">
        <f t="shared" si="42"/>
        <v>0.31396516492147941</v>
      </c>
      <c r="T147" s="25">
        <v>0.17749999999999999</v>
      </c>
      <c r="U147" s="25">
        <f t="shared" ca="1" si="43"/>
        <v>4.4601008957197369E-3</v>
      </c>
      <c r="V147" s="24" t="e">
        <f ca="1">IF(agePb6U8(1/O147)&lt;1400,age7corr(1/O147,Q147,$W$2),agePb76(Q147))</f>
        <v>#NAME?</v>
      </c>
      <c r="W147" s="24" t="e">
        <f ca="1">IF(agePb6U8(1/O147)&lt;1400,ageer7corr(V147,1/O147,P147/O147*(1/O147),Q147,R147,$W$2,0.05),ageerPb76(Q147,R147))</f>
        <v>#NAME?</v>
      </c>
      <c r="X147" s="26" t="e">
        <f ca="1">agePb6U8(L147)/agePb7u5(J147)</f>
        <v>#NAME?</v>
      </c>
      <c r="Y147" s="24"/>
      <c r="Z147" s="24">
        <v>4.1859999999999999</v>
      </c>
      <c r="AA147" s="24">
        <v>9.1999999999999998E-2</v>
      </c>
      <c r="AB147" s="24">
        <v>0.2457</v>
      </c>
      <c r="AC147" s="24">
        <v>4.8999999999999998E-3</v>
      </c>
      <c r="AD147" s="24">
        <v>0.96457000000000004</v>
      </c>
      <c r="AE147" s="24">
        <v>4.070004</v>
      </c>
      <c r="AF147" s="24">
        <v>8.1168169999999998E-2</v>
      </c>
      <c r="AG147" s="24">
        <v>0.12291000000000001</v>
      </c>
      <c r="AH147" s="24">
        <v>5.4000000000000001E-4</v>
      </c>
      <c r="AI147" s="24">
        <v>3.5078999999999999E-2</v>
      </c>
      <c r="AJ147" s="24">
        <v>0.17749999999999999</v>
      </c>
      <c r="AK147" s="24">
        <v>2.7000000000000001E-3</v>
      </c>
      <c r="AL147" s="24">
        <v>5.7489999999999997</v>
      </c>
      <c r="AM147" s="24">
        <v>0.05</v>
      </c>
      <c r="AN147" s="24">
        <v>1670</v>
      </c>
      <c r="AO147" s="24">
        <v>18</v>
      </c>
      <c r="AP147" s="24">
        <v>1416</v>
      </c>
      <c r="AQ147" s="24">
        <v>25</v>
      </c>
      <c r="AR147" s="24">
        <v>3302</v>
      </c>
      <c r="AS147" s="24">
        <v>46</v>
      </c>
      <c r="AT147" s="24">
        <v>1998.9</v>
      </c>
      <c r="AU147" s="24">
        <v>7.8</v>
      </c>
      <c r="AV147" s="24">
        <v>20.7</v>
      </c>
      <c r="AW147" s="24">
        <v>0.41</v>
      </c>
      <c r="AX147" s="24">
        <v>1.9300000000000002</v>
      </c>
      <c r="AY147" s="24">
        <v>4.5999999999999999E-2</v>
      </c>
      <c r="AZ147" s="24">
        <v>27584.82</v>
      </c>
      <c r="BA147" s="24">
        <v>391.23</v>
      </c>
      <c r="BB147" s="24">
        <v>24417.72</v>
      </c>
      <c r="BC147" s="24">
        <v>353.96999999999997</v>
      </c>
      <c r="BD147" s="24">
        <v>198906.30000000002</v>
      </c>
      <c r="BE147" s="24">
        <v>2297.6999999999998</v>
      </c>
      <c r="BF147" s="24">
        <v>519.77699999999993</v>
      </c>
      <c r="BG147" s="24">
        <v>16.766999999999999</v>
      </c>
      <c r="BH147" s="24">
        <f t="shared" si="44"/>
        <v>382.67622461170856</v>
      </c>
      <c r="BI147" s="24">
        <f t="shared" si="45"/>
        <v>13.1120299833412</v>
      </c>
    </row>
    <row r="148" spans="1:61" x14ac:dyDescent="0.2">
      <c r="A148" t="s">
        <v>467</v>
      </c>
      <c r="B148" t="s">
        <v>38</v>
      </c>
      <c r="C148" t="s">
        <v>468</v>
      </c>
      <c r="D148" t="s">
        <v>469</v>
      </c>
      <c r="E148">
        <v>83828</v>
      </c>
      <c r="F148">
        <v>52066</v>
      </c>
      <c r="G148" t="s">
        <v>469</v>
      </c>
      <c r="H148" s="1">
        <v>108.9</v>
      </c>
      <c r="I148" s="1">
        <v>38.6</v>
      </c>
      <c r="J148" s="10">
        <v>1.8540000000000001</v>
      </c>
      <c r="K148" s="10">
        <f t="shared" ca="1" si="38"/>
        <v>6.5505163155281126E-2</v>
      </c>
      <c r="L148" s="7">
        <v>0.17849999999999999</v>
      </c>
      <c r="M148" s="7">
        <f t="shared" ca="1" si="39"/>
        <v>6.1436878175896922E-3</v>
      </c>
      <c r="N148" s="7">
        <v>0.9798</v>
      </c>
      <c r="O148" s="8">
        <v>5.6022410000000002</v>
      </c>
      <c r="P148" s="8">
        <f t="shared" ca="1" si="40"/>
        <v>0.19282026407792932</v>
      </c>
      <c r="Q148" s="9">
        <v>7.5380000000000003E-2</v>
      </c>
      <c r="R148" s="9">
        <f t="shared" ca="1" si="41"/>
        <v>1.5704960235543419E-3</v>
      </c>
      <c r="S148" s="8">
        <f t="shared" si="42"/>
        <v>0.47089390622616567</v>
      </c>
      <c r="T148" s="11">
        <v>6.4799999999999996E-2</v>
      </c>
      <c r="U148" s="11">
        <f t="shared" ca="1" si="43"/>
        <v>1.9077777648353071E-3</v>
      </c>
      <c r="V148" s="6" t="e">
        <f ca="1">IF(agePb6U8(1/O148)&lt;1400,age7corr(1/O148,Q148,$W$2),agePb76(Q148))</f>
        <v>#NAME?</v>
      </c>
      <c r="W148" s="6" t="e">
        <f ca="1">IF(agePb6U8(1/O148)&lt;1400,ageer7corr(V148,1/O148,P148/O148*(1/O148),Q148,R148,$W$2,0.05),ageerPb76(Q148,R148))</f>
        <v>#NAME?</v>
      </c>
      <c r="X148" s="4" t="e">
        <f ca="1">agePb6U8(L148)/agePb7u5(J148)</f>
        <v>#NAME?</v>
      </c>
      <c r="Z148" s="1">
        <v>1.8540000000000001</v>
      </c>
      <c r="AA148" s="1">
        <v>5.3999999999999999E-2</v>
      </c>
      <c r="AB148" s="1">
        <v>0.17849999999999999</v>
      </c>
      <c r="AC148" s="1">
        <v>5.0000000000000001E-3</v>
      </c>
      <c r="AD148" s="1">
        <v>0.9798</v>
      </c>
      <c r="AE148" s="1">
        <v>5.6022410000000002</v>
      </c>
      <c r="AF148" s="1">
        <v>0.1569255</v>
      </c>
      <c r="AG148" s="1">
        <v>7.5380000000000003E-2</v>
      </c>
      <c r="AH148" s="1">
        <v>4.4000000000000002E-4</v>
      </c>
      <c r="AI148" s="1">
        <v>-0.12407</v>
      </c>
      <c r="AJ148" s="1">
        <v>6.4799999999999996E-2</v>
      </c>
      <c r="AK148" s="1">
        <v>1.4E-3</v>
      </c>
      <c r="AL148" s="1">
        <v>8.1489999999999991</v>
      </c>
      <c r="AM148" s="1">
        <v>2.9000000000000001E-2</v>
      </c>
      <c r="AN148" s="1">
        <v>1064</v>
      </c>
      <c r="AO148" s="1">
        <v>19</v>
      </c>
      <c r="AP148" s="1">
        <v>1058</v>
      </c>
      <c r="AQ148" s="1">
        <v>28</v>
      </c>
      <c r="AR148" s="1">
        <v>1269</v>
      </c>
      <c r="AS148" s="1">
        <v>26</v>
      </c>
      <c r="AT148" s="1">
        <v>1078</v>
      </c>
      <c r="AU148" s="1">
        <v>12</v>
      </c>
      <c r="AV148" s="1">
        <v>23.740000000000002</v>
      </c>
      <c r="AW148" s="1">
        <v>0.45</v>
      </c>
      <c r="AX148" s="1">
        <v>3.0509999999999997</v>
      </c>
      <c r="AY148" s="1">
        <v>9.0000000000000011E-2</v>
      </c>
      <c r="AZ148" s="1">
        <v>16158.42</v>
      </c>
      <c r="BA148" s="1">
        <v>279.45000000000005</v>
      </c>
      <c r="BB148" s="1">
        <v>12370.32</v>
      </c>
      <c r="BC148" s="1">
        <v>229.77</v>
      </c>
      <c r="BD148" s="1">
        <v>164875.5</v>
      </c>
      <c r="BE148" s="1">
        <v>2918.7</v>
      </c>
      <c r="BF148" s="1">
        <v>3.2292000000000001</v>
      </c>
      <c r="BG148" s="1">
        <v>5.0301</v>
      </c>
      <c r="BH148" s="1">
        <f t="shared" si="44"/>
        <v>51057.692307692305</v>
      </c>
      <c r="BI148" s="1">
        <f t="shared" si="45"/>
        <v>79537.310285863699</v>
      </c>
    </row>
    <row r="149" spans="1:61" x14ac:dyDescent="0.2">
      <c r="A149" t="s">
        <v>470</v>
      </c>
      <c r="B149" t="s">
        <v>38</v>
      </c>
      <c r="C149" t="s">
        <v>471</v>
      </c>
      <c r="D149" t="s">
        <v>472</v>
      </c>
      <c r="E149">
        <v>83831</v>
      </c>
      <c r="F149">
        <v>52192</v>
      </c>
      <c r="G149" t="s">
        <v>472</v>
      </c>
      <c r="H149" s="1">
        <v>403</v>
      </c>
      <c r="I149" s="1">
        <v>8.61</v>
      </c>
      <c r="J149" s="10">
        <v>1.8660000000000001</v>
      </c>
      <c r="K149" s="10">
        <f t="shared" ca="1" si="38"/>
        <v>8.8276737592641027E-2</v>
      </c>
      <c r="L149" s="7">
        <v>0.17469999999999999</v>
      </c>
      <c r="M149" s="7">
        <f t="shared" ca="1" si="39"/>
        <v>7.4677999437585364E-3</v>
      </c>
      <c r="N149" s="7">
        <v>0.97980999999999996</v>
      </c>
      <c r="O149" s="8">
        <v>5.7240979999999997</v>
      </c>
      <c r="P149" s="8">
        <f t="shared" ca="1" si="40"/>
        <v>0.24468472401529603</v>
      </c>
      <c r="Q149" s="9">
        <v>7.7280000000000001E-2</v>
      </c>
      <c r="R149" s="9">
        <f t="shared" ca="1" si="41"/>
        <v>1.665316594524897E-3</v>
      </c>
      <c r="S149" s="8">
        <f t="shared" si="42"/>
        <v>0.42649928904118689</v>
      </c>
      <c r="T149" s="11">
        <v>6.8099999999999994E-2</v>
      </c>
      <c r="U149" s="11">
        <f t="shared" ca="1" si="43"/>
        <v>7.3276902227100175E-3</v>
      </c>
      <c r="V149" s="6" t="e">
        <f ca="1">IF(agePb6U8(1/O149)&lt;1400,age7corr(1/O149,Q149,$W$2),agePb76(Q149))</f>
        <v>#NAME?</v>
      </c>
      <c r="W149" s="6" t="e">
        <f ca="1">IF(agePb6U8(1/O149)&lt;1400,ageer7corr(V149,1/O149,P149/O149*(1/O149),Q149,R149,$W$2,0.05),ageerPb76(Q149,R149))</f>
        <v>#NAME?</v>
      </c>
      <c r="X149" s="4" t="e">
        <f ca="1">agePb6U8(L149)/agePb7u5(J149)</f>
        <v>#NAME?</v>
      </c>
      <c r="Z149" s="1">
        <v>1.8660000000000001</v>
      </c>
      <c r="AA149" s="1">
        <v>0.08</v>
      </c>
      <c r="AB149" s="1">
        <v>0.17469999999999999</v>
      </c>
      <c r="AC149" s="1">
        <v>6.6E-3</v>
      </c>
      <c r="AD149" s="1">
        <v>0.97980999999999996</v>
      </c>
      <c r="AE149" s="1">
        <v>5.7240979999999997</v>
      </c>
      <c r="AF149" s="1">
        <v>0.216251</v>
      </c>
      <c r="AG149" s="1">
        <v>7.7280000000000001E-2</v>
      </c>
      <c r="AH149" s="1">
        <v>6.2E-4</v>
      </c>
      <c r="AI149" s="1">
        <v>-0.47070000000000001</v>
      </c>
      <c r="AJ149" s="1">
        <v>6.8099999999999994E-2</v>
      </c>
      <c r="AK149" s="1">
        <v>7.1999999999999998E-3</v>
      </c>
      <c r="AL149" s="1">
        <v>138</v>
      </c>
      <c r="AM149" s="1">
        <v>12</v>
      </c>
      <c r="AN149" s="1">
        <v>1067</v>
      </c>
      <c r="AO149" s="1">
        <v>28</v>
      </c>
      <c r="AP149" s="1">
        <v>1038</v>
      </c>
      <c r="AQ149" s="1">
        <v>36</v>
      </c>
      <c r="AR149" s="1">
        <v>1330</v>
      </c>
      <c r="AS149" s="1">
        <v>140</v>
      </c>
      <c r="AT149" s="1">
        <v>1128</v>
      </c>
      <c r="AU149" s="1">
        <v>16</v>
      </c>
      <c r="AV149" s="1">
        <v>88</v>
      </c>
      <c r="AW149" s="1">
        <v>4.4000000000000004</v>
      </c>
      <c r="AX149" s="1">
        <v>0.68099999999999994</v>
      </c>
      <c r="AY149" s="1">
        <v>4.3999999999999997E-2</v>
      </c>
      <c r="AZ149" s="1">
        <v>3620.43</v>
      </c>
      <c r="BA149" s="1">
        <v>409.86</v>
      </c>
      <c r="BB149" s="1">
        <v>45891.9</v>
      </c>
      <c r="BC149" s="1">
        <v>1925.1</v>
      </c>
      <c r="BD149" s="1">
        <v>595539</v>
      </c>
      <c r="BE149" s="1">
        <v>23598</v>
      </c>
      <c r="BF149" s="1">
        <v>6.2099999999999991</v>
      </c>
      <c r="BG149" s="1">
        <v>6.2099999999999991</v>
      </c>
      <c r="BH149" s="1">
        <f t="shared" si="44"/>
        <v>95900.000000000015</v>
      </c>
      <c r="BI149" s="1">
        <f t="shared" si="45"/>
        <v>95975.257228100221</v>
      </c>
    </row>
    <row r="150" spans="1:61" x14ac:dyDescent="0.2">
      <c r="A150" t="s">
        <v>473</v>
      </c>
      <c r="B150" t="s">
        <v>38</v>
      </c>
      <c r="C150" t="s">
        <v>474</v>
      </c>
      <c r="D150" t="s">
        <v>475</v>
      </c>
      <c r="E150">
        <v>83903</v>
      </c>
      <c r="F150">
        <v>52388</v>
      </c>
      <c r="G150" t="s">
        <v>475</v>
      </c>
      <c r="H150" s="1">
        <v>244.5</v>
      </c>
      <c r="I150" s="1">
        <v>105.5</v>
      </c>
      <c r="J150" s="10">
        <v>1.8180000000000001</v>
      </c>
      <c r="K150" s="10">
        <f t="shared" ca="1" si="38"/>
        <v>5.6312073305819596E-2</v>
      </c>
      <c r="L150" s="7">
        <v>0.1729</v>
      </c>
      <c r="M150" s="7">
        <f t="shared" ca="1" si="39"/>
        <v>5.1378754364036503E-3</v>
      </c>
      <c r="N150" s="7">
        <v>0.98811000000000004</v>
      </c>
      <c r="O150" s="8">
        <v>5.78369</v>
      </c>
      <c r="P150" s="8">
        <f t="shared" ca="1" si="40"/>
        <v>0.17186745598061898</v>
      </c>
      <c r="Q150" s="9">
        <v>7.6240000000000002E-2</v>
      </c>
      <c r="R150" s="9">
        <f t="shared" ca="1" si="41"/>
        <v>1.5622467922834728E-3</v>
      </c>
      <c r="S150" s="8">
        <f t="shared" si="42"/>
        <v>0.41572047205188323</v>
      </c>
      <c r="T150" s="11">
        <v>6.4100000000000004E-2</v>
      </c>
      <c r="U150" s="11">
        <f t="shared" ca="1" si="43"/>
        <v>1.8257940738210321E-3</v>
      </c>
      <c r="V150" s="6" t="e">
        <f ca="1">IF(agePb6U8(1/O150)&lt;1400,age7corr(1/O150,Q150,$W$2),agePb76(Q150))</f>
        <v>#NAME?</v>
      </c>
      <c r="W150" s="6" t="e">
        <f ca="1">IF(agePb6U8(1/O150)&lt;1400,ageer7corr(V150,1/O150,P150/O150*(1/O150),Q150,R150,$W$2,0.05),ageerPb76(Q150,R150))</f>
        <v>#NAME?</v>
      </c>
      <c r="X150" s="4" t="e">
        <f ca="1">agePb6U8(L150)/agePb7u5(J150)</f>
        <v>#NAME?</v>
      </c>
      <c r="Z150" s="1">
        <v>1.8180000000000001</v>
      </c>
      <c r="AA150" s="1">
        <v>4.2999999999999997E-2</v>
      </c>
      <c r="AB150" s="1">
        <v>0.1729</v>
      </c>
      <c r="AC150" s="1">
        <v>3.8E-3</v>
      </c>
      <c r="AD150" s="1">
        <v>0.98811000000000004</v>
      </c>
      <c r="AE150" s="1">
        <v>5.78369</v>
      </c>
      <c r="AF150" s="1">
        <v>0.12711410000000001</v>
      </c>
      <c r="AG150" s="1">
        <v>7.6240000000000002E-2</v>
      </c>
      <c r="AH150" s="1">
        <v>3.4000000000000002E-4</v>
      </c>
      <c r="AI150" s="1">
        <v>-0.37528</v>
      </c>
      <c r="AJ150" s="1">
        <v>6.4100000000000004E-2</v>
      </c>
      <c r="AK150" s="1">
        <v>1.2999999999999999E-3</v>
      </c>
      <c r="AL150" s="1">
        <v>6.6639999999999997</v>
      </c>
      <c r="AM150" s="1">
        <v>2.4E-2</v>
      </c>
      <c r="AN150" s="1">
        <v>1051</v>
      </c>
      <c r="AO150" s="1">
        <v>15</v>
      </c>
      <c r="AP150" s="1">
        <v>1028</v>
      </c>
      <c r="AQ150" s="1">
        <v>21</v>
      </c>
      <c r="AR150" s="1">
        <v>1256</v>
      </c>
      <c r="AS150" s="1">
        <v>25</v>
      </c>
      <c r="AT150" s="1">
        <v>1101.0999999999999</v>
      </c>
      <c r="AU150" s="1">
        <v>9</v>
      </c>
      <c r="AV150" s="1">
        <v>53.3</v>
      </c>
      <c r="AW150" s="1">
        <v>1.1000000000000001</v>
      </c>
      <c r="AX150" s="1">
        <v>8.33</v>
      </c>
      <c r="AY150" s="1">
        <v>0.13999999999999999</v>
      </c>
      <c r="AZ150" s="1">
        <v>43345.8</v>
      </c>
      <c r="BA150" s="1">
        <v>807.3</v>
      </c>
      <c r="BB150" s="1">
        <v>27398.52</v>
      </c>
      <c r="BC150" s="1">
        <v>552.68999999999994</v>
      </c>
      <c r="BD150" s="1">
        <v>360801.00000000006</v>
      </c>
      <c r="BE150" s="1">
        <v>6210</v>
      </c>
      <c r="BF150" s="1">
        <v>4.968</v>
      </c>
      <c r="BG150" s="1">
        <v>5.2784999999999993</v>
      </c>
      <c r="BH150" s="1">
        <f t="shared" si="44"/>
        <v>72625.000000000015</v>
      </c>
      <c r="BI150" s="1">
        <f t="shared" si="45"/>
        <v>77174.186367618444</v>
      </c>
    </row>
    <row r="151" spans="1:61" x14ac:dyDescent="0.2">
      <c r="A151" t="s">
        <v>476</v>
      </c>
      <c r="B151" t="s">
        <v>38</v>
      </c>
      <c r="C151" t="s">
        <v>477</v>
      </c>
      <c r="D151" t="s">
        <v>478</v>
      </c>
      <c r="E151">
        <v>83902</v>
      </c>
      <c r="F151">
        <v>52527</v>
      </c>
      <c r="G151" t="s">
        <v>478</v>
      </c>
      <c r="H151" s="1">
        <v>0.83</v>
      </c>
      <c r="I151" s="1">
        <v>0.2</v>
      </c>
      <c r="J151" s="10" t="s">
        <v>338</v>
      </c>
      <c r="K151" s="10" t="e">
        <f t="shared" ca="1" si="38"/>
        <v>#VALUE!</v>
      </c>
      <c r="L151" s="7" t="s">
        <v>338</v>
      </c>
      <c r="M151" s="7" t="e">
        <f t="shared" ca="1" si="39"/>
        <v>#VALUE!</v>
      </c>
      <c r="N151" s="7" t="s">
        <v>340</v>
      </c>
      <c r="P151" s="8" t="e">
        <f t="shared" ca="1" si="40"/>
        <v>#DIV/0!</v>
      </c>
      <c r="Q151" s="9" t="s">
        <v>338</v>
      </c>
      <c r="R151" s="9" t="e">
        <f t="shared" ca="1" si="41"/>
        <v>#VALUE!</v>
      </c>
      <c r="S151" s="8">
        <f t="shared" si="42"/>
        <v>0.20315955387406476</v>
      </c>
      <c r="T151" s="11" t="s">
        <v>338</v>
      </c>
      <c r="U151" s="11" t="e">
        <f t="shared" ca="1" si="43"/>
        <v>#VALUE!</v>
      </c>
      <c r="V151" s="6" t="e">
        <f ca="1">IF(agePb6U8(1/O151)&lt;1400,age7corr(1/O151,Q151,$W$2),agePb76(Q151))</f>
        <v>#NAME?</v>
      </c>
      <c r="W151" s="6" t="e">
        <f ca="1">IF(agePb6U8(1/O151)&lt;1400,ageer7corr(V151,1/O151,P151/O151*(1/O151),Q151,R151,$W$2,0.05),ageerPb76(Q151,R151))</f>
        <v>#NAME?</v>
      </c>
      <c r="X151" s="4" t="e">
        <f ca="1">agePb6U8(L151)/agePb7u5(J151)</f>
        <v>#NAME?</v>
      </c>
      <c r="Z151" s="1" t="s">
        <v>338</v>
      </c>
      <c r="AA151" s="1" t="s">
        <v>339</v>
      </c>
      <c r="AB151" s="1" t="s">
        <v>338</v>
      </c>
      <c r="AC151" s="1" t="s">
        <v>339</v>
      </c>
      <c r="AD151" s="1" t="s">
        <v>340</v>
      </c>
      <c r="AG151" s="1" t="s">
        <v>338</v>
      </c>
      <c r="AH151" s="1" t="s">
        <v>339</v>
      </c>
      <c r="AI151" s="1" t="s">
        <v>340</v>
      </c>
      <c r="AJ151" s="1" t="s">
        <v>338</v>
      </c>
      <c r="AK151" s="1" t="s">
        <v>339</v>
      </c>
      <c r="AL151" s="1" t="s">
        <v>338</v>
      </c>
      <c r="AM151" s="1" t="s">
        <v>339</v>
      </c>
      <c r="AN151" s="1" t="s">
        <v>338</v>
      </c>
      <c r="AO151" s="1" t="s">
        <v>339</v>
      </c>
      <c r="AP151" s="1" t="s">
        <v>338</v>
      </c>
      <c r="AQ151" s="1" t="s">
        <v>339</v>
      </c>
      <c r="AR151" s="1" t="s">
        <v>338</v>
      </c>
      <c r="AS151" s="1" t="s">
        <v>339</v>
      </c>
      <c r="AT151" s="1" t="s">
        <v>338</v>
      </c>
      <c r="AU151" s="1" t="s">
        <v>339</v>
      </c>
      <c r="AV151" s="1">
        <v>0.182</v>
      </c>
      <c r="AW151" s="1">
        <v>2.1999999999999999E-2</v>
      </c>
      <c r="AX151" s="1">
        <v>1.6E-2</v>
      </c>
      <c r="AY151" s="1">
        <v>0.02</v>
      </c>
      <c r="AZ151" s="1">
        <v>22.355999999999998</v>
      </c>
      <c r="BA151" s="1">
        <v>5.7752999999999997</v>
      </c>
      <c r="BB151" s="1">
        <v>622.86300000000006</v>
      </c>
      <c r="BC151" s="1">
        <v>27.324000000000002</v>
      </c>
      <c r="BD151" s="1">
        <v>3353.4</v>
      </c>
      <c r="BE151" s="1">
        <v>130.41</v>
      </c>
      <c r="BF151" s="1">
        <v>-1.6146</v>
      </c>
      <c r="BG151" s="1">
        <v>5.4027000000000003</v>
      </c>
      <c r="BH151" s="1">
        <f t="shared" si="44"/>
        <v>-2076.9230769230771</v>
      </c>
      <c r="BI151" s="1">
        <f t="shared" si="45"/>
        <v>-6950.1734748231656</v>
      </c>
    </row>
    <row r="152" spans="1:61" s="23" customFormat="1" x14ac:dyDescent="0.2">
      <c r="A152" s="23" t="s">
        <v>479</v>
      </c>
      <c r="B152" s="23" t="s">
        <v>38</v>
      </c>
      <c r="C152" s="23" t="s">
        <v>480</v>
      </c>
      <c r="D152" s="23" t="s">
        <v>481</v>
      </c>
      <c r="E152" s="23">
        <v>83786</v>
      </c>
      <c r="F152" s="23">
        <v>53190</v>
      </c>
      <c r="G152" s="23" t="s">
        <v>481</v>
      </c>
      <c r="H152" s="24">
        <v>88.9</v>
      </c>
      <c r="I152" s="24">
        <v>25.02</v>
      </c>
      <c r="J152" s="25">
        <v>2.97</v>
      </c>
      <c r="K152" s="25">
        <f t="shared" ca="1" si="38"/>
        <v>0.12501343927754327</v>
      </c>
      <c r="L152" s="26">
        <v>0.2077</v>
      </c>
      <c r="M152" s="26">
        <f t="shared" ca="1" si="39"/>
        <v>8.5735474571498119E-3</v>
      </c>
      <c r="N152" s="26">
        <v>0.98621000000000003</v>
      </c>
      <c r="O152" s="26">
        <v>4.8146360000000001</v>
      </c>
      <c r="P152" s="26">
        <f t="shared" ca="1" si="40"/>
        <v>0.19874100742966558</v>
      </c>
      <c r="Q152" s="25">
        <v>0.10363</v>
      </c>
      <c r="R152" s="25">
        <f t="shared" ca="1" si="41"/>
        <v>2.1071475411085956E-3</v>
      </c>
      <c r="S152" s="26">
        <f t="shared" si="42"/>
        <v>0.37773431583820027</v>
      </c>
      <c r="T152" s="25">
        <v>0.12540000000000001</v>
      </c>
      <c r="U152" s="25">
        <f t="shared" ca="1" si="43"/>
        <v>5.1517049604960872E-3</v>
      </c>
      <c r="V152" s="24" t="e">
        <f ca="1">IF(agePb6U8(1/O152)&lt;1400,age7corr(1/O152,Q152,$W$2),agePb76(Q152))</f>
        <v>#NAME?</v>
      </c>
      <c r="W152" s="24" t="e">
        <f ca="1">IF(agePb6U8(1/O152)&lt;1400,ageer7corr(V152,1/O152,P152/O152*(1/O152),Q152,R152,$W$2,0.05),ageerPb76(Q152,R152))</f>
        <v>#NAME?</v>
      </c>
      <c r="X152" s="26" t="e">
        <f ca="1">agePb6U8(L152)/agePb7u5(J152)</f>
        <v>#NAME?</v>
      </c>
      <c r="Y152" s="24"/>
      <c r="Z152" s="24">
        <v>2.97</v>
      </c>
      <c r="AA152" s="24">
        <v>0.11</v>
      </c>
      <c r="AB152" s="24">
        <v>0.2077</v>
      </c>
      <c r="AC152" s="24">
        <v>7.4999999999999997E-3</v>
      </c>
      <c r="AD152" s="24">
        <v>0.98621000000000003</v>
      </c>
      <c r="AE152" s="24">
        <v>4.8146360000000001</v>
      </c>
      <c r="AF152" s="24">
        <v>0.17385539999999999</v>
      </c>
      <c r="AG152" s="24">
        <v>0.10363</v>
      </c>
      <c r="AH152" s="24">
        <v>3.8000000000000002E-4</v>
      </c>
      <c r="AI152" s="24">
        <v>-9.7160999999999997E-2</v>
      </c>
      <c r="AJ152" s="24">
        <v>0.12540000000000001</v>
      </c>
      <c r="AK152" s="24">
        <v>4.4999999999999997E-3</v>
      </c>
      <c r="AL152" s="24">
        <v>6.2489999999999997</v>
      </c>
      <c r="AM152" s="24">
        <v>5.8999999999999997E-2</v>
      </c>
      <c r="AN152" s="24">
        <v>1398</v>
      </c>
      <c r="AO152" s="24">
        <v>28</v>
      </c>
      <c r="AP152" s="24">
        <v>1216</v>
      </c>
      <c r="AQ152" s="24">
        <v>40</v>
      </c>
      <c r="AR152" s="24">
        <v>2388</v>
      </c>
      <c r="AS152" s="24">
        <v>80</v>
      </c>
      <c r="AT152" s="24">
        <v>1695</v>
      </c>
      <c r="AU152" s="24">
        <v>9.1999999999999993</v>
      </c>
      <c r="AV152" s="24">
        <v>19.369999999999997</v>
      </c>
      <c r="AW152" s="24">
        <v>0.62</v>
      </c>
      <c r="AX152" s="24">
        <v>1.976</v>
      </c>
      <c r="AY152" s="24">
        <v>5.2999999999999999E-2</v>
      </c>
      <c r="AZ152" s="24">
        <v>19878.21</v>
      </c>
      <c r="BA152" s="24">
        <v>447.12</v>
      </c>
      <c r="BB152" s="24">
        <v>15978.330000000002</v>
      </c>
      <c r="BC152" s="24">
        <v>434.7</v>
      </c>
      <c r="BD152" s="24">
        <v>153573.29999999999</v>
      </c>
      <c r="BE152" s="24">
        <v>3539.7000000000003</v>
      </c>
      <c r="BF152" s="24">
        <v>287.52299999999997</v>
      </c>
      <c r="BG152" s="24">
        <v>15.525</v>
      </c>
      <c r="BH152" s="24">
        <f t="shared" si="44"/>
        <v>534.12526997840178</v>
      </c>
      <c r="BI152" s="24">
        <f t="shared" si="45"/>
        <v>31.358142052185077</v>
      </c>
    </row>
    <row r="153" spans="1:61" x14ac:dyDescent="0.2">
      <c r="A153" t="s">
        <v>488</v>
      </c>
      <c r="B153" t="s">
        <v>38</v>
      </c>
      <c r="C153" t="s">
        <v>489</v>
      </c>
      <c r="D153" t="s">
        <v>490</v>
      </c>
      <c r="E153">
        <v>83844</v>
      </c>
      <c r="F153">
        <v>53296</v>
      </c>
      <c r="G153" t="s">
        <v>490</v>
      </c>
      <c r="H153" s="1">
        <v>239</v>
      </c>
      <c r="I153" s="1">
        <v>26.2</v>
      </c>
      <c r="J153" s="10">
        <v>3.14</v>
      </c>
      <c r="K153" s="10">
        <f t="shared" ca="1" si="38"/>
        <v>0.12666428067928226</v>
      </c>
      <c r="L153" s="7">
        <v>0.2346</v>
      </c>
      <c r="M153" s="7">
        <f t="shared" ca="1" si="39"/>
        <v>9.2744198740406392E-3</v>
      </c>
      <c r="N153" s="7">
        <v>0.97921000000000002</v>
      </c>
      <c r="O153" s="8">
        <v>4.262575</v>
      </c>
      <c r="P153" s="8">
        <f t="shared" ca="1" si="40"/>
        <v>0.16851193489465363</v>
      </c>
      <c r="Q153" s="9">
        <v>9.7040000000000001E-2</v>
      </c>
      <c r="R153" s="9">
        <f t="shared" ca="1" si="41"/>
        <v>2.0256121642604737E-3</v>
      </c>
      <c r="S153" s="8">
        <f t="shared" si="42"/>
        <v>0.47107016013027708</v>
      </c>
      <c r="T153" s="11">
        <v>0.1186</v>
      </c>
      <c r="U153" s="11">
        <f t="shared" ca="1" si="43"/>
        <v>5.3540997375842742E-3</v>
      </c>
      <c r="V153" s="6" t="e">
        <f ca="1">IF(agePb6U8(1/O153)&lt;1400,age7corr(1/O153,Q153,$W$2),agePb76(Q153))</f>
        <v>#NAME?</v>
      </c>
      <c r="W153" s="6" t="e">
        <f ca="1">IF(agePb6U8(1/O153)&lt;1400,ageer7corr(V153,1/O153,P153/O153*(1/O153),Q153,R153,$W$2,0.05),ageerPb76(Q153,R153))</f>
        <v>#NAME?</v>
      </c>
      <c r="X153" s="4" t="e">
        <f ca="1">agePb6U8(L153)/agePb7u5(J153)</f>
        <v>#NAME?</v>
      </c>
      <c r="Z153" s="1">
        <v>3.14</v>
      </c>
      <c r="AA153" s="1">
        <v>0.11</v>
      </c>
      <c r="AB153" s="1">
        <v>0.2346</v>
      </c>
      <c r="AC153" s="1">
        <v>8.0000000000000002E-3</v>
      </c>
      <c r="AD153" s="1">
        <v>0.97921000000000002</v>
      </c>
      <c r="AE153" s="1">
        <v>4.262575</v>
      </c>
      <c r="AF153" s="1">
        <v>0.14535629999999999</v>
      </c>
      <c r="AG153" s="1">
        <v>9.7040000000000001E-2</v>
      </c>
      <c r="AH153" s="1">
        <v>5.8E-4</v>
      </c>
      <c r="AI153" s="1">
        <v>-2.2651999999999999E-2</v>
      </c>
      <c r="AJ153" s="1">
        <v>0.1186</v>
      </c>
      <c r="AK153" s="1">
        <v>4.7999999999999996E-3</v>
      </c>
      <c r="AL153" s="1">
        <v>21.1</v>
      </c>
      <c r="AM153" s="1">
        <v>4.5</v>
      </c>
      <c r="AN153" s="1">
        <v>1441</v>
      </c>
      <c r="AO153" s="1">
        <v>27</v>
      </c>
      <c r="AP153" s="1">
        <v>1358</v>
      </c>
      <c r="AQ153" s="1">
        <v>42</v>
      </c>
      <c r="AR153" s="1">
        <v>2265</v>
      </c>
      <c r="AS153" s="1">
        <v>87</v>
      </c>
      <c r="AT153" s="1">
        <v>1568</v>
      </c>
      <c r="AU153" s="1">
        <v>11</v>
      </c>
      <c r="AV153" s="1">
        <v>52.1</v>
      </c>
      <c r="AW153" s="1">
        <v>7.3</v>
      </c>
      <c r="AX153" s="1">
        <v>2.0699999999999998</v>
      </c>
      <c r="AY153" s="1">
        <v>0.24000000000000002</v>
      </c>
      <c r="AZ153" s="1">
        <v>19623.599999999999</v>
      </c>
      <c r="BA153" s="1">
        <v>1800.9</v>
      </c>
      <c r="BB153" s="1">
        <v>44028.899999999994</v>
      </c>
      <c r="BC153" s="1">
        <v>5464.7999999999993</v>
      </c>
      <c r="BD153" s="1">
        <v>468234</v>
      </c>
      <c r="BE153" s="1">
        <v>58374</v>
      </c>
      <c r="BF153" s="1">
        <v>6.7067999999999994</v>
      </c>
      <c r="BG153" s="1">
        <v>5.1543000000000001</v>
      </c>
      <c r="BH153" s="1">
        <f t="shared" si="44"/>
        <v>69814.814814814818</v>
      </c>
      <c r="BI153" s="1">
        <f t="shared" si="45"/>
        <v>54355.347657612372</v>
      </c>
    </row>
    <row r="154" spans="1:61" x14ac:dyDescent="0.2">
      <c r="A154" t="s">
        <v>491</v>
      </c>
      <c r="B154" t="s">
        <v>38</v>
      </c>
      <c r="C154" t="s">
        <v>492</v>
      </c>
      <c r="D154" t="s">
        <v>493</v>
      </c>
      <c r="E154">
        <v>83883</v>
      </c>
      <c r="F154">
        <v>53481</v>
      </c>
      <c r="G154" t="s">
        <v>493</v>
      </c>
      <c r="H154" s="1">
        <v>199</v>
      </c>
      <c r="I154" s="1">
        <v>80.3</v>
      </c>
      <c r="J154" s="10">
        <v>8.23</v>
      </c>
      <c r="K154" s="10">
        <f t="shared" ca="1" si="38"/>
        <v>0.55497131457400561</v>
      </c>
      <c r="L154" s="7">
        <v>0.38900000000000001</v>
      </c>
      <c r="M154" s="7">
        <f t="shared" ca="1" si="39"/>
        <v>2.3335132311602606E-2</v>
      </c>
      <c r="N154" s="7">
        <v>0.99495</v>
      </c>
      <c r="O154" s="8">
        <v>2.570694</v>
      </c>
      <c r="P154" s="8">
        <f t="shared" ca="1" si="40"/>
        <v>0.1542094785813907</v>
      </c>
      <c r="Q154" s="9">
        <v>0.1535</v>
      </c>
      <c r="R154" s="9">
        <f t="shared" ca="1" si="41"/>
        <v>3.4168552793467852E-3</v>
      </c>
      <c r="S154" s="8">
        <f t="shared" si="42"/>
        <v>0.32301700093396635</v>
      </c>
      <c r="T154" s="11">
        <v>0.16569999999999999</v>
      </c>
      <c r="U154" s="11">
        <f t="shared" ca="1" si="43"/>
        <v>4.5379065658076303E-3</v>
      </c>
      <c r="V154" s="6" t="e">
        <f ca="1">IF(agePb6U8(1/O154)&lt;1400,age7corr(1/O154,Q154,$W$2),agePb76(Q154))</f>
        <v>#NAME?</v>
      </c>
      <c r="W154" s="6" t="e">
        <f ca="1">IF(agePb6U8(1/O154)&lt;1400,ageer7corr(V154,1/O154,P154/O154*(1/O154),Q154,R154,$W$2,0.05),ageerPb76(Q154,R154))</f>
        <v>#NAME?</v>
      </c>
      <c r="X154" s="4" t="e">
        <f ca="1">agePb6U8(L154)/agePb7u5(J154)</f>
        <v>#NAME?</v>
      </c>
      <c r="Z154" s="1">
        <v>8.23</v>
      </c>
      <c r="AA154" s="1">
        <v>0.53</v>
      </c>
      <c r="AB154" s="1">
        <v>0.38900000000000001</v>
      </c>
      <c r="AC154" s="1">
        <v>2.1999999999999999E-2</v>
      </c>
      <c r="AD154" s="1">
        <v>0.99495</v>
      </c>
      <c r="AE154" s="1">
        <v>2.570694</v>
      </c>
      <c r="AF154" s="1">
        <v>0.1453863</v>
      </c>
      <c r="AG154" s="1">
        <v>0.1535</v>
      </c>
      <c r="AH154" s="1">
        <v>1.5E-3</v>
      </c>
      <c r="AI154" s="1">
        <v>-0.79366999999999999</v>
      </c>
      <c r="AJ154" s="1">
        <v>0.16569999999999999</v>
      </c>
      <c r="AK154" s="1">
        <v>3.0999999999999999E-3</v>
      </c>
      <c r="AL154" s="1">
        <v>6.17</v>
      </c>
      <c r="AM154" s="1">
        <v>0.56999999999999995</v>
      </c>
      <c r="AN154" s="1">
        <v>2262</v>
      </c>
      <c r="AO154" s="1">
        <v>56</v>
      </c>
      <c r="AP154" s="1">
        <v>2110</v>
      </c>
      <c r="AQ154" s="1">
        <v>100</v>
      </c>
      <c r="AR154" s="1">
        <v>3098</v>
      </c>
      <c r="AS154" s="1">
        <v>53</v>
      </c>
      <c r="AT154" s="1">
        <v>2385</v>
      </c>
      <c r="AU154" s="1">
        <v>17</v>
      </c>
      <c r="AV154" s="1">
        <v>43.3</v>
      </c>
      <c r="AW154" s="1">
        <v>3.6</v>
      </c>
      <c r="AX154" s="1">
        <v>6.34</v>
      </c>
      <c r="AY154" s="1">
        <v>0.63</v>
      </c>
      <c r="AZ154" s="1">
        <v>85077</v>
      </c>
      <c r="BA154" s="1">
        <v>6210</v>
      </c>
      <c r="BB154" s="1">
        <v>101036.7</v>
      </c>
      <c r="BC154" s="1">
        <v>2980.8</v>
      </c>
      <c r="BD154" s="1">
        <v>662607</v>
      </c>
      <c r="BE154" s="1">
        <v>24840</v>
      </c>
      <c r="BF154" s="1">
        <v>11.799000000000001</v>
      </c>
      <c r="BG154" s="1">
        <v>6.2099999999999991</v>
      </c>
      <c r="BH154" s="1">
        <f t="shared" si="44"/>
        <v>56157.8947368421</v>
      </c>
      <c r="BI154" s="1">
        <f t="shared" si="45"/>
        <v>29631.668417525183</v>
      </c>
    </row>
    <row r="155" spans="1:61" x14ac:dyDescent="0.2">
      <c r="A155" t="s">
        <v>395</v>
      </c>
      <c r="B155" t="s">
        <v>38</v>
      </c>
      <c r="C155" t="s">
        <v>396</v>
      </c>
      <c r="D155" t="s">
        <v>397</v>
      </c>
      <c r="E155">
        <v>83794</v>
      </c>
      <c r="F155">
        <v>48219</v>
      </c>
      <c r="G155" t="s">
        <v>397</v>
      </c>
      <c r="H155" s="1">
        <v>150.6</v>
      </c>
      <c r="I155" s="1">
        <v>28.7</v>
      </c>
      <c r="J155" s="10">
        <v>2.17</v>
      </c>
      <c r="K155" s="10">
        <f t="shared" ca="1" si="38"/>
        <v>7.0061116177234858E-2</v>
      </c>
      <c r="L155" s="7">
        <v>0.1976</v>
      </c>
      <c r="M155" s="7">
        <f t="shared" ca="1" si="39"/>
        <v>6.0645118517486628E-3</v>
      </c>
      <c r="N155" s="7">
        <v>0.98453000000000002</v>
      </c>
      <c r="O155" s="8">
        <v>5.0607290000000003</v>
      </c>
      <c r="P155" s="8">
        <f t="shared" ca="1" si="40"/>
        <v>0.15531807723129462</v>
      </c>
      <c r="Q155" s="9">
        <v>7.9369999999999996E-2</v>
      </c>
      <c r="R155" s="9">
        <f t="shared" ca="1" si="41"/>
        <v>1.634606607107655E-3</v>
      </c>
      <c r="S155" s="8">
        <f t="shared" si="42"/>
        <v>0.4591993803389674</v>
      </c>
      <c r="T155" s="11">
        <v>6.8599999999999994E-2</v>
      </c>
      <c r="U155" s="11">
        <f t="shared" ca="1" si="43"/>
        <v>2.5927560625712558E-3</v>
      </c>
      <c r="V155" s="6" t="e">
        <f ca="1">IF(agePb6U8(1/O155)&lt;1400,age7corr(1/O155,Q155,$W$2),agePb76(Q155))</f>
        <v>#NAME?</v>
      </c>
      <c r="W155" s="6" t="e">
        <f ca="1">IF(agePb6U8(1/O155)&lt;1400,ageer7corr(V155,1/O155,P155/O155*(1/O155),Q155,R155,$W$2,0.05),ageerPb76(Q155,R155))</f>
        <v>#NAME?</v>
      </c>
      <c r="X155" s="4" t="e">
        <f ca="1">agePb6U8(L155)/agePb7u5(J155)</f>
        <v>#NAME?</v>
      </c>
      <c r="Z155" s="1">
        <v>2.17</v>
      </c>
      <c r="AA155" s="1">
        <v>5.5E-2</v>
      </c>
      <c r="AB155" s="1">
        <v>0.1976</v>
      </c>
      <c r="AC155" s="1">
        <v>4.5999999999999999E-3</v>
      </c>
      <c r="AD155" s="1">
        <v>0.98453000000000002</v>
      </c>
      <c r="AE155" s="1">
        <v>5.0607290000000003</v>
      </c>
      <c r="AF155" s="1">
        <v>0.1178105</v>
      </c>
      <c r="AG155" s="1">
        <v>7.9369999999999996E-2</v>
      </c>
      <c r="AH155" s="1">
        <v>3.8999999999999999E-4</v>
      </c>
      <c r="AI155" s="1">
        <v>-0.38145000000000001</v>
      </c>
      <c r="AJ155" s="1">
        <v>6.8599999999999994E-2</v>
      </c>
      <c r="AK155" s="1">
        <v>2.2000000000000001E-3</v>
      </c>
      <c r="AL155" s="1">
        <v>16.170000000000002</v>
      </c>
      <c r="AM155" s="1">
        <v>0.59</v>
      </c>
      <c r="AN155" s="1">
        <v>1171</v>
      </c>
      <c r="AO155" s="1">
        <v>17</v>
      </c>
      <c r="AP155" s="1">
        <v>1162</v>
      </c>
      <c r="AQ155" s="1">
        <v>25</v>
      </c>
      <c r="AR155" s="1">
        <v>1341</v>
      </c>
      <c r="AS155" s="1">
        <v>41</v>
      </c>
      <c r="AT155" s="1">
        <v>1181.2</v>
      </c>
      <c r="AU155" s="1">
        <v>9.6999999999999993</v>
      </c>
      <c r="AV155" s="1">
        <v>32.919999999999995</v>
      </c>
      <c r="AW155" s="1">
        <v>0.99</v>
      </c>
      <c r="AX155" s="1">
        <v>2.2690000000000001</v>
      </c>
      <c r="AY155" s="1">
        <v>9.4E-2</v>
      </c>
      <c r="AZ155" s="1">
        <v>12730.5</v>
      </c>
      <c r="BA155" s="1">
        <v>807.3</v>
      </c>
      <c r="BB155" s="1">
        <v>19983.780000000002</v>
      </c>
      <c r="BC155" s="1">
        <v>571.31999999999994</v>
      </c>
      <c r="BD155" s="1">
        <v>252746.99999999997</v>
      </c>
      <c r="BE155" s="1">
        <v>6831</v>
      </c>
      <c r="BF155" s="1">
        <v>-4.1607000000000003</v>
      </c>
      <c r="BG155" s="1">
        <v>5.6510999999999996</v>
      </c>
      <c r="BH155" s="1">
        <f t="shared" si="44"/>
        <v>-60746.268656716406</v>
      </c>
      <c r="BI155" s="1">
        <f t="shared" si="45"/>
        <v>-82522.459485594867</v>
      </c>
    </row>
    <row r="156" spans="1:61" s="23" customFormat="1" x14ac:dyDescent="0.2">
      <c r="A156" s="23" t="s">
        <v>494</v>
      </c>
      <c r="B156" s="23" t="s">
        <v>38</v>
      </c>
      <c r="C156" s="23" t="s">
        <v>495</v>
      </c>
      <c r="D156" s="23" t="s">
        <v>496</v>
      </c>
      <c r="E156" s="23">
        <v>83873</v>
      </c>
      <c r="F156" s="23">
        <v>53601</v>
      </c>
      <c r="G156" s="23" t="s">
        <v>496</v>
      </c>
      <c r="H156" s="24">
        <v>264</v>
      </c>
      <c r="I156" s="24">
        <v>127.3</v>
      </c>
      <c r="J156" s="25">
        <v>12.76</v>
      </c>
      <c r="K156" s="25">
        <f t="shared" ca="1" si="38"/>
        <v>0.46607621694310902</v>
      </c>
      <c r="L156" s="26">
        <v>0.44500000000000001</v>
      </c>
      <c r="M156" s="26">
        <f t="shared" ca="1" si="39"/>
        <v>1.6589454481688058E-2</v>
      </c>
      <c r="N156" s="26">
        <v>0.97280999999999995</v>
      </c>
      <c r="O156" s="26">
        <v>2.2471909999999999</v>
      </c>
      <c r="P156" s="26">
        <f t="shared" ca="1" si="40"/>
        <v>8.3774542407893809E-2</v>
      </c>
      <c r="Q156" s="25">
        <v>0.2074</v>
      </c>
      <c r="R156" s="25">
        <f t="shared" ca="1" si="41"/>
        <v>4.3778880753166816E-3</v>
      </c>
      <c r="S156" s="26">
        <f t="shared" si="42"/>
        <v>0.36290622457458416</v>
      </c>
      <c r="T156" s="25">
        <v>0.1961</v>
      </c>
      <c r="U156" s="25">
        <f t="shared" ca="1" si="43"/>
        <v>6.2763113370832716E-3</v>
      </c>
      <c r="V156" s="24" t="e">
        <f ca="1">IF(agePb6U8(1/O156)&lt;1400,age7corr(1/O156,Q156,$W$2),agePb76(Q156))</f>
        <v>#NAME?</v>
      </c>
      <c r="W156" s="24" t="e">
        <f ca="1">IF(agePb6U8(1/O156)&lt;1400,ageer7corr(V156,1/O156,P156/O156*(1/O156),Q156,R156,$W$2,0.05),ageerPb76(Q156,R156))</f>
        <v>#NAME?</v>
      </c>
      <c r="X156" s="26" t="e">
        <f ca="1">agePb6U8(L156)/agePb7u5(J156)</f>
        <v>#NAME?</v>
      </c>
      <c r="Y156" s="24"/>
      <c r="Z156" s="24">
        <v>12.76</v>
      </c>
      <c r="AA156" s="24">
        <v>0.39</v>
      </c>
      <c r="AB156" s="24">
        <v>0.44500000000000001</v>
      </c>
      <c r="AC156" s="24">
        <v>1.4E-2</v>
      </c>
      <c r="AD156" s="24">
        <v>0.97280999999999995</v>
      </c>
      <c r="AE156" s="24">
        <v>2.2471909999999999</v>
      </c>
      <c r="AF156" s="24">
        <v>7.0698140000000007E-2</v>
      </c>
      <c r="AG156" s="24">
        <v>0.2074</v>
      </c>
      <c r="AH156" s="24">
        <v>1.4E-3</v>
      </c>
      <c r="AI156" s="24">
        <v>0.15634999999999999</v>
      </c>
      <c r="AJ156" s="24">
        <v>0.1961</v>
      </c>
      <c r="AK156" s="24">
        <v>4.8999999999999998E-3</v>
      </c>
      <c r="AL156" s="24">
        <v>4.9400000000000004</v>
      </c>
      <c r="AM156" s="24">
        <v>0.21</v>
      </c>
      <c r="AN156" s="24">
        <v>2660</v>
      </c>
      <c r="AO156" s="24">
        <v>29</v>
      </c>
      <c r="AP156" s="24">
        <v>2372</v>
      </c>
      <c r="AQ156" s="24">
        <v>63</v>
      </c>
      <c r="AR156" s="24">
        <v>3619</v>
      </c>
      <c r="AS156" s="24">
        <v>83</v>
      </c>
      <c r="AT156" s="24">
        <v>2885</v>
      </c>
      <c r="AU156" s="24">
        <v>11</v>
      </c>
      <c r="AV156" s="24">
        <v>57.6</v>
      </c>
      <c r="AW156" s="24">
        <v>4.3</v>
      </c>
      <c r="AX156" s="24">
        <v>10.059999999999999</v>
      </c>
      <c r="AY156" s="24">
        <v>0.25999999999999995</v>
      </c>
      <c r="AZ156" s="24">
        <v>159348.6</v>
      </c>
      <c r="BA156" s="24">
        <v>3167.1</v>
      </c>
      <c r="BB156" s="24">
        <v>203067</v>
      </c>
      <c r="BC156" s="24">
        <v>9936</v>
      </c>
      <c r="BD156" s="24">
        <v>991116</v>
      </c>
      <c r="BE156" s="24">
        <v>45954</v>
      </c>
      <c r="BF156" s="24">
        <v>621</v>
      </c>
      <c r="BG156" s="24">
        <v>25.460999999999999</v>
      </c>
      <c r="BH156" s="24">
        <f t="shared" si="44"/>
        <v>1596</v>
      </c>
      <c r="BI156" s="24">
        <f t="shared" si="45"/>
        <v>98.781932032128211</v>
      </c>
    </row>
    <row r="157" spans="1:61" x14ac:dyDescent="0.2">
      <c r="A157" t="s">
        <v>497</v>
      </c>
      <c r="B157" t="s">
        <v>38</v>
      </c>
      <c r="C157" t="s">
        <v>498</v>
      </c>
      <c r="D157" t="s">
        <v>499</v>
      </c>
      <c r="E157">
        <v>83771</v>
      </c>
      <c r="F157">
        <v>53773</v>
      </c>
      <c r="G157" t="s">
        <v>499</v>
      </c>
      <c r="H157" s="1">
        <v>57.8</v>
      </c>
      <c r="I157" s="1">
        <v>67</v>
      </c>
      <c r="J157" s="10">
        <v>5.28</v>
      </c>
      <c r="K157" s="10">
        <f t="shared" ca="1" si="38"/>
        <v>0.22616666421026774</v>
      </c>
      <c r="L157" s="7">
        <v>0.32900000000000001</v>
      </c>
      <c r="M157" s="7">
        <f t="shared" ca="1" si="39"/>
        <v>1.3685627497488013E-2</v>
      </c>
      <c r="N157" s="7">
        <v>0.99578999999999995</v>
      </c>
      <c r="O157" s="8">
        <v>3.039514</v>
      </c>
      <c r="P157" s="8">
        <f t="shared" ca="1" si="40"/>
        <v>0.12643661700697467</v>
      </c>
      <c r="Q157" s="9">
        <v>0.11655</v>
      </c>
      <c r="R157" s="9">
        <f t="shared" ca="1" si="41"/>
        <v>2.3721637801804494E-3</v>
      </c>
      <c r="S157" s="8">
        <f t="shared" si="42"/>
        <v>0.46555274308666716</v>
      </c>
      <c r="T157" s="11">
        <v>0.1229</v>
      </c>
      <c r="U157" s="11">
        <f t="shared" ca="1" si="43"/>
        <v>4.9529550775269503E-3</v>
      </c>
      <c r="V157" s="6" t="e">
        <f ca="1">IF(agePb6U8(1/O157)&lt;1400,age7corr(1/O157,Q157,$W$2),agePb76(Q157))</f>
        <v>#NAME?</v>
      </c>
      <c r="W157" s="6" t="e">
        <f ca="1">IF(agePb6U8(1/O157)&lt;1400,ageer7corr(V157,1/O157,P157/O157*(1/O157),Q157,R157,$W$2,0.05),ageerPb76(Q157,R157))</f>
        <v>#NAME?</v>
      </c>
      <c r="X157" s="4" t="e">
        <f ca="1">agePb6U8(L157)/agePb7u5(J157)</f>
        <v>#NAME?</v>
      </c>
      <c r="Z157" s="1">
        <v>5.28</v>
      </c>
      <c r="AA157" s="1">
        <v>0.2</v>
      </c>
      <c r="AB157" s="1">
        <v>0.32900000000000001</v>
      </c>
      <c r="AC157" s="1">
        <v>1.2E-2</v>
      </c>
      <c r="AD157" s="1">
        <v>0.99578999999999995</v>
      </c>
      <c r="AE157" s="1">
        <v>3.039514</v>
      </c>
      <c r="AF157" s="1">
        <v>0.1108637</v>
      </c>
      <c r="AG157" s="1">
        <v>0.11655</v>
      </c>
      <c r="AH157" s="1">
        <v>4.4000000000000002E-4</v>
      </c>
      <c r="AI157" s="1">
        <v>-0.13685</v>
      </c>
      <c r="AJ157" s="1">
        <v>0.1229</v>
      </c>
      <c r="AK157" s="1">
        <v>4.3E-3</v>
      </c>
      <c r="AL157" s="1">
        <v>2.4502999999999999</v>
      </c>
      <c r="AM157" s="1">
        <v>8.2000000000000007E-3</v>
      </c>
      <c r="AN157" s="1">
        <v>1862</v>
      </c>
      <c r="AO157" s="1">
        <v>33</v>
      </c>
      <c r="AP157" s="1">
        <v>1832</v>
      </c>
      <c r="AQ157" s="1">
        <v>60</v>
      </c>
      <c r="AR157" s="1">
        <v>2342</v>
      </c>
      <c r="AS157" s="1">
        <v>77</v>
      </c>
      <c r="AT157" s="1">
        <v>1904</v>
      </c>
      <c r="AU157" s="1">
        <v>6.8</v>
      </c>
      <c r="AV157" s="1">
        <v>12.59</v>
      </c>
      <c r="AW157" s="1">
        <v>0.31</v>
      </c>
      <c r="AX157" s="1">
        <v>5.29</v>
      </c>
      <c r="AY157" s="1">
        <v>0.16</v>
      </c>
      <c r="AZ157" s="1">
        <v>51853.500000000007</v>
      </c>
      <c r="BA157" s="1">
        <v>1304.0999999999999</v>
      </c>
      <c r="BB157" s="1">
        <v>18555.48</v>
      </c>
      <c r="BC157" s="1">
        <v>478.17000000000007</v>
      </c>
      <c r="BD157" s="1">
        <v>161087.4</v>
      </c>
      <c r="BE157" s="1">
        <v>3788.1</v>
      </c>
      <c r="BF157" s="1">
        <v>-2.4218999999999999</v>
      </c>
      <c r="BG157" s="1">
        <v>6.1478999999999999</v>
      </c>
      <c r="BH157" s="1">
        <f t="shared" si="44"/>
        <v>-66512.820512820515</v>
      </c>
      <c r="BI157" s="1">
        <f t="shared" si="45"/>
        <v>-168847.48129938866</v>
      </c>
    </row>
    <row r="158" spans="1:61" x14ac:dyDescent="0.2">
      <c r="A158" t="s">
        <v>500</v>
      </c>
      <c r="B158" t="s">
        <v>38</v>
      </c>
      <c r="C158" t="s">
        <v>501</v>
      </c>
      <c r="D158" t="s">
        <v>502</v>
      </c>
      <c r="E158">
        <v>83833</v>
      </c>
      <c r="F158">
        <v>53887</v>
      </c>
      <c r="G158" t="s">
        <v>502</v>
      </c>
      <c r="H158" s="1">
        <v>459</v>
      </c>
      <c r="I158" s="1">
        <v>90.3</v>
      </c>
      <c r="J158" s="10">
        <v>1.8180000000000001</v>
      </c>
      <c r="K158" s="10">
        <f t="shared" ref="K158:K189" ca="1" si="46">SQRT(K$2^2+(AA158/Z158)^2)*J158</f>
        <v>7.1014432335969574E-2</v>
      </c>
      <c r="L158" s="7">
        <v>0.16600000000000001</v>
      </c>
      <c r="M158" s="7">
        <f t="shared" ref="M158:M189" ca="1" si="47">SQRT(M$2^2+(AC158/AB158)^2)*L158</f>
        <v>6.5963929537285757E-3</v>
      </c>
      <c r="N158" s="7">
        <v>0.93991000000000002</v>
      </c>
      <c r="O158" s="8">
        <v>6.0240960000000001</v>
      </c>
      <c r="P158" s="8">
        <f t="shared" ref="P158:P189" ca="1" si="48">SQRT(P$2^2+(AF158/AE158)^2)*O158</f>
        <v>0.23938136121915674</v>
      </c>
      <c r="Q158" s="9">
        <v>7.9939999999999997E-2</v>
      </c>
      <c r="R158" s="9">
        <f t="shared" ref="R158:R189" ca="1" si="49">SQRT(R$2^2+(AH158/AG158)^2)*Q158</f>
        <v>1.8752497007065484E-3</v>
      </c>
      <c r="S158" s="8">
        <f t="shared" ref="S158:S189" si="50">(((BE158/BD158)^2+(AW158/AV158)^2)+((BE158/BD158)^2+(BC158/BB158)^2)-((BC158/BB158)^2+(AW158/AV158)^2))/(2*SQRT((BE158/BD158)^2+(AW158/AV158)^2)*SQRT((BE158/BD158)^2+(BC158/BB158)^2))</f>
        <v>0.36469651716067186</v>
      </c>
      <c r="T158" s="11">
        <v>7.1099999999999997E-2</v>
      </c>
      <c r="U158" s="11">
        <f t="shared" ref="U158:U189" ca="1" si="51">SQRT(U$2^2+(AK158/AJ158)^2)*T158</f>
        <v>2.6195579779802547E-3</v>
      </c>
      <c r="V158" s="6" t="e">
        <f ca="1">IF(agePb6U8(1/O158)&lt;1400,age7corr(1/O158,Q158,$W$2),agePb76(Q158))</f>
        <v>#NAME?</v>
      </c>
      <c r="W158" s="6" t="e">
        <f ca="1">IF(agePb6U8(1/O158)&lt;1400,ageer7corr(V158,1/O158,P158/O158*(1/O158),Q158,R158,$W$2,0.05),ageerPb76(Q158,R158))</f>
        <v>#NAME?</v>
      </c>
      <c r="X158" s="4" t="e">
        <f ca="1">agePb6U8(L158)/agePb7u5(J158)</f>
        <v>#NAME?</v>
      </c>
      <c r="Z158" s="1">
        <v>1.8180000000000001</v>
      </c>
      <c r="AA158" s="1">
        <v>6.0999999999999999E-2</v>
      </c>
      <c r="AB158" s="1">
        <v>0.16600000000000001</v>
      </c>
      <c r="AC158" s="1">
        <v>5.7000000000000002E-3</v>
      </c>
      <c r="AD158" s="1">
        <v>0.93991000000000002</v>
      </c>
      <c r="AE158" s="1">
        <v>6.0240960000000001</v>
      </c>
      <c r="AF158" s="1">
        <v>0.20685149999999999</v>
      </c>
      <c r="AG158" s="1">
        <v>7.9939999999999997E-2</v>
      </c>
      <c r="AH158" s="1">
        <v>9.7999999999999997E-4</v>
      </c>
      <c r="AI158" s="1">
        <v>-4.4255999999999997E-2</v>
      </c>
      <c r="AJ158" s="1">
        <v>7.1099999999999997E-2</v>
      </c>
      <c r="AK158" s="1">
        <v>2.2000000000000001E-3</v>
      </c>
      <c r="AL158" s="1">
        <v>12.526</v>
      </c>
      <c r="AM158" s="1">
        <v>7.6999999999999999E-2</v>
      </c>
      <c r="AN158" s="1">
        <v>1051</v>
      </c>
      <c r="AO158" s="1">
        <v>22</v>
      </c>
      <c r="AP158" s="1">
        <v>989</v>
      </c>
      <c r="AQ158" s="1">
        <v>31</v>
      </c>
      <c r="AR158" s="1">
        <v>1388</v>
      </c>
      <c r="AS158" s="1">
        <v>41</v>
      </c>
      <c r="AT158" s="1">
        <v>1195</v>
      </c>
      <c r="AU158" s="1">
        <v>24</v>
      </c>
      <c r="AV158" s="1">
        <v>100</v>
      </c>
      <c r="AW158" s="1">
        <v>5.7</v>
      </c>
      <c r="AX158" s="1">
        <v>7.13</v>
      </c>
      <c r="AY158" s="1">
        <v>0.11</v>
      </c>
      <c r="AZ158" s="1">
        <v>41607</v>
      </c>
      <c r="BA158" s="1">
        <v>1676.7</v>
      </c>
      <c r="BB158" s="1">
        <v>52412.4</v>
      </c>
      <c r="BC158" s="1">
        <v>2794.5000000000005</v>
      </c>
      <c r="BD158" s="1">
        <v>653913</v>
      </c>
      <c r="BE158" s="1">
        <v>27324</v>
      </c>
      <c r="BF158" s="1">
        <v>1.0557000000000001</v>
      </c>
      <c r="BG158" s="1">
        <v>4.968</v>
      </c>
      <c r="BH158" s="1">
        <f t="shared" ref="BH158:BH189" si="52">BD158/BF158</f>
        <v>619411.76470588229</v>
      </c>
      <c r="BI158" s="1">
        <f t="shared" ref="BI158:BI189" si="53">SQRT((BG158/BF158)^2+(BE158/BD158)^2)*BH158</f>
        <v>2914993.8002502541</v>
      </c>
    </row>
    <row r="159" spans="1:61" x14ac:dyDescent="0.2">
      <c r="A159" t="s">
        <v>503</v>
      </c>
      <c r="B159" t="s">
        <v>38</v>
      </c>
      <c r="C159" t="s">
        <v>504</v>
      </c>
      <c r="D159" t="s">
        <v>505</v>
      </c>
      <c r="E159">
        <v>83776</v>
      </c>
      <c r="F159">
        <v>54026</v>
      </c>
      <c r="G159" t="s">
        <v>505</v>
      </c>
      <c r="H159" s="1">
        <v>137.30000000000001</v>
      </c>
      <c r="I159" s="1">
        <v>49.8</v>
      </c>
      <c r="J159" s="10">
        <v>5.47</v>
      </c>
      <c r="K159" s="10">
        <f t="shared" ca="1" si="46"/>
        <v>0.28207864151686496</v>
      </c>
      <c r="L159" s="7">
        <v>0.33400000000000002</v>
      </c>
      <c r="M159" s="7">
        <f t="shared" ca="1" si="47"/>
        <v>1.6420182703003033E-2</v>
      </c>
      <c r="N159" s="7">
        <v>0.99495</v>
      </c>
      <c r="O159" s="8">
        <v>2.9940120000000001</v>
      </c>
      <c r="P159" s="8">
        <f t="shared" ca="1" si="48"/>
        <v>0.14719227227343695</v>
      </c>
      <c r="Q159" s="9">
        <v>0.11903</v>
      </c>
      <c r="R159" s="9">
        <f t="shared" ca="1" si="49"/>
        <v>2.4870979795737842E-3</v>
      </c>
      <c r="S159" s="8">
        <f t="shared" si="50"/>
        <v>0.45248852631297493</v>
      </c>
      <c r="T159" s="11">
        <v>0.1293</v>
      </c>
      <c r="U159" s="11">
        <f t="shared" ca="1" si="51"/>
        <v>6.168257128233226E-3</v>
      </c>
      <c r="V159" s="6" t="e">
        <f ca="1">IF(agePb6U8(1/O159)&lt;1400,age7corr(1/O159,Q159,$W$2),agePb76(Q159))</f>
        <v>#NAME?</v>
      </c>
      <c r="W159" s="6" t="e">
        <f ca="1">IF(agePb6U8(1/O159)&lt;1400,ageer7corr(V159,1/O159,P159/O159*(1/O159),Q159,R159,$W$2,0.05),ageerPb76(Q159,R159))</f>
        <v>#NAME?</v>
      </c>
      <c r="X159" s="4" t="e">
        <f ca="1">agePb6U8(L159)/agePb7u5(J159)</f>
        <v>#NAME?</v>
      </c>
      <c r="Z159" s="1">
        <v>5.47</v>
      </c>
      <c r="AA159" s="1">
        <v>0.26</v>
      </c>
      <c r="AB159" s="1">
        <v>0.33400000000000002</v>
      </c>
      <c r="AC159" s="1">
        <v>1.4999999999999999E-2</v>
      </c>
      <c r="AD159" s="1">
        <v>0.99495</v>
      </c>
      <c r="AE159" s="1">
        <v>2.9940120000000001</v>
      </c>
      <c r="AF159" s="1">
        <v>0.13446159999999999</v>
      </c>
      <c r="AG159" s="1">
        <v>0.11903</v>
      </c>
      <c r="AH159" s="1">
        <v>7.2000000000000005E-4</v>
      </c>
      <c r="AI159" s="1">
        <v>-0.45495000000000002</v>
      </c>
      <c r="AJ159" s="1">
        <v>0.1293</v>
      </c>
      <c r="AK159" s="1">
        <v>5.5999999999999999E-3</v>
      </c>
      <c r="AL159" s="1">
        <v>7.4859999999999998</v>
      </c>
      <c r="AM159" s="1">
        <v>2.7E-2</v>
      </c>
      <c r="AN159" s="1">
        <v>1901</v>
      </c>
      <c r="AO159" s="1">
        <v>39</v>
      </c>
      <c r="AP159" s="1">
        <v>1853</v>
      </c>
      <c r="AQ159" s="1">
        <v>74</v>
      </c>
      <c r="AR159" s="1">
        <v>2460</v>
      </c>
      <c r="AS159" s="1">
        <v>100</v>
      </c>
      <c r="AT159" s="1">
        <v>1941</v>
      </c>
      <c r="AU159" s="1">
        <v>11</v>
      </c>
      <c r="AV159" s="1">
        <v>29.89</v>
      </c>
      <c r="AW159" s="1">
        <v>0.9</v>
      </c>
      <c r="AX159" s="1">
        <v>3.94</v>
      </c>
      <c r="AY159" s="1">
        <v>0.15</v>
      </c>
      <c r="AZ159" s="1">
        <v>41482.799999999996</v>
      </c>
      <c r="BA159" s="1">
        <v>1242</v>
      </c>
      <c r="BB159" s="1">
        <v>45954</v>
      </c>
      <c r="BC159" s="1">
        <v>1366.1999999999998</v>
      </c>
      <c r="BD159" s="1">
        <v>388125</v>
      </c>
      <c r="BE159" s="1">
        <v>10557</v>
      </c>
      <c r="BF159" s="1">
        <v>4.1607000000000003</v>
      </c>
      <c r="BG159" s="1">
        <v>5.8373999999999997</v>
      </c>
      <c r="BH159" s="1">
        <f t="shared" si="52"/>
        <v>93283.582089552234</v>
      </c>
      <c r="BI159" s="1">
        <f t="shared" si="53"/>
        <v>130900.06681331794</v>
      </c>
    </row>
    <row r="160" spans="1:61" x14ac:dyDescent="0.2">
      <c r="A160" t="s">
        <v>506</v>
      </c>
      <c r="B160" t="s">
        <v>38</v>
      </c>
      <c r="C160" t="s">
        <v>507</v>
      </c>
      <c r="D160" t="s">
        <v>508</v>
      </c>
      <c r="E160">
        <v>83716</v>
      </c>
      <c r="F160">
        <v>54222</v>
      </c>
      <c r="G160" t="s">
        <v>508</v>
      </c>
      <c r="H160" s="1">
        <v>47.17</v>
      </c>
      <c r="I160" s="1">
        <v>16.62</v>
      </c>
      <c r="J160" s="10">
        <v>6.57</v>
      </c>
      <c r="K160" s="10">
        <f t="shared" ca="1" si="46"/>
        <v>0.21486265380470382</v>
      </c>
      <c r="L160" s="7">
        <v>0.37209999999999999</v>
      </c>
      <c r="M160" s="7">
        <f t="shared" ca="1" si="47"/>
        <v>1.1601438014315294E-2</v>
      </c>
      <c r="N160" s="7">
        <v>0.99085000000000001</v>
      </c>
      <c r="O160" s="8">
        <v>2.6874500000000001</v>
      </c>
      <c r="P160" s="8">
        <f t="shared" ca="1" si="48"/>
        <v>8.3790061525176721E-2</v>
      </c>
      <c r="Q160" s="9">
        <v>0.12792000000000001</v>
      </c>
      <c r="R160" s="9">
        <f t="shared" ca="1" si="49"/>
        <v>2.6049012572456564E-3</v>
      </c>
      <c r="S160" s="8">
        <f t="shared" si="50"/>
        <v>0.40994390603779102</v>
      </c>
      <c r="T160" s="11">
        <v>0.1474</v>
      </c>
      <c r="U160" s="11">
        <f t="shared" ca="1" si="51"/>
        <v>5.5480360489095597E-3</v>
      </c>
      <c r="V160" s="6" t="e">
        <f ca="1">IF(agePb6U8(1/O160)&lt;1400,age7corr(1/O160,Q160,$W$2),agePb76(Q160))</f>
        <v>#NAME?</v>
      </c>
      <c r="W160" s="6" t="e">
        <f ca="1">IF(agePb6U8(1/O160)&lt;1400,ageer7corr(V160,1/O160,P160/O160*(1/O160),Q160,R160,$W$2,0.05),ageerPb76(Q160,R160))</f>
        <v>#NAME?</v>
      </c>
      <c r="X160" s="4" t="e">
        <f ca="1">agePb6U8(L160)/agePb7u5(J160)</f>
        <v>#NAME?</v>
      </c>
      <c r="Z160" s="1">
        <v>6.57</v>
      </c>
      <c r="AA160" s="1">
        <v>0.17</v>
      </c>
      <c r="AB160" s="1">
        <v>0.37209999999999999</v>
      </c>
      <c r="AC160" s="1">
        <v>8.8999999999999999E-3</v>
      </c>
      <c r="AD160" s="1">
        <v>0.99085000000000001</v>
      </c>
      <c r="AE160" s="1">
        <v>2.6874500000000001</v>
      </c>
      <c r="AF160" s="1">
        <v>6.4279230000000007E-2</v>
      </c>
      <c r="AG160" s="1">
        <v>0.12792000000000001</v>
      </c>
      <c r="AH160" s="1">
        <v>4.8999999999999998E-4</v>
      </c>
      <c r="AI160" s="1">
        <v>6.2974000000000002E-2</v>
      </c>
      <c r="AJ160" s="1">
        <v>0.1474</v>
      </c>
      <c r="AK160" s="1">
        <v>4.7000000000000002E-3</v>
      </c>
      <c r="AL160" s="1">
        <v>7.7030000000000003</v>
      </c>
      <c r="AM160" s="1">
        <v>3.5000000000000003E-2</v>
      </c>
      <c r="AN160" s="1">
        <v>2054</v>
      </c>
      <c r="AO160" s="1">
        <v>22</v>
      </c>
      <c r="AP160" s="1">
        <v>2039</v>
      </c>
      <c r="AQ160" s="1">
        <v>42</v>
      </c>
      <c r="AR160" s="1">
        <v>2778</v>
      </c>
      <c r="AS160" s="1">
        <v>83</v>
      </c>
      <c r="AT160" s="1">
        <v>2069.5</v>
      </c>
      <c r="AU160" s="1">
        <v>6.7</v>
      </c>
      <c r="AV160" s="1">
        <v>10.27</v>
      </c>
      <c r="AW160" s="1">
        <v>0.19</v>
      </c>
      <c r="AX160" s="1">
        <v>1.3129999999999999</v>
      </c>
      <c r="AY160" s="1">
        <v>5.8000000000000003E-2</v>
      </c>
      <c r="AZ160" s="1">
        <v>15587.1</v>
      </c>
      <c r="BA160" s="1">
        <v>273.24</v>
      </c>
      <c r="BB160" s="1">
        <v>19282.05</v>
      </c>
      <c r="BC160" s="1">
        <v>310.5</v>
      </c>
      <c r="BD160" s="1">
        <v>150778.79999999999</v>
      </c>
      <c r="BE160" s="1">
        <v>2173.5</v>
      </c>
      <c r="BF160" s="1">
        <v>5.2784999999999993</v>
      </c>
      <c r="BG160" s="1">
        <v>4.968</v>
      </c>
      <c r="BH160" s="1">
        <f t="shared" si="52"/>
        <v>28564.705882352944</v>
      </c>
      <c r="BI160" s="1">
        <f t="shared" si="53"/>
        <v>26887.582196323056</v>
      </c>
    </row>
    <row r="161" spans="1:61" x14ac:dyDescent="0.2">
      <c r="A161" t="s">
        <v>509</v>
      </c>
      <c r="B161" t="s">
        <v>38</v>
      </c>
      <c r="C161" t="s">
        <v>510</v>
      </c>
      <c r="D161" t="s">
        <v>511</v>
      </c>
      <c r="E161">
        <v>83735</v>
      </c>
      <c r="F161">
        <v>54386</v>
      </c>
      <c r="G161" t="s">
        <v>511</v>
      </c>
      <c r="H161" s="1">
        <v>164</v>
      </c>
      <c r="I161" s="1">
        <v>64.2</v>
      </c>
      <c r="J161" s="10">
        <v>1.8160000000000001</v>
      </c>
      <c r="K161" s="10">
        <f t="shared" ca="1" si="46"/>
        <v>8.513602292801796E-2</v>
      </c>
      <c r="L161" s="7">
        <v>0.17280000000000001</v>
      </c>
      <c r="M161" s="7">
        <f t="shared" ca="1" si="47"/>
        <v>7.627839536854455E-3</v>
      </c>
      <c r="N161" s="7">
        <v>0.99011000000000005</v>
      </c>
      <c r="O161" s="8">
        <v>5.7870369999999998</v>
      </c>
      <c r="P161" s="8">
        <f t="shared" ca="1" si="48"/>
        <v>0.25545478087541756</v>
      </c>
      <c r="Q161" s="9">
        <v>7.6109999999999997E-2</v>
      </c>
      <c r="R161" s="9">
        <f t="shared" ca="1" si="49"/>
        <v>1.5960867269669277E-3</v>
      </c>
      <c r="S161" s="8">
        <f t="shared" si="50"/>
        <v>0.53021683492723493</v>
      </c>
      <c r="T161" s="11">
        <v>7.5200000000000003E-2</v>
      </c>
      <c r="U161" s="11">
        <f t="shared" ca="1" si="51"/>
        <v>3.355892727725367E-3</v>
      </c>
      <c r="V161" s="6" t="e">
        <f ca="1">IF(agePb6U8(1/O161)&lt;1400,age7corr(1/O161,Q161,$W$2),agePb76(Q161))</f>
        <v>#NAME?</v>
      </c>
      <c r="W161" s="6" t="e">
        <f ca="1">IF(agePb6U8(1/O161)&lt;1400,ageer7corr(V161,1/O161,P161/O161*(1/O161),Q161,R161,$W$2,0.05),ageerPb76(Q161,R161))</f>
        <v>#NAME?</v>
      </c>
      <c r="X161" s="4" t="e">
        <f ca="1">agePb6U8(L161)/agePb7u5(J161)</f>
        <v>#NAME?</v>
      </c>
      <c r="Z161" s="1">
        <v>1.8160000000000001</v>
      </c>
      <c r="AA161" s="1">
        <v>7.6999999999999999E-2</v>
      </c>
      <c r="AB161" s="1">
        <v>0.17280000000000001</v>
      </c>
      <c r="AC161" s="1">
        <v>6.7999999999999996E-3</v>
      </c>
      <c r="AD161" s="1">
        <v>0.99011000000000005</v>
      </c>
      <c r="AE161" s="1">
        <v>5.7870369999999998</v>
      </c>
      <c r="AF161" s="1">
        <v>0.22773060000000001</v>
      </c>
      <c r="AG161" s="1">
        <v>7.6109999999999997E-2</v>
      </c>
      <c r="AH161" s="1">
        <v>4.8000000000000001E-4</v>
      </c>
      <c r="AI161" s="1">
        <v>-0.26245000000000002</v>
      </c>
      <c r="AJ161" s="1">
        <v>7.5200000000000003E-2</v>
      </c>
      <c r="AK161" s="1">
        <v>3.0000000000000001E-3</v>
      </c>
      <c r="AL161" s="1">
        <v>6.2229999999999999</v>
      </c>
      <c r="AM161" s="1">
        <v>3.3000000000000002E-2</v>
      </c>
      <c r="AN161" s="1">
        <v>1049</v>
      </c>
      <c r="AO161" s="1">
        <v>28</v>
      </c>
      <c r="AP161" s="1">
        <v>1027</v>
      </c>
      <c r="AQ161" s="1">
        <v>37</v>
      </c>
      <c r="AR161" s="1">
        <v>1464</v>
      </c>
      <c r="AS161" s="1">
        <v>56</v>
      </c>
      <c r="AT161" s="1">
        <v>1098</v>
      </c>
      <c r="AU161" s="1">
        <v>12</v>
      </c>
      <c r="AV161" s="1">
        <v>35.700000000000003</v>
      </c>
      <c r="AW161" s="1">
        <v>1.1000000000000001</v>
      </c>
      <c r="AX161" s="1">
        <v>5.0720000000000001</v>
      </c>
      <c r="AY161" s="1">
        <v>8.1000000000000003E-2</v>
      </c>
      <c r="AZ161" s="1">
        <v>30677.4</v>
      </c>
      <c r="BA161" s="1">
        <v>1117.8000000000002</v>
      </c>
      <c r="BB161" s="1">
        <v>18071.100000000002</v>
      </c>
      <c r="BC161" s="1">
        <v>683.09999999999991</v>
      </c>
      <c r="BD161" s="1">
        <v>238464.00000000003</v>
      </c>
      <c r="BE161" s="1">
        <v>8694</v>
      </c>
      <c r="BF161" s="1">
        <v>5.3406000000000002</v>
      </c>
      <c r="BG161" s="1">
        <v>5.3406000000000002</v>
      </c>
      <c r="BH161" s="1">
        <f t="shared" si="52"/>
        <v>44651.162790697679</v>
      </c>
      <c r="BI161" s="1">
        <f t="shared" si="53"/>
        <v>44680.828323636939</v>
      </c>
    </row>
    <row r="162" spans="1:61" s="23" customFormat="1" x14ac:dyDescent="0.2">
      <c r="A162" s="23" t="s">
        <v>512</v>
      </c>
      <c r="B162" s="23" t="s">
        <v>38</v>
      </c>
      <c r="C162" s="23" t="s">
        <v>513</v>
      </c>
      <c r="D162" s="23" t="s">
        <v>514</v>
      </c>
      <c r="E162" s="23">
        <v>83788</v>
      </c>
      <c r="F162" s="23">
        <v>54545</v>
      </c>
      <c r="G162" s="23" t="s">
        <v>514</v>
      </c>
      <c r="H162" s="24">
        <v>237.3</v>
      </c>
      <c r="I162" s="24">
        <v>91.6</v>
      </c>
      <c r="J162" s="25">
        <v>1.6930000000000001</v>
      </c>
      <c r="K162" s="25">
        <f t="shared" ca="1" si="46"/>
        <v>5.6316068754841193E-2</v>
      </c>
      <c r="L162" s="26">
        <v>0.15290000000000001</v>
      </c>
      <c r="M162" s="26">
        <f t="shared" ca="1" si="47"/>
        <v>5.114818080831419E-3</v>
      </c>
      <c r="N162" s="26">
        <v>0.98636999999999997</v>
      </c>
      <c r="O162" s="26">
        <v>6.540222</v>
      </c>
      <c r="P162" s="26">
        <f t="shared" ca="1" si="48"/>
        <v>0.21878383743769464</v>
      </c>
      <c r="Q162" s="25">
        <v>8.0409999999999995E-2</v>
      </c>
      <c r="R162" s="25">
        <f t="shared" ca="1" si="49"/>
        <v>1.6699722273139754E-3</v>
      </c>
      <c r="S162" s="26">
        <f t="shared" si="50"/>
        <v>0.48136724816937676</v>
      </c>
      <c r="T162" s="25">
        <v>7.4700000000000003E-2</v>
      </c>
      <c r="U162" s="25">
        <f t="shared" ca="1" si="51"/>
        <v>2.6593299908059553E-3</v>
      </c>
      <c r="V162" s="24" t="e">
        <f ca="1">IF(agePb6U8(1/O162)&lt;1400,age7corr(1/O162,Q162,$W$2),agePb76(Q162))</f>
        <v>#NAME?</v>
      </c>
      <c r="W162" s="24" t="e">
        <f ca="1">IF(agePb6U8(1/O162)&lt;1400,ageer7corr(V162,1/O162,P162/O162*(1/O162),Q162,R162,$W$2,0.05),ageerPb76(Q162,R162))</f>
        <v>#NAME?</v>
      </c>
      <c r="X162" s="26" t="e">
        <f ca="1">agePb6U8(L162)/agePb7u5(J162)</f>
        <v>#NAME?</v>
      </c>
      <c r="Y162" s="24"/>
      <c r="Z162" s="24">
        <v>1.6930000000000001</v>
      </c>
      <c r="AA162" s="24">
        <v>4.4999999999999998E-2</v>
      </c>
      <c r="AB162" s="24">
        <v>0.15290000000000001</v>
      </c>
      <c r="AC162" s="24">
        <v>4.1000000000000003E-3</v>
      </c>
      <c r="AD162" s="24">
        <v>0.98636999999999997</v>
      </c>
      <c r="AE162" s="24">
        <v>6.540222</v>
      </c>
      <c r="AF162" s="24">
        <v>0.17537549999999999</v>
      </c>
      <c r="AG162" s="24">
        <v>8.0409999999999995E-2</v>
      </c>
      <c r="AH162" s="24">
        <v>4.4999999999999999E-4</v>
      </c>
      <c r="AI162" s="24">
        <v>6.2107000000000002E-2</v>
      </c>
      <c r="AJ162" s="24">
        <v>7.4700000000000003E-2</v>
      </c>
      <c r="AK162" s="24">
        <v>2.2000000000000001E-3</v>
      </c>
      <c r="AL162" s="24">
        <v>5.484</v>
      </c>
      <c r="AM162" s="24">
        <v>0.04</v>
      </c>
      <c r="AN162" s="24">
        <v>1005</v>
      </c>
      <c r="AO162" s="24">
        <v>17</v>
      </c>
      <c r="AP162" s="24">
        <v>917</v>
      </c>
      <c r="AQ162" s="24">
        <v>23</v>
      </c>
      <c r="AR162" s="24">
        <v>1456</v>
      </c>
      <c r="AS162" s="24">
        <v>41</v>
      </c>
      <c r="AT162" s="24">
        <v>1207</v>
      </c>
      <c r="AU162" s="24">
        <v>11</v>
      </c>
      <c r="AV162" s="24">
        <v>51.7</v>
      </c>
      <c r="AW162" s="24">
        <v>1.2</v>
      </c>
      <c r="AX162" s="24">
        <v>7.23</v>
      </c>
      <c r="AY162" s="24">
        <v>0.13999999999999999</v>
      </c>
      <c r="AZ162" s="24">
        <v>43966.799999999996</v>
      </c>
      <c r="BA162" s="24">
        <v>1055.7</v>
      </c>
      <c r="BB162" s="24">
        <v>24225.21</v>
      </c>
      <c r="BC162" s="24">
        <v>571.31999999999994</v>
      </c>
      <c r="BD162" s="24">
        <v>303048</v>
      </c>
      <c r="BE162" s="24">
        <v>6831</v>
      </c>
      <c r="BF162" s="24">
        <v>200.583</v>
      </c>
      <c r="BG162" s="24">
        <v>11.177999999999999</v>
      </c>
      <c r="BH162" s="24">
        <f t="shared" si="52"/>
        <v>1510.8359133126935</v>
      </c>
      <c r="BI162" s="24">
        <f t="shared" si="53"/>
        <v>90.82192815988985</v>
      </c>
    </row>
    <row r="163" spans="1:61" s="23" customFormat="1" x14ac:dyDescent="0.2">
      <c r="A163" s="23" t="s">
        <v>521</v>
      </c>
      <c r="B163" s="23" t="s">
        <v>38</v>
      </c>
      <c r="C163" s="23" t="s">
        <v>522</v>
      </c>
      <c r="D163" s="23" t="s">
        <v>523</v>
      </c>
      <c r="E163" s="23">
        <v>83758</v>
      </c>
      <c r="F163" s="23">
        <v>54861</v>
      </c>
      <c r="G163" s="23" t="s">
        <v>523</v>
      </c>
      <c r="H163" s="24">
        <v>331</v>
      </c>
      <c r="I163" s="24">
        <v>155.9</v>
      </c>
      <c r="J163" s="25">
        <v>3.97</v>
      </c>
      <c r="K163" s="25">
        <f t="shared" ca="1" si="46"/>
        <v>0.17861791623462636</v>
      </c>
      <c r="L163" s="26">
        <v>0.24399999999999999</v>
      </c>
      <c r="M163" s="26">
        <f t="shared" ca="1" si="47"/>
        <v>1.1127191918898497E-2</v>
      </c>
      <c r="N163" s="26">
        <v>0.95794000000000001</v>
      </c>
      <c r="O163" s="26">
        <v>4.0983609999999997</v>
      </c>
      <c r="P163" s="26">
        <f t="shared" ca="1" si="48"/>
        <v>0.18689854985496382</v>
      </c>
      <c r="Q163" s="25">
        <v>0.11799999999999999</v>
      </c>
      <c r="R163" s="25">
        <f t="shared" ca="1" si="49"/>
        <v>2.9085391522205781E-3</v>
      </c>
      <c r="S163" s="26">
        <f t="shared" si="50"/>
        <v>0.35141262320440053</v>
      </c>
      <c r="T163" s="25">
        <v>0.1298</v>
      </c>
      <c r="U163" s="25">
        <f t="shared" ca="1" si="51"/>
        <v>5.6337568282630026E-3</v>
      </c>
      <c r="V163" s="24" t="e">
        <f ca="1">IF(agePb6U8(1/O163)&lt;1400,age7corr(1/O163,Q163,$W$2),agePb76(Q163))</f>
        <v>#NAME?</v>
      </c>
      <c r="W163" s="24" t="e">
        <f ca="1">IF(agePb6U8(1/O163)&lt;1400,ageer7corr(V163,1/O163,P163/O163*(1/O163),Q163,R163,$W$2,0.05),ageerPb76(Q163,R163))</f>
        <v>#NAME?</v>
      </c>
      <c r="X163" s="26" t="e">
        <f ca="1">agePb6U8(L163)/agePb7u5(J163)</f>
        <v>#NAME?</v>
      </c>
      <c r="Y163" s="24"/>
      <c r="Z163" s="24">
        <v>3.97</v>
      </c>
      <c r="AA163" s="24">
        <v>0.16</v>
      </c>
      <c r="AB163" s="24">
        <v>0.24399999999999999</v>
      </c>
      <c r="AC163" s="24">
        <v>0.01</v>
      </c>
      <c r="AD163" s="24">
        <v>0.95794000000000001</v>
      </c>
      <c r="AE163" s="24">
        <v>4.0983609999999997</v>
      </c>
      <c r="AF163" s="24">
        <v>0.16796559999999999</v>
      </c>
      <c r="AG163" s="24">
        <v>0.11799999999999999</v>
      </c>
      <c r="AH163" s="24">
        <v>1.6999999999999999E-3</v>
      </c>
      <c r="AI163" s="24">
        <v>8.4778999999999993E-2</v>
      </c>
      <c r="AJ163" s="24">
        <v>0.1298</v>
      </c>
      <c r="AK163" s="24">
        <v>5.0000000000000001E-3</v>
      </c>
      <c r="AL163" s="24">
        <v>4.3600000000000003</v>
      </c>
      <c r="AM163" s="24">
        <v>0.2</v>
      </c>
      <c r="AN163" s="24">
        <v>1626</v>
      </c>
      <c r="AO163" s="24">
        <v>34</v>
      </c>
      <c r="AP163" s="24">
        <v>1421</v>
      </c>
      <c r="AQ163" s="24">
        <v>48</v>
      </c>
      <c r="AR163" s="24">
        <v>2467</v>
      </c>
      <c r="AS163" s="24">
        <v>89</v>
      </c>
      <c r="AT163" s="24">
        <v>1924</v>
      </c>
      <c r="AU163" s="24">
        <v>26</v>
      </c>
      <c r="AV163" s="24">
        <v>72.099999999999994</v>
      </c>
      <c r="AW163" s="24">
        <v>3.5</v>
      </c>
      <c r="AX163" s="24">
        <v>12.31</v>
      </c>
      <c r="AY163" s="24">
        <v>0.73</v>
      </c>
      <c r="AZ163" s="24">
        <v>130223.7</v>
      </c>
      <c r="BA163" s="24">
        <v>3291.2999999999997</v>
      </c>
      <c r="BB163" s="24">
        <v>81661.5</v>
      </c>
      <c r="BC163" s="24">
        <v>3974.4</v>
      </c>
      <c r="BD163" s="24">
        <v>694278.00000000012</v>
      </c>
      <c r="BE163" s="24">
        <v>24840</v>
      </c>
      <c r="BF163" s="24">
        <v>912.87</v>
      </c>
      <c r="BG163" s="24">
        <v>62.1</v>
      </c>
      <c r="BH163" s="24">
        <f t="shared" si="52"/>
        <v>760.54421768707493</v>
      </c>
      <c r="BI163" s="24">
        <f t="shared" si="53"/>
        <v>58.457010045810364</v>
      </c>
    </row>
    <row r="164" spans="1:61" x14ac:dyDescent="0.2">
      <c r="A164" t="s">
        <v>524</v>
      </c>
      <c r="B164" t="s">
        <v>38</v>
      </c>
      <c r="C164" t="s">
        <v>525</v>
      </c>
      <c r="D164" t="s">
        <v>526</v>
      </c>
      <c r="E164">
        <v>83717</v>
      </c>
      <c r="F164">
        <v>54990</v>
      </c>
      <c r="G164" t="s">
        <v>526</v>
      </c>
      <c r="H164" s="1">
        <v>461</v>
      </c>
      <c r="I164" s="1">
        <v>13.09</v>
      </c>
      <c r="J164" s="10">
        <v>1.895</v>
      </c>
      <c r="K164" s="10">
        <f t="shared" ca="1" si="46"/>
        <v>9.6733706638379172E-2</v>
      </c>
      <c r="L164" s="7">
        <v>0.1661</v>
      </c>
      <c r="M164" s="7">
        <f t="shared" ca="1" si="47"/>
        <v>7.6580470095188105E-3</v>
      </c>
      <c r="N164" s="7">
        <v>0.96936</v>
      </c>
      <c r="O164" s="8">
        <v>6.0204700000000004</v>
      </c>
      <c r="P164" s="8">
        <f t="shared" ca="1" si="48"/>
        <v>0.27757401386513114</v>
      </c>
      <c r="Q164" s="9">
        <v>8.2600000000000007E-2</v>
      </c>
      <c r="R164" s="9">
        <f t="shared" ca="1" si="49"/>
        <v>1.9310888120436099E-3</v>
      </c>
      <c r="S164" s="8">
        <f t="shared" si="50"/>
        <v>0.36616068127415496</v>
      </c>
      <c r="T164" s="11">
        <v>7.7200000000000005E-2</v>
      </c>
      <c r="U164" s="11">
        <f t="shared" ca="1" si="51"/>
        <v>3.5530178721757087E-3</v>
      </c>
      <c r="V164" s="6" t="e">
        <f ca="1">IF(agePb6U8(1/O164)&lt;1400,age7corr(1/O164,Q164,$W$2),agePb76(Q164))</f>
        <v>#NAME?</v>
      </c>
      <c r="W164" s="6" t="e">
        <f ca="1">IF(agePb6U8(1/O164)&lt;1400,ageer7corr(V164,1/O164,P164/O164*(1/O164),Q164,R164,$W$2,0.05),ageerPb76(Q164,R164))</f>
        <v>#NAME?</v>
      </c>
      <c r="X164" s="4" t="e">
        <f ca="1">agePb6U8(L164)/agePb7u5(J164)</f>
        <v>#NAME?</v>
      </c>
      <c r="Z164" s="1">
        <v>1.895</v>
      </c>
      <c r="AA164" s="1">
        <v>8.8999999999999996E-2</v>
      </c>
      <c r="AB164" s="1">
        <v>0.1661</v>
      </c>
      <c r="AC164" s="1">
        <v>6.8999999999999999E-3</v>
      </c>
      <c r="AD164" s="1">
        <v>0.96936</v>
      </c>
      <c r="AE164" s="1">
        <v>6.0204700000000004</v>
      </c>
      <c r="AF164" s="1">
        <v>0.25009779999999998</v>
      </c>
      <c r="AG164" s="1">
        <v>8.2600000000000007E-2</v>
      </c>
      <c r="AH164" s="1">
        <v>1E-3</v>
      </c>
      <c r="AI164" s="1">
        <v>-0.26729000000000003</v>
      </c>
      <c r="AJ164" s="1">
        <v>7.7200000000000005E-2</v>
      </c>
      <c r="AK164" s="1">
        <v>3.2000000000000002E-3</v>
      </c>
      <c r="AL164" s="1">
        <v>77.599999999999994</v>
      </c>
      <c r="AM164" s="1">
        <v>1.5</v>
      </c>
      <c r="AN164" s="1">
        <v>1077</v>
      </c>
      <c r="AO164" s="1">
        <v>31</v>
      </c>
      <c r="AP164" s="1">
        <v>990</v>
      </c>
      <c r="AQ164" s="1">
        <v>38</v>
      </c>
      <c r="AR164" s="1">
        <v>1503</v>
      </c>
      <c r="AS164" s="1">
        <v>61</v>
      </c>
      <c r="AT164" s="1">
        <v>1258</v>
      </c>
      <c r="AU164" s="1">
        <v>24</v>
      </c>
      <c r="AV164" s="1">
        <v>100.3</v>
      </c>
      <c r="AW164" s="1">
        <v>2.9</v>
      </c>
      <c r="AX164" s="1">
        <v>1.0330000000000001</v>
      </c>
      <c r="AY164" s="1">
        <v>2.8000000000000001E-2</v>
      </c>
      <c r="AZ164" s="1">
        <v>6744.06</v>
      </c>
      <c r="BA164" s="1">
        <v>186.3</v>
      </c>
      <c r="BB164" s="1">
        <v>53530.2</v>
      </c>
      <c r="BC164" s="1">
        <v>1552.5</v>
      </c>
      <c r="BD164" s="1">
        <v>648945</v>
      </c>
      <c r="BE164" s="1">
        <v>14283</v>
      </c>
      <c r="BF164" s="1">
        <v>1.4282999999999999</v>
      </c>
      <c r="BG164" s="1">
        <v>3.7259999999999995</v>
      </c>
      <c r="BH164" s="1">
        <f t="shared" si="52"/>
        <v>454347.82608695654</v>
      </c>
      <c r="BI164" s="1">
        <f t="shared" si="53"/>
        <v>1185297.3827450001</v>
      </c>
    </row>
    <row r="165" spans="1:61" x14ac:dyDescent="0.2">
      <c r="A165" t="s">
        <v>398</v>
      </c>
      <c r="B165" t="s">
        <v>38</v>
      </c>
      <c r="C165" t="s">
        <v>399</v>
      </c>
      <c r="D165" t="s">
        <v>400</v>
      </c>
      <c r="E165">
        <v>83913</v>
      </c>
      <c r="F165">
        <v>48394</v>
      </c>
      <c r="G165" t="s">
        <v>400</v>
      </c>
      <c r="H165" s="1">
        <v>265.60000000000002</v>
      </c>
      <c r="I165" s="1">
        <v>73.5</v>
      </c>
      <c r="J165" s="10">
        <v>2.1829999999999998</v>
      </c>
      <c r="K165" s="10">
        <f t="shared" ca="1" si="46"/>
        <v>5.2413696683214397E-2</v>
      </c>
      <c r="L165" s="7">
        <v>0.1976</v>
      </c>
      <c r="M165" s="7">
        <f t="shared" ca="1" si="47"/>
        <v>4.7862620070363883E-3</v>
      </c>
      <c r="N165" s="7">
        <v>0.98419999999999996</v>
      </c>
      <c r="O165" s="8">
        <v>5.0607290000000003</v>
      </c>
      <c r="P165" s="8">
        <f t="shared" ca="1" si="48"/>
        <v>0.12258084081010907</v>
      </c>
      <c r="Q165" s="9">
        <v>0.08</v>
      </c>
      <c r="R165" s="9">
        <f t="shared" ca="1" si="49"/>
        <v>1.6209873534361705E-3</v>
      </c>
      <c r="S165" s="8">
        <f t="shared" si="50"/>
        <v>0.45842594314346441</v>
      </c>
      <c r="T165" s="11">
        <v>6.5500000000000003E-2</v>
      </c>
      <c r="U165" s="11">
        <f t="shared" ca="1" si="51"/>
        <v>1.7765415840897167E-3</v>
      </c>
      <c r="V165" s="6" t="e">
        <f ca="1">IF(agePb6U8(1/O165)&lt;1400,age7corr(1/O165,Q165,$W$2),agePb76(Q165))</f>
        <v>#NAME?</v>
      </c>
      <c r="W165" s="6" t="e">
        <f ca="1">IF(agePb6U8(1/O165)&lt;1400,ageer7corr(V165,1/O165,P165/O165*(1/O165),Q165,R165,$W$2,0.05),ageerPb76(Q165,R165))</f>
        <v>#NAME?</v>
      </c>
      <c r="X165" s="4" t="e">
        <f ca="1">agePb6U8(L165)/agePb7u5(J165)</f>
        <v>#NAME?</v>
      </c>
      <c r="Z165" s="1">
        <v>2.1829999999999998</v>
      </c>
      <c r="AA165" s="1">
        <v>2.9000000000000001E-2</v>
      </c>
      <c r="AB165" s="1">
        <v>0.1976</v>
      </c>
      <c r="AC165" s="1">
        <v>2.7000000000000001E-3</v>
      </c>
      <c r="AD165" s="1">
        <v>0.98419999999999996</v>
      </c>
      <c r="AE165" s="1">
        <v>5.0607290000000003</v>
      </c>
      <c r="AF165" s="1">
        <v>6.9149630000000004E-2</v>
      </c>
      <c r="AG165" s="1">
        <v>0.08</v>
      </c>
      <c r="AH165" s="1">
        <v>2.5999999999999998E-4</v>
      </c>
      <c r="AI165" s="1">
        <v>4.0607999999999998E-2</v>
      </c>
      <c r="AJ165" s="1">
        <v>6.5500000000000003E-2</v>
      </c>
      <c r="AK165" s="1">
        <v>1.1999999999999999E-3</v>
      </c>
      <c r="AL165" s="1">
        <v>11.506</v>
      </c>
      <c r="AM165" s="1">
        <v>4.3999999999999997E-2</v>
      </c>
      <c r="AN165" s="1">
        <v>1175.3</v>
      </c>
      <c r="AO165" s="1">
        <v>9.3000000000000007</v>
      </c>
      <c r="AP165" s="1">
        <v>1162</v>
      </c>
      <c r="AQ165" s="1">
        <v>14</v>
      </c>
      <c r="AR165" s="1">
        <v>1282</v>
      </c>
      <c r="AS165" s="1">
        <v>23</v>
      </c>
      <c r="AT165" s="1">
        <v>1197</v>
      </c>
      <c r="AU165" s="1">
        <v>6.4</v>
      </c>
      <c r="AV165" s="1">
        <v>58</v>
      </c>
      <c r="AW165" s="1">
        <v>1</v>
      </c>
      <c r="AX165" s="1">
        <v>5.8100000000000005</v>
      </c>
      <c r="AY165" s="1">
        <v>0.16</v>
      </c>
      <c r="AZ165" s="1">
        <v>30876.120000000003</v>
      </c>
      <c r="BA165" s="1">
        <v>546.48</v>
      </c>
      <c r="BB165" s="1">
        <v>35397</v>
      </c>
      <c r="BC165" s="1">
        <v>683.09999999999991</v>
      </c>
      <c r="BD165" s="1">
        <v>443394</v>
      </c>
      <c r="BE165" s="1">
        <v>7452.0000000000009</v>
      </c>
      <c r="BF165" s="1">
        <v>0.74519999999999997</v>
      </c>
      <c r="BG165" s="1">
        <v>4.4091000000000005</v>
      </c>
      <c r="BH165" s="1">
        <f t="shared" si="52"/>
        <v>595000</v>
      </c>
      <c r="BI165" s="1">
        <f t="shared" si="53"/>
        <v>3520430.8695022613</v>
      </c>
    </row>
    <row r="166" spans="1:61" x14ac:dyDescent="0.2">
      <c r="A166" t="s">
        <v>527</v>
      </c>
      <c r="B166" t="s">
        <v>38</v>
      </c>
      <c r="C166" t="s">
        <v>528</v>
      </c>
      <c r="D166" t="s">
        <v>529</v>
      </c>
      <c r="E166">
        <v>83811</v>
      </c>
      <c r="F166">
        <v>55177</v>
      </c>
      <c r="G166" t="s">
        <v>529</v>
      </c>
      <c r="H166" s="1">
        <v>41.1</v>
      </c>
      <c r="I166" s="1">
        <v>19.86</v>
      </c>
      <c r="J166" s="10">
        <v>1.96</v>
      </c>
      <c r="K166" s="10">
        <f t="shared" ca="1" si="46"/>
        <v>0.10740875197114992</v>
      </c>
      <c r="L166" s="7">
        <v>0.18310000000000001</v>
      </c>
      <c r="M166" s="7">
        <f t="shared" ca="1" si="47"/>
        <v>9.3472051437849604E-3</v>
      </c>
      <c r="N166" s="7">
        <v>0.95433000000000001</v>
      </c>
      <c r="O166" s="8">
        <v>5.4614960000000004</v>
      </c>
      <c r="P166" s="8">
        <f t="shared" ca="1" si="48"/>
        <v>0.27880789037488946</v>
      </c>
      <c r="Q166" s="9">
        <v>7.7600000000000002E-2</v>
      </c>
      <c r="R166" s="9">
        <f t="shared" ca="1" si="49"/>
        <v>2.024525623448614E-3</v>
      </c>
      <c r="S166" s="8">
        <f t="shared" si="50"/>
        <v>0.49909859905862947</v>
      </c>
      <c r="T166" s="11">
        <v>7.7299999999999994E-2</v>
      </c>
      <c r="U166" s="11">
        <f t="shared" ca="1" si="51"/>
        <v>2.9394074232742891E-3</v>
      </c>
      <c r="V166" s="6" t="e">
        <f ca="1">IF(agePb6U8(1/O166)&lt;1400,age7corr(1/O166,Q166,$W$2),agePb76(Q166))</f>
        <v>#NAME?</v>
      </c>
      <c r="W166" s="6" t="e">
        <f ca="1">IF(agePb6U8(1/O166)&lt;1400,ageer7corr(V166,1/O166,P166/O166*(1/O166),Q166,R166,$W$2,0.05),ageerPb76(Q166,R166))</f>
        <v>#NAME?</v>
      </c>
      <c r="X166" s="4" t="e">
        <f ca="1">agePb6U8(L166)/agePb7u5(J166)</f>
        <v>#NAME?</v>
      </c>
      <c r="Z166" s="1">
        <v>1.96</v>
      </c>
      <c r="AA166" s="1">
        <v>0.1</v>
      </c>
      <c r="AB166" s="1">
        <v>0.18310000000000001</v>
      </c>
      <c r="AC166" s="1">
        <v>8.6E-3</v>
      </c>
      <c r="AD166" s="1">
        <v>0.95433000000000001</v>
      </c>
      <c r="AE166" s="1">
        <v>5.4614960000000004</v>
      </c>
      <c r="AF166" s="1">
        <v>0.25652029999999998</v>
      </c>
      <c r="AG166" s="1">
        <v>7.7600000000000002E-2</v>
      </c>
      <c r="AH166" s="1">
        <v>1.2999999999999999E-3</v>
      </c>
      <c r="AI166" s="1">
        <v>-1.1764E-2</v>
      </c>
      <c r="AJ166" s="1">
        <v>7.7299999999999994E-2</v>
      </c>
      <c r="AK166" s="1">
        <v>2.5000000000000001E-3</v>
      </c>
      <c r="AL166" s="1">
        <v>5.2160000000000002</v>
      </c>
      <c r="AM166" s="1">
        <v>5.7000000000000002E-2</v>
      </c>
      <c r="AN166" s="1">
        <v>1108</v>
      </c>
      <c r="AO166" s="1">
        <v>31</v>
      </c>
      <c r="AP166" s="1">
        <v>1083</v>
      </c>
      <c r="AQ166" s="1">
        <v>47</v>
      </c>
      <c r="AR166" s="1">
        <v>1505</v>
      </c>
      <c r="AS166" s="1">
        <v>47</v>
      </c>
      <c r="AT166" s="1">
        <v>1135</v>
      </c>
      <c r="AU166" s="1">
        <v>33</v>
      </c>
      <c r="AV166" s="1">
        <v>8.94</v>
      </c>
      <c r="AW166" s="1">
        <v>0.34</v>
      </c>
      <c r="AX166" s="1">
        <v>1.5669999999999999</v>
      </c>
      <c r="AY166" s="1">
        <v>2.4E-2</v>
      </c>
      <c r="AZ166" s="1">
        <v>9849.0600000000013</v>
      </c>
      <c r="BA166" s="1">
        <v>322.91999999999996</v>
      </c>
      <c r="BB166" s="1">
        <v>5011.4699999999993</v>
      </c>
      <c r="BC166" s="1">
        <v>167.67000000000002</v>
      </c>
      <c r="BD166" s="1">
        <v>64397.7</v>
      </c>
      <c r="BE166" s="1">
        <v>2297.6999999999998</v>
      </c>
      <c r="BF166" s="1">
        <v>11.177999999999999</v>
      </c>
      <c r="BG166" s="1">
        <v>6.8310000000000004</v>
      </c>
      <c r="BH166" s="1">
        <f t="shared" si="52"/>
        <v>5761.1111111111113</v>
      </c>
      <c r="BI166" s="1">
        <f t="shared" si="53"/>
        <v>3526.6746085216168</v>
      </c>
    </row>
    <row r="167" spans="1:61" x14ac:dyDescent="0.2">
      <c r="A167" t="s">
        <v>530</v>
      </c>
      <c r="B167" t="s">
        <v>38</v>
      </c>
      <c r="C167" t="s">
        <v>531</v>
      </c>
      <c r="D167" t="s">
        <v>532</v>
      </c>
      <c r="E167">
        <v>83730</v>
      </c>
      <c r="F167">
        <v>55361</v>
      </c>
      <c r="G167" t="s">
        <v>532</v>
      </c>
      <c r="H167" s="1">
        <v>130.80000000000001</v>
      </c>
      <c r="I167" s="1">
        <v>20.2</v>
      </c>
      <c r="J167" s="10">
        <v>4.79</v>
      </c>
      <c r="K167" s="10">
        <f t="shared" ca="1" si="46"/>
        <v>0.17798213393484191</v>
      </c>
      <c r="L167" s="7">
        <v>0.30299999999999999</v>
      </c>
      <c r="M167" s="7">
        <f t="shared" ca="1" si="47"/>
        <v>1.1692886726553029E-2</v>
      </c>
      <c r="N167" s="7">
        <v>0.98224</v>
      </c>
      <c r="O167" s="8">
        <v>3.3003300000000002</v>
      </c>
      <c r="P167" s="8">
        <f t="shared" ca="1" si="48"/>
        <v>0.12736102134797758</v>
      </c>
      <c r="Q167" s="9">
        <v>0.11552999999999999</v>
      </c>
      <c r="R167" s="9">
        <f t="shared" ca="1" si="49"/>
        <v>2.40577895077665E-3</v>
      </c>
      <c r="S167" s="8">
        <f t="shared" si="50"/>
        <v>0.23071316761487548</v>
      </c>
      <c r="T167" s="11">
        <v>0.12889999999999999</v>
      </c>
      <c r="U167" s="11">
        <f t="shared" ca="1" si="51"/>
        <v>9.9401249489128648E-3</v>
      </c>
      <c r="V167" s="6" t="e">
        <f ca="1">IF(agePb6U8(1/O167)&lt;1400,age7corr(1/O167,Q167,$W$2),agePb76(Q167))</f>
        <v>#NAME?</v>
      </c>
      <c r="W167" s="6" t="e">
        <f ca="1">IF(agePb6U8(1/O167)&lt;1400,ageer7corr(V167,1/O167,P167/O167*(1/O167),Q167,R167,$W$2,0.05),ageerPb76(Q167,R167))</f>
        <v>#NAME?</v>
      </c>
      <c r="X167" s="4" t="e">
        <f ca="1">agePb6U8(L167)/agePb7u5(J167)</f>
        <v>#NAME?</v>
      </c>
      <c r="Z167" s="1">
        <v>4.79</v>
      </c>
      <c r="AA167" s="1">
        <v>0.15</v>
      </c>
      <c r="AB167" s="1">
        <v>0.30299999999999999</v>
      </c>
      <c r="AC167" s="1">
        <v>0.01</v>
      </c>
      <c r="AD167" s="1">
        <v>0.98224</v>
      </c>
      <c r="AE167" s="1">
        <v>3.3003300000000002</v>
      </c>
      <c r="AF167" s="1">
        <v>0.1089218</v>
      </c>
      <c r="AG167" s="1">
        <v>0.11552999999999999</v>
      </c>
      <c r="AH167" s="1">
        <v>6.7000000000000002E-4</v>
      </c>
      <c r="AI167" s="1">
        <v>-0.16386000000000001</v>
      </c>
      <c r="AJ167" s="1">
        <v>0.12889999999999999</v>
      </c>
      <c r="AK167" s="1">
        <v>9.5999999999999992E-3</v>
      </c>
      <c r="AL167" s="1">
        <v>16.53</v>
      </c>
      <c r="AM167" s="1">
        <v>0.18</v>
      </c>
      <c r="AN167" s="1">
        <v>1782</v>
      </c>
      <c r="AO167" s="1">
        <v>26</v>
      </c>
      <c r="AP167" s="1">
        <v>1707</v>
      </c>
      <c r="AQ167" s="1">
        <v>49</v>
      </c>
      <c r="AR167" s="1">
        <v>2450</v>
      </c>
      <c r="AS167" s="1">
        <v>170</v>
      </c>
      <c r="AT167" s="1">
        <v>1888</v>
      </c>
      <c r="AU167" s="1">
        <v>10</v>
      </c>
      <c r="AV167" s="1">
        <v>28.45</v>
      </c>
      <c r="AW167" s="1">
        <v>0.98</v>
      </c>
      <c r="AX167" s="1">
        <v>1.59</v>
      </c>
      <c r="AY167" s="1">
        <v>0.12000000000000001</v>
      </c>
      <c r="AZ167" s="1">
        <v>16226.730000000001</v>
      </c>
      <c r="BA167" s="1">
        <v>459.54</v>
      </c>
      <c r="BB167" s="1">
        <v>38191.5</v>
      </c>
      <c r="BC167" s="1">
        <v>1055.7</v>
      </c>
      <c r="BD167" s="1">
        <v>337140.89999999997</v>
      </c>
      <c r="BE167" s="1">
        <v>5713.2</v>
      </c>
      <c r="BF167" s="1">
        <v>-0.43469999999999998</v>
      </c>
      <c r="BG167" s="1">
        <v>6.2099999999999991</v>
      </c>
      <c r="BH167" s="1">
        <f t="shared" si="52"/>
        <v>-775571.42857142852</v>
      </c>
      <c r="BI167" s="1">
        <f t="shared" si="53"/>
        <v>-11079599.631906016</v>
      </c>
    </row>
    <row r="168" spans="1:61" s="23" customFormat="1" x14ac:dyDescent="0.2">
      <c r="A168" s="23" t="s">
        <v>533</v>
      </c>
      <c r="B168" s="23" t="s">
        <v>38</v>
      </c>
      <c r="C168" s="23" t="s">
        <v>534</v>
      </c>
      <c r="D168" s="23" t="s">
        <v>535</v>
      </c>
      <c r="E168" s="23">
        <v>83762</v>
      </c>
      <c r="F168" s="23">
        <v>55358</v>
      </c>
      <c r="G168" s="23" t="s">
        <v>535</v>
      </c>
      <c r="H168" s="24">
        <v>308</v>
      </c>
      <c r="I168" s="24">
        <v>15.7</v>
      </c>
      <c r="J168" s="25">
        <v>4.8099999999999996</v>
      </c>
      <c r="K168" s="25">
        <f t="shared" ca="1" si="46"/>
        <v>0.24011338988069783</v>
      </c>
      <c r="L168" s="26">
        <v>0.28199999999999997</v>
      </c>
      <c r="M168" s="26">
        <f t="shared" ca="1" si="47"/>
        <v>1.1480836206479038E-2</v>
      </c>
      <c r="N168" s="26">
        <v>0.94933000000000001</v>
      </c>
      <c r="O168" s="26">
        <v>3.5460989999999999</v>
      </c>
      <c r="P168" s="26">
        <f t="shared" ca="1" si="48"/>
        <v>0.14436944638794041</v>
      </c>
      <c r="Q168" s="25">
        <v>0.12230000000000001</v>
      </c>
      <c r="R168" s="25">
        <f t="shared" ca="1" si="49"/>
        <v>2.9787440306276738E-3</v>
      </c>
      <c r="S168" s="26">
        <f t="shared" si="50"/>
        <v>0.40727498222986569</v>
      </c>
      <c r="T168" s="25">
        <v>0.16800000000000001</v>
      </c>
      <c r="U168" s="25">
        <f t="shared" ca="1" si="51"/>
        <v>1.6348993852833879E-2</v>
      </c>
      <c r="V168" s="24" t="e">
        <f ca="1">IF(agePb6U8(1/O168)&lt;1400,age7corr(1/O168,Q168,$W$2),agePb76(Q168))</f>
        <v>#NAME?</v>
      </c>
      <c r="W168" s="24" t="e">
        <f ca="1">IF(agePb6U8(1/O168)&lt;1400,ageer7corr(V168,1/O168,P168/O168*(1/O168),Q168,R168,$W$2,0.05),ageerPb76(Q168,R168))</f>
        <v>#NAME?</v>
      </c>
      <c r="X168" s="26" t="e">
        <f ca="1">agePb6U8(L168)/agePb7u5(J168)</f>
        <v>#NAME?</v>
      </c>
      <c r="Y168" s="24"/>
      <c r="Z168" s="24">
        <v>4.8099999999999996</v>
      </c>
      <c r="AA168" s="24">
        <v>0.22</v>
      </c>
      <c r="AB168" s="24">
        <v>0.28199999999999997</v>
      </c>
      <c r="AC168" s="24">
        <v>0.01</v>
      </c>
      <c r="AD168" s="24">
        <v>0.94933000000000001</v>
      </c>
      <c r="AE168" s="24">
        <v>3.5460989999999999</v>
      </c>
      <c r="AF168" s="24">
        <v>0.1257482</v>
      </c>
      <c r="AG168" s="24">
        <v>0.12230000000000001</v>
      </c>
      <c r="AH168" s="24">
        <v>1.6999999999999999E-3</v>
      </c>
      <c r="AI168" s="24">
        <v>-0.28941</v>
      </c>
      <c r="AJ168" s="24">
        <v>0.16800000000000001</v>
      </c>
      <c r="AK168" s="24">
        <v>1.6E-2</v>
      </c>
      <c r="AL168" s="24">
        <v>34.5</v>
      </c>
      <c r="AM168" s="24">
        <v>2.5</v>
      </c>
      <c r="AN168" s="24">
        <v>1792</v>
      </c>
      <c r="AO168" s="24">
        <v>35</v>
      </c>
      <c r="AP168" s="24">
        <v>1599</v>
      </c>
      <c r="AQ168" s="24">
        <v>52</v>
      </c>
      <c r="AR168" s="24">
        <v>3130</v>
      </c>
      <c r="AS168" s="24">
        <v>260</v>
      </c>
      <c r="AT168" s="24">
        <v>1990</v>
      </c>
      <c r="AU168" s="24">
        <v>25</v>
      </c>
      <c r="AV168" s="24">
        <v>66.900000000000006</v>
      </c>
      <c r="AW168" s="24">
        <v>2.5</v>
      </c>
      <c r="AX168" s="24">
        <v>1.24</v>
      </c>
      <c r="AY168" s="24">
        <v>0.12000000000000001</v>
      </c>
      <c r="AZ168" s="24">
        <v>17201.7</v>
      </c>
      <c r="BA168" s="24">
        <v>1117.8000000000002</v>
      </c>
      <c r="BB168" s="24">
        <v>90355.499999999985</v>
      </c>
      <c r="BC168" s="24">
        <v>3974.4</v>
      </c>
      <c r="BD168" s="24">
        <v>737127.00000000012</v>
      </c>
      <c r="BE168" s="24">
        <v>24840</v>
      </c>
      <c r="BF168" s="24">
        <v>105.57000000000001</v>
      </c>
      <c r="BG168" s="24">
        <v>17.388000000000002</v>
      </c>
      <c r="BH168" s="24">
        <f t="shared" si="52"/>
        <v>6982.3529411764712</v>
      </c>
      <c r="BI168" s="24">
        <f t="shared" si="53"/>
        <v>1173.8581293204466</v>
      </c>
    </row>
    <row r="169" spans="1:61" s="23" customFormat="1" x14ac:dyDescent="0.2">
      <c r="A169" s="23" t="s">
        <v>536</v>
      </c>
      <c r="B169" s="23" t="s">
        <v>38</v>
      </c>
      <c r="C169" s="23" t="s">
        <v>537</v>
      </c>
      <c r="D169" s="23" t="s">
        <v>538</v>
      </c>
      <c r="E169" s="23">
        <v>83266</v>
      </c>
      <c r="F169" s="23">
        <v>47753</v>
      </c>
      <c r="G169" s="23" t="s">
        <v>538</v>
      </c>
      <c r="H169" s="24">
        <v>138.5</v>
      </c>
      <c r="I169" s="24">
        <v>9.5</v>
      </c>
      <c r="J169" s="25">
        <v>1.522</v>
      </c>
      <c r="K169" s="25">
        <f t="shared" ca="1" si="46"/>
        <v>8.3729287588035772E-2</v>
      </c>
      <c r="L169" s="26">
        <v>0.1404</v>
      </c>
      <c r="M169" s="26">
        <f t="shared" ca="1" si="47"/>
        <v>8.4784942059306732E-3</v>
      </c>
      <c r="N169" s="26">
        <v>0.98982000000000003</v>
      </c>
      <c r="O169" s="26">
        <v>7.1225069999999997</v>
      </c>
      <c r="P169" s="26">
        <f t="shared" ca="1" si="48"/>
        <v>0.43011495963152641</v>
      </c>
      <c r="Q169" s="25">
        <v>7.8530000000000003E-2</v>
      </c>
      <c r="R169" s="25">
        <f t="shared" ca="1" si="49"/>
        <v>1.7536203580022674E-3</v>
      </c>
      <c r="S169" s="26">
        <f t="shared" si="50"/>
        <v>0.20769367876064962</v>
      </c>
      <c r="T169" s="25">
        <v>8.0299999999999996E-2</v>
      </c>
      <c r="U169" s="25">
        <f t="shared" ca="1" si="51"/>
        <v>6.1146738261333286E-3</v>
      </c>
      <c r="V169" s="24" t="e">
        <f ca="1">IF(agePb6U8(1/O169)&lt;1400,age7corr(1/O169,Q169,$W$2),agePb76(Q169))</f>
        <v>#NAME?</v>
      </c>
      <c r="W169" s="24" t="e">
        <f ca="1">IF(agePb6U8(1/O169)&lt;1400,ageer7corr(V169,1/O169,P169/O169*(1/O169),Q169,R169,$W$2,0.05),ageerPb76(Q169,R169))</f>
        <v>#NAME?</v>
      </c>
      <c r="X169" s="26" t="e">
        <f ca="1">agePb6U8(L169)/agePb7u5(J169)</f>
        <v>#NAME?</v>
      </c>
      <c r="Y169" s="24"/>
      <c r="Z169" s="24">
        <v>1.522</v>
      </c>
      <c r="AA169" s="24">
        <v>7.8E-2</v>
      </c>
      <c r="AB169" s="24">
        <v>0.1404</v>
      </c>
      <c r="AC169" s="24">
        <v>8.0000000000000002E-3</v>
      </c>
      <c r="AD169" s="24">
        <v>0.98982000000000003</v>
      </c>
      <c r="AE169" s="24">
        <v>7.1225069999999997</v>
      </c>
      <c r="AF169" s="24">
        <v>0.4058409</v>
      </c>
      <c r="AG169" s="24">
        <v>7.8530000000000003E-2</v>
      </c>
      <c r="AH169" s="24">
        <v>7.7999999999999999E-4</v>
      </c>
      <c r="AI169" s="24">
        <v>0.75339</v>
      </c>
      <c r="AJ169" s="24">
        <v>8.0299999999999996E-2</v>
      </c>
      <c r="AK169" s="24">
        <v>5.8999999999999999E-3</v>
      </c>
      <c r="AL169" s="24">
        <v>28.5</v>
      </c>
      <c r="AM169" s="24">
        <v>2.2000000000000002</v>
      </c>
      <c r="AN169" s="24">
        <v>937</v>
      </c>
      <c r="AO169" s="24">
        <v>31</v>
      </c>
      <c r="AP169" s="24">
        <v>846</v>
      </c>
      <c r="AQ169" s="24">
        <v>45</v>
      </c>
      <c r="AR169" s="24">
        <v>1560</v>
      </c>
      <c r="AS169" s="24">
        <v>110</v>
      </c>
      <c r="AT169" s="24">
        <v>1160</v>
      </c>
      <c r="AU169" s="24">
        <v>19</v>
      </c>
      <c r="AV169" s="24">
        <v>30.099999999999998</v>
      </c>
      <c r="AW169" s="24">
        <v>1.8</v>
      </c>
      <c r="AX169" s="24">
        <v>0.75</v>
      </c>
      <c r="AY169" s="24">
        <v>0.11</v>
      </c>
      <c r="AZ169" s="24">
        <v>4700.97</v>
      </c>
      <c r="BA169" s="24">
        <v>409.86</v>
      </c>
      <c r="BB169" s="24">
        <v>12811.230000000001</v>
      </c>
      <c r="BC169" s="24">
        <v>204.93</v>
      </c>
      <c r="BD169" s="24">
        <v>163012.5</v>
      </c>
      <c r="BE169" s="24">
        <v>2856.6</v>
      </c>
      <c r="BF169" s="24">
        <v>54.648000000000003</v>
      </c>
      <c r="BG169" s="24">
        <v>14.283000000000001</v>
      </c>
      <c r="BH169" s="24">
        <f t="shared" si="52"/>
        <v>2982.9545454545455</v>
      </c>
      <c r="BI169" s="24">
        <f t="shared" si="53"/>
        <v>781.386263068056</v>
      </c>
    </row>
    <row r="170" spans="1:61" s="23" customFormat="1" x14ac:dyDescent="0.2">
      <c r="A170" s="23" t="s">
        <v>539</v>
      </c>
      <c r="B170" s="23" t="s">
        <v>38</v>
      </c>
      <c r="C170" s="23" t="s">
        <v>540</v>
      </c>
      <c r="D170" s="23" t="s">
        <v>541</v>
      </c>
      <c r="E170" s="23">
        <v>83210</v>
      </c>
      <c r="F170" s="23">
        <v>47961</v>
      </c>
      <c r="G170" s="23" t="s">
        <v>541</v>
      </c>
      <c r="H170" s="24">
        <v>139</v>
      </c>
      <c r="I170" s="24">
        <v>94</v>
      </c>
      <c r="J170" s="25">
        <v>2.0329999999999999</v>
      </c>
      <c r="K170" s="25">
        <f t="shared" ca="1" si="46"/>
        <v>7.9229007314240665E-2</v>
      </c>
      <c r="L170" s="26">
        <v>0.17899999999999999</v>
      </c>
      <c r="M170" s="26">
        <f t="shared" ca="1" si="47"/>
        <v>7.1593575130733614E-3</v>
      </c>
      <c r="N170" s="26">
        <v>0.96204000000000001</v>
      </c>
      <c r="O170" s="26">
        <v>5.5865919999999996</v>
      </c>
      <c r="P170" s="26">
        <f t="shared" ca="1" si="48"/>
        <v>0.22344365458476464</v>
      </c>
      <c r="Q170" s="25">
        <v>8.3080000000000001E-2</v>
      </c>
      <c r="R170" s="25">
        <f t="shared" ca="1" si="49"/>
        <v>1.8189322582218394E-3</v>
      </c>
      <c r="S170" s="26">
        <f t="shared" si="50"/>
        <v>0.49123157601556106</v>
      </c>
      <c r="T170" s="25">
        <v>6.3899999999999998E-2</v>
      </c>
      <c r="U170" s="25">
        <f t="shared" ca="1" si="51"/>
        <v>2.8971164974850422E-3</v>
      </c>
      <c r="V170" s="24" t="e">
        <f ca="1">IF(agePb6U8(1/O170)&lt;1400,age7corr(1/O170,Q170,$W$2),agePb76(Q170))</f>
        <v>#NAME?</v>
      </c>
      <c r="W170" s="24" t="e">
        <f ca="1">IF(agePb6U8(1/O170)&lt;1400,ageer7corr(V170,1/O170,P170/O170*(1/O170),Q170,R170,$W$2,0.05),ageerPb76(Q170,R170))</f>
        <v>#NAME?</v>
      </c>
      <c r="X170" s="26" t="e">
        <f ca="1">agePb6U8(L170)/agePb7u5(J170)</f>
        <v>#NAME?</v>
      </c>
      <c r="Y170" s="24"/>
      <c r="Z170" s="24">
        <v>2.0329999999999999</v>
      </c>
      <c r="AA170" s="24">
        <v>6.8000000000000005E-2</v>
      </c>
      <c r="AB170" s="24">
        <v>0.17899999999999999</v>
      </c>
      <c r="AC170" s="24">
        <v>6.1999999999999998E-3</v>
      </c>
      <c r="AD170" s="24">
        <v>0.96204000000000001</v>
      </c>
      <c r="AE170" s="24">
        <v>5.5865919999999996</v>
      </c>
      <c r="AF170" s="24">
        <v>0.19350210000000001</v>
      </c>
      <c r="AG170" s="24">
        <v>8.3080000000000001E-2</v>
      </c>
      <c r="AH170" s="24">
        <v>7.3999999999999999E-4</v>
      </c>
      <c r="AI170" s="24">
        <v>-0.26027</v>
      </c>
      <c r="AJ170" s="24">
        <v>6.3899999999999998E-2</v>
      </c>
      <c r="AK170" s="24">
        <v>2.5999999999999999E-3</v>
      </c>
      <c r="AL170" s="24">
        <v>4.4589999999999996</v>
      </c>
      <c r="AM170" s="24">
        <v>3.1E-2</v>
      </c>
      <c r="AN170" s="24">
        <v>1125</v>
      </c>
      <c r="AO170" s="24">
        <v>23</v>
      </c>
      <c r="AP170" s="24">
        <v>1061</v>
      </c>
      <c r="AQ170" s="24">
        <v>34</v>
      </c>
      <c r="AR170" s="24">
        <v>1252</v>
      </c>
      <c r="AS170" s="24">
        <v>49</v>
      </c>
      <c r="AT170" s="24">
        <v>1271</v>
      </c>
      <c r="AU170" s="24">
        <v>17</v>
      </c>
      <c r="AV170" s="24">
        <v>30.3</v>
      </c>
      <c r="AW170" s="24">
        <v>2.4</v>
      </c>
      <c r="AX170" s="24">
        <v>7.41</v>
      </c>
      <c r="AY170" s="24">
        <v>0.86</v>
      </c>
      <c r="AZ170" s="24">
        <v>37943.1</v>
      </c>
      <c r="BA170" s="24">
        <v>2670.3</v>
      </c>
      <c r="BB170" s="24">
        <v>17450.100000000002</v>
      </c>
      <c r="BC170" s="24">
        <v>1117.8000000000002</v>
      </c>
      <c r="BD170" s="24">
        <v>211760.99999999997</v>
      </c>
      <c r="BE170" s="24">
        <v>14904.000000000002</v>
      </c>
      <c r="BF170" s="24">
        <v>122.33700000000003</v>
      </c>
      <c r="BG170" s="24">
        <v>8.6940000000000008</v>
      </c>
      <c r="BH170" s="24">
        <f t="shared" si="52"/>
        <v>1730.9644670050754</v>
      </c>
      <c r="BI170" s="24">
        <f t="shared" si="53"/>
        <v>173.13013391645475</v>
      </c>
    </row>
    <row r="171" spans="1:61" x14ac:dyDescent="0.2">
      <c r="A171" t="s">
        <v>542</v>
      </c>
      <c r="B171" t="s">
        <v>38</v>
      </c>
      <c r="C171" t="s">
        <v>543</v>
      </c>
      <c r="D171" t="s">
        <v>544</v>
      </c>
      <c r="E171">
        <v>83294</v>
      </c>
      <c r="F171">
        <v>48228</v>
      </c>
      <c r="G171" t="s">
        <v>544</v>
      </c>
      <c r="H171" s="1">
        <v>161.4</v>
      </c>
      <c r="I171" s="1">
        <v>46.5</v>
      </c>
      <c r="J171" s="10">
        <v>1.7589999999999999</v>
      </c>
      <c r="K171" s="10">
        <f t="shared" ca="1" si="46"/>
        <v>4.8924762646332783E-2</v>
      </c>
      <c r="L171" s="7">
        <v>0.16930000000000001</v>
      </c>
      <c r="M171" s="7">
        <f t="shared" ca="1" si="47"/>
        <v>4.8698045135302922E-3</v>
      </c>
      <c r="N171" s="7">
        <v>0.97746</v>
      </c>
      <c r="O171" s="8">
        <v>5.9066749999999999</v>
      </c>
      <c r="P171" s="8">
        <f t="shared" ca="1" si="48"/>
        <v>0.1699016518427352</v>
      </c>
      <c r="Q171" s="9">
        <v>7.5389999999999999E-2</v>
      </c>
      <c r="R171" s="9">
        <f t="shared" ca="1" si="49"/>
        <v>1.5354350653804933E-3</v>
      </c>
      <c r="S171" s="8">
        <f t="shared" si="50"/>
        <v>0.41948622847497197</v>
      </c>
      <c r="T171" s="11">
        <v>5.7799999999999997E-2</v>
      </c>
      <c r="U171" s="11">
        <f t="shared" ca="1" si="51"/>
        <v>1.6662340771932374E-3</v>
      </c>
      <c r="V171" s="6" t="e">
        <f ca="1">IF(agePb6U8(1/O171)&lt;1400,age7corr(1/O171,Q171,$W$2),agePb76(Q171))</f>
        <v>#NAME?</v>
      </c>
      <c r="W171" s="6" t="e">
        <f ca="1">IF(agePb6U8(1/O171)&lt;1400,ageer7corr(V171,1/O171,P171/O171*(1/O171),Q171,R171,$W$2,0.05),ageerPb76(Q171,R171))</f>
        <v>#NAME?</v>
      </c>
      <c r="X171" s="4" t="e">
        <f ca="1">agePb6U8(L171)/agePb7u5(J171)</f>
        <v>#NAME?</v>
      </c>
      <c r="Z171" s="1">
        <v>1.7589999999999999</v>
      </c>
      <c r="AA171" s="1">
        <v>3.4000000000000002E-2</v>
      </c>
      <c r="AB171" s="1">
        <v>0.16930000000000001</v>
      </c>
      <c r="AC171" s="1">
        <v>3.5000000000000001E-3</v>
      </c>
      <c r="AD171" s="1">
        <v>0.97746</v>
      </c>
      <c r="AE171" s="1">
        <v>5.9066749999999999</v>
      </c>
      <c r="AF171" s="1">
        <v>0.12211080000000001</v>
      </c>
      <c r="AG171" s="1">
        <v>7.5389999999999999E-2</v>
      </c>
      <c r="AH171" s="1">
        <v>2.9E-4</v>
      </c>
      <c r="AI171" s="1">
        <v>0.35393000000000002</v>
      </c>
      <c r="AJ171" s="1">
        <v>5.7799999999999997E-2</v>
      </c>
      <c r="AK171" s="1">
        <v>1.1999999999999999E-3</v>
      </c>
      <c r="AL171" s="1">
        <v>10.8</v>
      </c>
      <c r="AM171" s="1">
        <v>0.34</v>
      </c>
      <c r="AN171" s="1">
        <v>1030</v>
      </c>
      <c r="AO171" s="1">
        <v>13</v>
      </c>
      <c r="AP171" s="1">
        <v>1008</v>
      </c>
      <c r="AQ171" s="1">
        <v>19</v>
      </c>
      <c r="AR171" s="1">
        <v>1135</v>
      </c>
      <c r="AS171" s="1">
        <v>24</v>
      </c>
      <c r="AT171" s="1">
        <v>1079</v>
      </c>
      <c r="AU171" s="1">
        <v>7.7</v>
      </c>
      <c r="AV171" s="1">
        <v>35.1</v>
      </c>
      <c r="AW171" s="1">
        <v>2</v>
      </c>
      <c r="AX171" s="1">
        <v>3.669</v>
      </c>
      <c r="AY171" s="1">
        <v>8.7999999999999995E-2</v>
      </c>
      <c r="AZ171" s="1">
        <v>17034.03</v>
      </c>
      <c r="BA171" s="1">
        <v>409.86</v>
      </c>
      <c r="BB171" s="1">
        <v>17388</v>
      </c>
      <c r="BC171" s="1">
        <v>869.4</v>
      </c>
      <c r="BD171" s="1">
        <v>232254</v>
      </c>
      <c r="BE171" s="1">
        <v>10557</v>
      </c>
      <c r="BF171" s="1">
        <v>55.89</v>
      </c>
      <c r="BG171" s="1">
        <v>6.8310000000000004</v>
      </c>
      <c r="BH171" s="1">
        <f t="shared" si="52"/>
        <v>4155.5555555555557</v>
      </c>
      <c r="BI171" s="1">
        <f t="shared" si="53"/>
        <v>541.888066321152</v>
      </c>
    </row>
    <row r="172" spans="1:61" x14ac:dyDescent="0.2">
      <c r="A172" t="s">
        <v>545</v>
      </c>
      <c r="B172" t="s">
        <v>38</v>
      </c>
      <c r="C172" t="s">
        <v>546</v>
      </c>
      <c r="D172" t="s">
        <v>547</v>
      </c>
      <c r="E172">
        <v>83226</v>
      </c>
      <c r="F172">
        <v>48416</v>
      </c>
      <c r="G172" t="s">
        <v>547</v>
      </c>
      <c r="H172" s="1">
        <v>204.2</v>
      </c>
      <c r="I172" s="1">
        <v>133.4</v>
      </c>
      <c r="J172" s="10">
        <v>12</v>
      </c>
      <c r="K172" s="10">
        <f t="shared" ca="1" si="46"/>
        <v>0.44102154142399896</v>
      </c>
      <c r="L172" s="7">
        <v>0.47299999999999998</v>
      </c>
      <c r="M172" s="7">
        <f t="shared" ca="1" si="47"/>
        <v>1.6896496678305832E-2</v>
      </c>
      <c r="N172" s="7">
        <v>0.99621000000000004</v>
      </c>
      <c r="O172" s="8">
        <v>2.1141649999999998</v>
      </c>
      <c r="P172" s="8">
        <f t="shared" ca="1" si="48"/>
        <v>7.5522161918830821E-2</v>
      </c>
      <c r="Q172" s="9">
        <v>0.18395</v>
      </c>
      <c r="R172" s="9">
        <f t="shared" ca="1" si="49"/>
        <v>3.705218077252674E-3</v>
      </c>
      <c r="S172" s="8">
        <f t="shared" si="50"/>
        <v>0.5226853276454555</v>
      </c>
      <c r="T172" s="11">
        <v>0.1484</v>
      </c>
      <c r="U172" s="11">
        <f t="shared" ca="1" si="51"/>
        <v>4.9009207298221016E-3</v>
      </c>
      <c r="V172" s="6" t="e">
        <f ca="1">IF(agePb6U8(1/O172)&lt;1400,age7corr(1/O172,Q172,$W$2),agePb76(Q172))</f>
        <v>#NAME?</v>
      </c>
      <c r="W172" s="6" t="e">
        <f ca="1">IF(agePb6U8(1/O172)&lt;1400,ageer7corr(V172,1/O172,P172/O172*(1/O172),Q172,R172,$W$2,0.05),ageerPb76(Q172,R172))</f>
        <v>#NAME?</v>
      </c>
      <c r="X172" s="4" t="e">
        <f ca="1">agePb6U8(L172)/agePb7u5(J172)</f>
        <v>#NAME?</v>
      </c>
      <c r="Z172" s="1">
        <v>12</v>
      </c>
      <c r="AA172" s="1">
        <v>0.37</v>
      </c>
      <c r="AB172" s="1">
        <v>0.47299999999999998</v>
      </c>
      <c r="AC172" s="1">
        <v>1.4E-2</v>
      </c>
      <c r="AD172" s="1">
        <v>0.99621000000000004</v>
      </c>
      <c r="AE172" s="1">
        <v>2.1141649999999998</v>
      </c>
      <c r="AF172" s="1">
        <v>6.2575710000000007E-2</v>
      </c>
      <c r="AG172" s="1">
        <v>0.18395</v>
      </c>
      <c r="AH172" s="1">
        <v>4.4000000000000002E-4</v>
      </c>
      <c r="AI172" s="1">
        <v>-7.5190999999999994E-2</v>
      </c>
      <c r="AJ172" s="1">
        <v>0.1484</v>
      </c>
      <c r="AK172" s="1">
        <v>3.8999999999999998E-3</v>
      </c>
      <c r="AL172" s="1">
        <v>5.181</v>
      </c>
      <c r="AM172" s="1">
        <v>4.9000000000000002E-2</v>
      </c>
      <c r="AN172" s="1">
        <v>2603</v>
      </c>
      <c r="AO172" s="1">
        <v>28</v>
      </c>
      <c r="AP172" s="1">
        <v>2497</v>
      </c>
      <c r="AQ172" s="1">
        <v>63</v>
      </c>
      <c r="AR172" s="1">
        <v>2796</v>
      </c>
      <c r="AS172" s="1">
        <v>68</v>
      </c>
      <c r="AT172" s="1">
        <v>2688.8</v>
      </c>
      <c r="AU172" s="1">
        <v>3.9</v>
      </c>
      <c r="AV172" s="1">
        <v>44.41</v>
      </c>
      <c r="AW172" s="1">
        <v>0.76999999999999991</v>
      </c>
      <c r="AX172" s="1">
        <v>10.53</v>
      </c>
      <c r="AY172" s="1">
        <v>0.43</v>
      </c>
      <c r="AZ172" s="1">
        <v>126746.09999999999</v>
      </c>
      <c r="BA172" s="1">
        <v>3229.2</v>
      </c>
      <c r="BB172" s="1">
        <v>150095.69999999998</v>
      </c>
      <c r="BC172" s="1">
        <v>3042.9</v>
      </c>
      <c r="BD172" s="1">
        <v>820341</v>
      </c>
      <c r="BE172" s="1">
        <v>16145.999999999996</v>
      </c>
      <c r="BF172" s="1">
        <v>20.3688</v>
      </c>
      <c r="BG172" s="1">
        <v>5.6510999999999996</v>
      </c>
      <c r="BH172" s="1">
        <f t="shared" si="52"/>
        <v>40274.390243902439</v>
      </c>
      <c r="BI172" s="1">
        <f t="shared" si="53"/>
        <v>11201.769476338273</v>
      </c>
    </row>
    <row r="173" spans="1:61" x14ac:dyDescent="0.2">
      <c r="A173" t="s">
        <v>548</v>
      </c>
      <c r="B173" t="s">
        <v>38</v>
      </c>
      <c r="C173" t="s">
        <v>549</v>
      </c>
      <c r="D173" t="s">
        <v>550</v>
      </c>
      <c r="E173">
        <v>83230</v>
      </c>
      <c r="F173">
        <v>48681</v>
      </c>
      <c r="G173" t="s">
        <v>550</v>
      </c>
      <c r="H173" s="1">
        <v>292</v>
      </c>
      <c r="I173" s="1">
        <v>591</v>
      </c>
      <c r="J173" s="10">
        <v>1.7789999999999999</v>
      </c>
      <c r="K173" s="10">
        <f t="shared" ca="1" si="46"/>
        <v>6.1367225780541851E-2</v>
      </c>
      <c r="L173" s="7">
        <v>0.16589999999999999</v>
      </c>
      <c r="M173" s="7">
        <f t="shared" ca="1" si="47"/>
        <v>5.4313096026649037E-3</v>
      </c>
      <c r="N173" s="7">
        <v>0.99524999999999997</v>
      </c>
      <c r="O173" s="8">
        <v>6.0277279999999998</v>
      </c>
      <c r="P173" s="8">
        <f t="shared" ca="1" si="48"/>
        <v>0.19733845213944898</v>
      </c>
      <c r="Q173" s="9">
        <v>7.7920000000000003E-2</v>
      </c>
      <c r="R173" s="9">
        <f t="shared" ca="1" si="49"/>
        <v>1.5783252389795965E-3</v>
      </c>
      <c r="S173" s="8">
        <f t="shared" si="50"/>
        <v>0.46991298438159795</v>
      </c>
      <c r="T173" s="11">
        <v>6.2E-2</v>
      </c>
      <c r="U173" s="11">
        <f t="shared" ca="1" si="51"/>
        <v>1.9461757371830532E-3</v>
      </c>
      <c r="V173" s="6" t="e">
        <f ca="1">IF(agePb6U8(1/O173)&lt;1400,age7corr(1/O173,Q173,$W$2),agePb76(Q173))</f>
        <v>#NAME?</v>
      </c>
      <c r="W173" s="6" t="e">
        <f ca="1">IF(agePb6U8(1/O173)&lt;1400,ageer7corr(V173,1/O173,P173/O173*(1/O173),Q173,R173,$W$2,0.05),ageerPb76(Q173,R173))</f>
        <v>#NAME?</v>
      </c>
      <c r="X173" s="4" t="e">
        <f ca="1">agePb6U8(L173)/agePb7u5(J173)</f>
        <v>#NAME?</v>
      </c>
      <c r="Z173" s="1">
        <v>1.7789999999999999</v>
      </c>
      <c r="AA173" s="1">
        <v>0.05</v>
      </c>
      <c r="AB173" s="1">
        <v>0.16589999999999999</v>
      </c>
      <c r="AC173" s="1">
        <v>4.3E-3</v>
      </c>
      <c r="AD173" s="1">
        <v>0.99524999999999997</v>
      </c>
      <c r="AE173" s="1">
        <v>6.0277279999999998</v>
      </c>
      <c r="AF173" s="1">
        <v>0.15623400000000001</v>
      </c>
      <c r="AG173" s="1">
        <v>7.7920000000000003E-2</v>
      </c>
      <c r="AH173" s="1">
        <v>2.5000000000000001E-4</v>
      </c>
      <c r="AI173" s="1">
        <v>-0.41406999999999999</v>
      </c>
      <c r="AJ173" s="1">
        <v>6.2E-2</v>
      </c>
      <c r="AK173" s="1">
        <v>1.5E-3</v>
      </c>
      <c r="AL173" s="1">
        <v>1.4038999999999999</v>
      </c>
      <c r="AM173" s="1">
        <v>6.6E-3</v>
      </c>
      <c r="AN173" s="1">
        <v>1037</v>
      </c>
      <c r="AO173" s="1">
        <v>18</v>
      </c>
      <c r="AP173" s="1">
        <v>989</v>
      </c>
      <c r="AQ173" s="1">
        <v>24</v>
      </c>
      <c r="AR173" s="1">
        <v>1215</v>
      </c>
      <c r="AS173" s="1">
        <v>28</v>
      </c>
      <c r="AT173" s="1">
        <v>1144.8</v>
      </c>
      <c r="AU173" s="1">
        <v>6.5</v>
      </c>
      <c r="AV173" s="1">
        <v>63.5</v>
      </c>
      <c r="AW173" s="1">
        <v>1.2</v>
      </c>
      <c r="AX173" s="1">
        <v>46.6</v>
      </c>
      <c r="AY173" s="1">
        <v>1.8</v>
      </c>
      <c r="AZ173" s="1">
        <v>232750.80000000002</v>
      </c>
      <c r="BA173" s="1">
        <v>5216.3999999999996</v>
      </c>
      <c r="BB173" s="1">
        <v>31671</v>
      </c>
      <c r="BC173" s="1">
        <v>621</v>
      </c>
      <c r="BD173" s="1">
        <v>411102</v>
      </c>
      <c r="BE173" s="1">
        <v>7452.0000000000009</v>
      </c>
      <c r="BF173" s="1">
        <v>55.89</v>
      </c>
      <c r="BG173" s="1">
        <v>6.8310000000000004</v>
      </c>
      <c r="BH173" s="1">
        <f t="shared" si="52"/>
        <v>7355.5555555555557</v>
      </c>
      <c r="BI173" s="1">
        <f t="shared" si="53"/>
        <v>908.84595804847913</v>
      </c>
    </row>
    <row r="174" spans="1:61" x14ac:dyDescent="0.2">
      <c r="A174" t="s">
        <v>557</v>
      </c>
      <c r="B174" t="s">
        <v>38</v>
      </c>
      <c r="C174" t="s">
        <v>558</v>
      </c>
      <c r="D174" t="s">
        <v>559</v>
      </c>
      <c r="E174">
        <v>83261</v>
      </c>
      <c r="F174">
        <v>48802</v>
      </c>
      <c r="G174" t="s">
        <v>559</v>
      </c>
      <c r="H174" s="1">
        <v>267.7</v>
      </c>
      <c r="I174" s="1">
        <v>179.9</v>
      </c>
      <c r="J174" s="10">
        <v>2.1059999999999999</v>
      </c>
      <c r="K174" s="10">
        <f t="shared" ca="1" si="46"/>
        <v>6.3859959285925E-2</v>
      </c>
      <c r="L174" s="7">
        <v>0.1915</v>
      </c>
      <c r="M174" s="7">
        <f t="shared" ca="1" si="47"/>
        <v>5.6840918359927989E-3</v>
      </c>
      <c r="N174" s="7">
        <v>0.99300999999999995</v>
      </c>
      <c r="O174" s="8">
        <v>5.2219319999999998</v>
      </c>
      <c r="P174" s="8">
        <f t="shared" ca="1" si="48"/>
        <v>0.15499707193701953</v>
      </c>
      <c r="Q174" s="9">
        <v>7.9820000000000002E-2</v>
      </c>
      <c r="R174" s="9">
        <f t="shared" ca="1" si="49"/>
        <v>1.6225267208893664E-3</v>
      </c>
      <c r="S174" s="8">
        <f t="shared" si="50"/>
        <v>0.48281635883763124</v>
      </c>
      <c r="T174" s="11">
        <v>6.3700000000000007E-2</v>
      </c>
      <c r="U174" s="11">
        <f t="shared" ca="1" si="51"/>
        <v>1.8929014765697661E-3</v>
      </c>
      <c r="V174" s="6" t="e">
        <f ca="1">IF(agePb6U8(1/O174)&lt;1400,age7corr(1/O174,Q174,$W$2),agePb76(Q174))</f>
        <v>#NAME?</v>
      </c>
      <c r="W174" s="6" t="e">
        <f ca="1">IF(agePb6U8(1/O174)&lt;1400,ageer7corr(V174,1/O174,P174/O174*(1/O174),Q174,R174,$W$2,0.05),ageerPb76(Q174,R174))</f>
        <v>#NAME?</v>
      </c>
      <c r="X174" s="4" t="e">
        <f ca="1">agePb6U8(L174)/agePb7u5(J174)</f>
        <v>#NAME?</v>
      </c>
      <c r="Z174" s="1">
        <v>2.1059999999999999</v>
      </c>
      <c r="AA174" s="1">
        <v>4.8000000000000001E-2</v>
      </c>
      <c r="AB174" s="1">
        <v>0.1915</v>
      </c>
      <c r="AC174" s="1">
        <v>4.1999999999999997E-3</v>
      </c>
      <c r="AD174" s="1">
        <v>0.99300999999999995</v>
      </c>
      <c r="AE174" s="1">
        <v>5.2219319999999998</v>
      </c>
      <c r="AF174" s="1">
        <v>0.114528</v>
      </c>
      <c r="AG174" s="1">
        <v>7.9820000000000002E-2</v>
      </c>
      <c r="AH174" s="1">
        <v>2.9E-4</v>
      </c>
      <c r="AI174" s="1">
        <v>-9.5475000000000004E-2</v>
      </c>
      <c r="AJ174" s="1">
        <v>6.3700000000000007E-2</v>
      </c>
      <c r="AK174" s="1">
        <v>1.4E-3</v>
      </c>
      <c r="AL174" s="1">
        <v>4.7469999999999999</v>
      </c>
      <c r="AM174" s="1">
        <v>1.2E-2</v>
      </c>
      <c r="AN174" s="1">
        <v>1150</v>
      </c>
      <c r="AO174" s="1">
        <v>16</v>
      </c>
      <c r="AP174" s="1">
        <v>1129</v>
      </c>
      <c r="AQ174" s="1">
        <v>23</v>
      </c>
      <c r="AR174" s="1">
        <v>1247</v>
      </c>
      <c r="AS174" s="1">
        <v>27</v>
      </c>
      <c r="AT174" s="1">
        <v>1192.5999999999999</v>
      </c>
      <c r="AU174" s="1">
        <v>7.2</v>
      </c>
      <c r="AV174" s="1">
        <v>58.18</v>
      </c>
      <c r="AW174" s="1">
        <v>0.97000000000000008</v>
      </c>
      <c r="AX174" s="1">
        <v>14.200000000000001</v>
      </c>
      <c r="AY174" s="1">
        <v>0.33</v>
      </c>
      <c r="AZ174" s="1">
        <v>73029.599999999991</v>
      </c>
      <c r="BA174" s="1">
        <v>1242</v>
      </c>
      <c r="BB174" s="1">
        <v>34465.5</v>
      </c>
      <c r="BC174" s="1">
        <v>546.48</v>
      </c>
      <c r="BD174" s="1">
        <v>434700</v>
      </c>
      <c r="BE174" s="1">
        <v>6831</v>
      </c>
      <c r="BF174" s="1">
        <v>3.4155000000000002</v>
      </c>
      <c r="BG174" s="1">
        <v>4.968</v>
      </c>
      <c r="BH174" s="1">
        <f t="shared" si="52"/>
        <v>127272.72727272726</v>
      </c>
      <c r="BI174" s="1">
        <f t="shared" si="53"/>
        <v>185134.77019835517</v>
      </c>
    </row>
    <row r="175" spans="1:61" x14ac:dyDescent="0.2">
      <c r="A175" t="s">
        <v>560</v>
      </c>
      <c r="B175" t="s">
        <v>38</v>
      </c>
      <c r="C175" t="s">
        <v>561</v>
      </c>
      <c r="D175" t="s">
        <v>562</v>
      </c>
      <c r="E175">
        <v>83376</v>
      </c>
      <c r="F175">
        <v>48900</v>
      </c>
      <c r="G175" t="s">
        <v>562</v>
      </c>
      <c r="H175" s="1">
        <v>230.5</v>
      </c>
      <c r="I175" s="1">
        <v>54.9</v>
      </c>
      <c r="J175" s="10">
        <v>2.5419999999999998</v>
      </c>
      <c r="K175" s="10">
        <f t="shared" ca="1" si="46"/>
        <v>9.9043957917684208E-2</v>
      </c>
      <c r="L175" s="7">
        <v>0.2142</v>
      </c>
      <c r="M175" s="7">
        <f t="shared" ca="1" si="47"/>
        <v>8.1217397151103037E-3</v>
      </c>
      <c r="N175" s="7">
        <v>0.99467000000000005</v>
      </c>
      <c r="O175" s="8">
        <v>4.6685340000000002</v>
      </c>
      <c r="P175" s="8">
        <f t="shared" ca="1" si="48"/>
        <v>0.17701506617421695</v>
      </c>
      <c r="Q175" s="9">
        <v>8.6069999999999994E-2</v>
      </c>
      <c r="R175" s="9">
        <f t="shared" ca="1" si="49"/>
        <v>1.7566211771466265E-3</v>
      </c>
      <c r="S175" s="8">
        <f t="shared" si="50"/>
        <v>0.51021143506825162</v>
      </c>
      <c r="T175" s="11">
        <v>6.7699999999999996E-2</v>
      </c>
      <c r="U175" s="11">
        <f t="shared" ca="1" si="51"/>
        <v>2.7555972129467681E-3</v>
      </c>
      <c r="V175" s="6" t="e">
        <f ca="1">IF(agePb6U8(1/O175)&lt;1400,age7corr(1/O175,Q175,$W$2),agePb76(Q175))</f>
        <v>#NAME?</v>
      </c>
      <c r="W175" s="6" t="e">
        <f ca="1">IF(agePb6U8(1/O175)&lt;1400,ageer7corr(V175,1/O175,P175/O175*(1/O175),Q175,R175,$W$2,0.05),ageerPb76(Q175,R175))</f>
        <v>#NAME?</v>
      </c>
      <c r="X175" s="4" t="e">
        <f ca="1">agePb6U8(L175)/agePb7u5(J175)</f>
        <v>#NAME?</v>
      </c>
      <c r="Z175" s="1">
        <v>2.5419999999999998</v>
      </c>
      <c r="AA175" s="1">
        <v>8.5000000000000006E-2</v>
      </c>
      <c r="AB175" s="1">
        <v>0.2142</v>
      </c>
      <c r="AC175" s="1">
        <v>6.8999999999999999E-3</v>
      </c>
      <c r="AD175" s="1">
        <v>0.99467000000000005</v>
      </c>
      <c r="AE175" s="1">
        <v>4.6685340000000002</v>
      </c>
      <c r="AF175" s="1">
        <v>0.15038699999999999</v>
      </c>
      <c r="AG175" s="1">
        <v>8.6069999999999994E-2</v>
      </c>
      <c r="AH175" s="1">
        <v>3.5E-4</v>
      </c>
      <c r="AI175" s="1">
        <v>-0.20705000000000001</v>
      </c>
      <c r="AJ175" s="1">
        <v>6.7699999999999996E-2</v>
      </c>
      <c r="AK175" s="1">
        <v>2.3999999999999998E-3</v>
      </c>
      <c r="AL175" s="1">
        <v>13.962</v>
      </c>
      <c r="AM175" s="1">
        <v>9.5000000000000001E-2</v>
      </c>
      <c r="AN175" s="1">
        <v>1288</v>
      </c>
      <c r="AO175" s="1">
        <v>23</v>
      </c>
      <c r="AP175" s="1">
        <v>1251</v>
      </c>
      <c r="AQ175" s="1">
        <v>37</v>
      </c>
      <c r="AR175" s="1">
        <v>1324</v>
      </c>
      <c r="AS175" s="1">
        <v>46</v>
      </c>
      <c r="AT175" s="1">
        <v>1339.6</v>
      </c>
      <c r="AU175" s="1">
        <v>7.8</v>
      </c>
      <c r="AV175" s="1">
        <v>50.09</v>
      </c>
      <c r="AW175" s="1">
        <v>0.9</v>
      </c>
      <c r="AX175" s="1">
        <v>4.33</v>
      </c>
      <c r="AY175" s="1">
        <v>0.13999999999999999</v>
      </c>
      <c r="AZ175" s="1">
        <v>23840.190000000002</v>
      </c>
      <c r="BA175" s="1">
        <v>496.8</v>
      </c>
      <c r="BB175" s="1">
        <v>35707.5</v>
      </c>
      <c r="BC175" s="1">
        <v>807.3</v>
      </c>
      <c r="BD175" s="1">
        <v>419796.00000000006</v>
      </c>
      <c r="BE175" s="1">
        <v>8694</v>
      </c>
      <c r="BF175" s="1">
        <v>8.6318999999999999</v>
      </c>
      <c r="BG175" s="1">
        <v>4.6574999999999998</v>
      </c>
      <c r="BH175" s="1">
        <f t="shared" si="52"/>
        <v>48633.093525179866</v>
      </c>
      <c r="BI175" s="1">
        <f t="shared" si="53"/>
        <v>26260.200076009787</v>
      </c>
    </row>
    <row r="176" spans="1:61" x14ac:dyDescent="0.2">
      <c r="A176" t="s">
        <v>401</v>
      </c>
      <c r="B176" t="s">
        <v>38</v>
      </c>
      <c r="C176" t="s">
        <v>402</v>
      </c>
      <c r="D176" t="s">
        <v>403</v>
      </c>
      <c r="E176">
        <v>83874</v>
      </c>
      <c r="F176">
        <v>48695</v>
      </c>
      <c r="G176" t="s">
        <v>403</v>
      </c>
      <c r="H176" s="1">
        <v>211</v>
      </c>
      <c r="I176" s="1">
        <v>63.6</v>
      </c>
      <c r="J176" s="10">
        <v>1.649</v>
      </c>
      <c r="K176" s="10">
        <f t="shared" ca="1" si="46"/>
        <v>7.6476665722297291E-2</v>
      </c>
      <c r="L176" s="7">
        <v>0.15790000000000001</v>
      </c>
      <c r="M176" s="7">
        <f t="shared" ca="1" si="47"/>
        <v>7.3166224448170071E-3</v>
      </c>
      <c r="N176" s="7">
        <v>0.99089000000000005</v>
      </c>
      <c r="O176" s="8">
        <v>6.3331220000000004</v>
      </c>
      <c r="P176" s="8">
        <f t="shared" ca="1" si="48"/>
        <v>0.2934583028868728</v>
      </c>
      <c r="Q176" s="9">
        <v>7.5859999999999997E-2</v>
      </c>
      <c r="R176" s="9">
        <f t="shared" ca="1" si="49"/>
        <v>1.576957780030905E-3</v>
      </c>
      <c r="S176" s="8">
        <f t="shared" si="50"/>
        <v>0.4650376993200051</v>
      </c>
      <c r="T176" s="11">
        <v>6.0499999999999998E-2</v>
      </c>
      <c r="U176" s="11">
        <f t="shared" ca="1" si="51"/>
        <v>2.25257630281418E-3</v>
      </c>
      <c r="V176" s="6" t="e">
        <f ca="1">IF(agePb6U8(1/O176)&lt;1400,age7corr(1/O176,Q176,$W$2),agePb76(Q176))</f>
        <v>#NAME?</v>
      </c>
      <c r="W176" s="6" t="e">
        <f ca="1">IF(agePb6U8(1/O176)&lt;1400,ageer7corr(V176,1/O176,P176/O176*(1/O176),Q176,R176,$W$2,0.05),ageerPb76(Q176,R176))</f>
        <v>#NAME?</v>
      </c>
      <c r="X176" s="4" t="e">
        <f ca="1">agePb6U8(L176)/agePb7u5(J176)</f>
        <v>#NAME?</v>
      </c>
      <c r="Z176" s="1">
        <v>1.649</v>
      </c>
      <c r="AA176" s="1">
        <v>6.9000000000000006E-2</v>
      </c>
      <c r="AB176" s="1">
        <v>0.15790000000000001</v>
      </c>
      <c r="AC176" s="1">
        <v>6.6E-3</v>
      </c>
      <c r="AD176" s="1">
        <v>0.99089000000000005</v>
      </c>
      <c r="AE176" s="1">
        <v>6.3331220000000004</v>
      </c>
      <c r="AF176" s="1">
        <v>0.2647157</v>
      </c>
      <c r="AG176" s="1">
        <v>7.5859999999999997E-2</v>
      </c>
      <c r="AH176" s="1">
        <v>4.2999999999999999E-4</v>
      </c>
      <c r="AI176" s="1">
        <v>5.2886000000000002E-2</v>
      </c>
      <c r="AJ176" s="1">
        <v>6.0499999999999998E-2</v>
      </c>
      <c r="AK176" s="1">
        <v>1.9E-3</v>
      </c>
      <c r="AL176" s="1">
        <v>9.08</v>
      </c>
      <c r="AM176" s="1">
        <v>0.15</v>
      </c>
      <c r="AN176" s="1">
        <v>994</v>
      </c>
      <c r="AO176" s="1">
        <v>28</v>
      </c>
      <c r="AP176" s="1">
        <v>953</v>
      </c>
      <c r="AQ176" s="1">
        <v>39</v>
      </c>
      <c r="AR176" s="1">
        <v>1187</v>
      </c>
      <c r="AS176" s="1">
        <v>37</v>
      </c>
      <c r="AT176" s="1">
        <v>1091</v>
      </c>
      <c r="AU176" s="1">
        <v>11</v>
      </c>
      <c r="AV176" s="1">
        <v>46.1</v>
      </c>
      <c r="AW176" s="1">
        <v>5.4</v>
      </c>
      <c r="AX176" s="1">
        <v>5.0299999999999994</v>
      </c>
      <c r="AY176" s="1">
        <v>0.43</v>
      </c>
      <c r="AZ176" s="1">
        <v>24902.1</v>
      </c>
      <c r="BA176" s="1">
        <v>2546.1</v>
      </c>
      <c r="BB176" s="1">
        <v>21300.3</v>
      </c>
      <c r="BC176" s="1">
        <v>2235.6000000000004</v>
      </c>
      <c r="BD176" s="1">
        <v>281934</v>
      </c>
      <c r="BE176" s="1">
        <v>29187</v>
      </c>
      <c r="BF176" s="1">
        <v>6.6447000000000003</v>
      </c>
      <c r="BG176" s="1">
        <v>6.0858000000000008</v>
      </c>
      <c r="BH176" s="1">
        <f t="shared" si="52"/>
        <v>42429.906542056073</v>
      </c>
      <c r="BI176" s="1">
        <f t="shared" si="53"/>
        <v>39108.494890483613</v>
      </c>
    </row>
    <row r="177" spans="1:61" x14ac:dyDescent="0.2">
      <c r="A177" t="s">
        <v>563</v>
      </c>
      <c r="B177" t="s">
        <v>38</v>
      </c>
      <c r="C177" t="s">
        <v>564</v>
      </c>
      <c r="D177" t="s">
        <v>565</v>
      </c>
      <c r="E177">
        <v>83317</v>
      </c>
      <c r="F177">
        <v>49100</v>
      </c>
      <c r="G177" t="s">
        <v>565</v>
      </c>
      <c r="H177" s="1">
        <v>88.8</v>
      </c>
      <c r="I177" s="1">
        <v>31.02</v>
      </c>
      <c r="J177" s="10">
        <v>1.6619999999999999</v>
      </c>
      <c r="K177" s="10">
        <f t="shared" ca="1" si="46"/>
        <v>5.8385765388491738E-2</v>
      </c>
      <c r="L177" s="7">
        <v>0.16139999999999999</v>
      </c>
      <c r="M177" s="7">
        <f t="shared" ca="1" si="47"/>
        <v>5.3768005356345516E-3</v>
      </c>
      <c r="N177" s="7">
        <v>0.96755999999999998</v>
      </c>
      <c r="O177" s="8">
        <v>6.1957870000000002</v>
      </c>
      <c r="P177" s="8">
        <f t="shared" ca="1" si="48"/>
        <v>0.20640338457134758</v>
      </c>
      <c r="Q177" s="9">
        <v>7.5370000000000006E-2</v>
      </c>
      <c r="R177" s="9">
        <f t="shared" ca="1" si="49"/>
        <v>1.6046042378106823E-3</v>
      </c>
      <c r="S177" s="8">
        <f t="shared" si="50"/>
        <v>0.44910603798307314</v>
      </c>
      <c r="T177" s="11">
        <v>5.8099999999999999E-2</v>
      </c>
      <c r="U177" s="11">
        <f t="shared" ca="1" si="51"/>
        <v>1.8974308946572995E-3</v>
      </c>
      <c r="V177" s="6" t="e">
        <f ca="1">IF(agePb6U8(1/O177)&lt;1400,age7corr(1/O177,Q177,$W$2),agePb76(Q177))</f>
        <v>#NAME?</v>
      </c>
      <c r="W177" s="6" t="e">
        <f ca="1">IF(agePb6U8(1/O177)&lt;1400,ageer7corr(V177,1/O177,P177/O177*(1/O177),Q177,R177,$W$2,0.05),ageerPb76(Q177,R177))</f>
        <v>#NAME?</v>
      </c>
      <c r="X177" s="4" t="e">
        <f ca="1">agePb6U8(L177)/agePb7u5(J177)</f>
        <v>#NAME?</v>
      </c>
      <c r="Z177" s="1">
        <v>1.6619999999999999</v>
      </c>
      <c r="AA177" s="1">
        <v>4.8000000000000001E-2</v>
      </c>
      <c r="AB177" s="1">
        <v>0.16139999999999999</v>
      </c>
      <c r="AC177" s="1">
        <v>4.3E-3</v>
      </c>
      <c r="AD177" s="1">
        <v>0.96755999999999998</v>
      </c>
      <c r="AE177" s="1">
        <v>6.1957870000000002</v>
      </c>
      <c r="AF177" s="1">
        <v>0.1650674</v>
      </c>
      <c r="AG177" s="1">
        <v>7.5370000000000006E-2</v>
      </c>
      <c r="AH177" s="1">
        <v>5.5000000000000003E-4</v>
      </c>
      <c r="AI177" s="1">
        <v>-0.33806000000000003</v>
      </c>
      <c r="AJ177" s="1">
        <v>5.8099999999999999E-2</v>
      </c>
      <c r="AK177" s="1">
        <v>1.5E-3</v>
      </c>
      <c r="AL177" s="1">
        <v>8.4559999999999995</v>
      </c>
      <c r="AM177" s="1">
        <v>7.6999999999999999E-2</v>
      </c>
      <c r="AN177" s="1">
        <v>997</v>
      </c>
      <c r="AO177" s="1">
        <v>19</v>
      </c>
      <c r="AP177" s="1">
        <v>964</v>
      </c>
      <c r="AQ177" s="1">
        <v>24</v>
      </c>
      <c r="AR177" s="1">
        <v>1142</v>
      </c>
      <c r="AS177" s="1">
        <v>28</v>
      </c>
      <c r="AT177" s="1">
        <v>1078</v>
      </c>
      <c r="AU177" s="1">
        <v>15</v>
      </c>
      <c r="AV177" s="1">
        <v>19.3</v>
      </c>
      <c r="AW177" s="1">
        <v>0.53</v>
      </c>
      <c r="AX177" s="1">
        <v>2.4470000000000001</v>
      </c>
      <c r="AY177" s="1">
        <v>3.7999999999999999E-2</v>
      </c>
      <c r="AZ177" s="1">
        <v>11507.13</v>
      </c>
      <c r="BA177" s="1">
        <v>235.98</v>
      </c>
      <c r="BB177" s="1">
        <v>9091.44</v>
      </c>
      <c r="BC177" s="1">
        <v>192.51</v>
      </c>
      <c r="BD177" s="1">
        <v>121716</v>
      </c>
      <c r="BE177" s="1">
        <v>2670.3</v>
      </c>
      <c r="BF177" s="1">
        <v>32.912999999999997</v>
      </c>
      <c r="BG177" s="1">
        <v>8.6940000000000008</v>
      </c>
      <c r="BH177" s="1">
        <f t="shared" si="52"/>
        <v>3698.1132075471701</v>
      </c>
      <c r="BI177" s="1">
        <f t="shared" si="53"/>
        <v>980.22347151348811</v>
      </c>
    </row>
    <row r="178" spans="1:61" x14ac:dyDescent="0.2">
      <c r="A178" t="s">
        <v>566</v>
      </c>
      <c r="B178" t="s">
        <v>38</v>
      </c>
      <c r="C178" t="s">
        <v>567</v>
      </c>
      <c r="D178" t="s">
        <v>568</v>
      </c>
      <c r="E178">
        <v>83413</v>
      </c>
      <c r="F178">
        <v>49321</v>
      </c>
      <c r="G178" t="s">
        <v>568</v>
      </c>
      <c r="H178" s="1">
        <v>267.89999999999998</v>
      </c>
      <c r="I178" s="1">
        <v>21.6</v>
      </c>
      <c r="J178" s="10">
        <v>2.1030000000000002</v>
      </c>
      <c r="K178" s="10">
        <f t="shared" ca="1" si="46"/>
        <v>7.8262657762179291E-2</v>
      </c>
      <c r="L178" s="7">
        <v>0.19089999999999999</v>
      </c>
      <c r="M178" s="7">
        <f t="shared" ca="1" si="47"/>
        <v>7.1117595572403889E-3</v>
      </c>
      <c r="N178" s="7">
        <v>0.99497999999999998</v>
      </c>
      <c r="O178" s="8">
        <v>5.2383449999999998</v>
      </c>
      <c r="P178" s="8">
        <f t="shared" ca="1" si="48"/>
        <v>0.19514847388042778</v>
      </c>
      <c r="Q178" s="9">
        <v>8.0089999999999995E-2</v>
      </c>
      <c r="R178" s="9">
        <f t="shared" ca="1" si="49"/>
        <v>1.6227640740415718E-3</v>
      </c>
      <c r="S178" s="8">
        <f t="shared" si="50"/>
        <v>0.44901136699477084</v>
      </c>
      <c r="T178" s="11">
        <v>6.6400000000000001E-2</v>
      </c>
      <c r="U178" s="11">
        <f t="shared" ca="1" si="51"/>
        <v>3.0989649885082597E-3</v>
      </c>
      <c r="V178" s="6" t="e">
        <f ca="1">IF(agePb6U8(1/O178)&lt;1400,age7corr(1/O178,Q178,$W$2),agePb76(Q178))</f>
        <v>#NAME?</v>
      </c>
      <c r="W178" s="6" t="e">
        <f ca="1">IF(agePb6U8(1/O178)&lt;1400,ageer7corr(V178,1/O178,P178/O178*(1/O178),Q178,R178,$W$2,0.05),ageerPb76(Q178,R178))</f>
        <v>#NAME?</v>
      </c>
      <c r="X178" s="4" t="e">
        <f ca="1">agePb6U8(L178)/agePb7u5(J178)</f>
        <v>#NAME?</v>
      </c>
      <c r="Z178" s="1">
        <v>2.1030000000000002</v>
      </c>
      <c r="AA178" s="1">
        <v>6.6000000000000003E-2</v>
      </c>
      <c r="AB178" s="1">
        <v>0.19089999999999999</v>
      </c>
      <c r="AC178" s="1">
        <v>6.0000000000000001E-3</v>
      </c>
      <c r="AD178" s="1">
        <v>0.99497999999999998</v>
      </c>
      <c r="AE178" s="1">
        <v>5.2383449999999998</v>
      </c>
      <c r="AF178" s="1">
        <v>0.1646415</v>
      </c>
      <c r="AG178" s="1">
        <v>8.0089999999999995E-2</v>
      </c>
      <c r="AH178" s="1">
        <v>2.5999999999999998E-4</v>
      </c>
      <c r="AI178" s="1">
        <v>0.23463000000000001</v>
      </c>
      <c r="AJ178" s="1">
        <v>6.6400000000000001E-2</v>
      </c>
      <c r="AK178" s="1">
        <v>2.8E-3</v>
      </c>
      <c r="AL178" s="1">
        <v>55</v>
      </c>
      <c r="AM178" s="1">
        <v>14</v>
      </c>
      <c r="AN178" s="1">
        <v>1149</v>
      </c>
      <c r="AO178" s="1">
        <v>22</v>
      </c>
      <c r="AP178" s="1">
        <v>1126</v>
      </c>
      <c r="AQ178" s="1">
        <v>33</v>
      </c>
      <c r="AR178" s="1">
        <v>1299</v>
      </c>
      <c r="AS178" s="1">
        <v>52</v>
      </c>
      <c r="AT178" s="1">
        <v>1199.2</v>
      </c>
      <c r="AU178" s="1">
        <v>6.5</v>
      </c>
      <c r="AV178" s="1">
        <v>58.2</v>
      </c>
      <c r="AW178" s="1">
        <v>1.4</v>
      </c>
      <c r="AX178" s="1">
        <v>1.71</v>
      </c>
      <c r="AY178" s="1">
        <v>0.43</v>
      </c>
      <c r="AZ178" s="1">
        <v>8818.2000000000007</v>
      </c>
      <c r="BA178" s="1">
        <v>2049.3000000000002</v>
      </c>
      <c r="BB178" s="1">
        <v>35216.909999999996</v>
      </c>
      <c r="BC178" s="1">
        <v>583.74</v>
      </c>
      <c r="BD178" s="1">
        <v>440910.00000000006</v>
      </c>
      <c r="BE178" s="1">
        <v>8072.9999999999982</v>
      </c>
      <c r="BF178" s="1">
        <v>6.2721</v>
      </c>
      <c r="BG178" s="1">
        <v>5.2164000000000001</v>
      </c>
      <c r="BH178" s="1">
        <f t="shared" si="52"/>
        <v>70297.029702970307</v>
      </c>
      <c r="BI178" s="1">
        <f t="shared" si="53"/>
        <v>58479.023013663842</v>
      </c>
    </row>
    <row r="179" spans="1:61" x14ac:dyDescent="0.2">
      <c r="A179" t="s">
        <v>569</v>
      </c>
      <c r="B179" t="s">
        <v>38</v>
      </c>
      <c r="C179" t="s">
        <v>570</v>
      </c>
      <c r="D179" t="s">
        <v>571</v>
      </c>
      <c r="E179">
        <v>83479</v>
      </c>
      <c r="F179">
        <v>49511</v>
      </c>
      <c r="G179" t="s">
        <v>571</v>
      </c>
      <c r="H179" s="1">
        <v>85</v>
      </c>
      <c r="I179" s="1">
        <v>21.5</v>
      </c>
      <c r="J179" s="10">
        <v>2.0910000000000002</v>
      </c>
      <c r="K179" s="10">
        <f t="shared" ca="1" si="46"/>
        <v>9.9241686805495208E-2</v>
      </c>
      <c r="L179" s="7">
        <v>0.1951</v>
      </c>
      <c r="M179" s="7">
        <f t="shared" ca="1" si="47"/>
        <v>9.9932779406959344E-3</v>
      </c>
      <c r="N179" s="7">
        <v>0.98629</v>
      </c>
      <c r="O179" s="8">
        <v>5.1255769999999998</v>
      </c>
      <c r="P179" s="8">
        <f t="shared" ca="1" si="48"/>
        <v>0.26253873500263081</v>
      </c>
      <c r="Q179" s="9">
        <v>7.8950000000000006E-2</v>
      </c>
      <c r="R179" s="9">
        <f t="shared" ca="1" si="49"/>
        <v>1.6856277762305652E-3</v>
      </c>
      <c r="S179" s="8">
        <f t="shared" si="50"/>
        <v>0.43872506439757092</v>
      </c>
      <c r="T179" s="11">
        <v>6.25E-2</v>
      </c>
      <c r="U179" s="11">
        <f t="shared" ca="1" si="51"/>
        <v>2.0303940504246953E-3</v>
      </c>
      <c r="V179" s="6" t="e">
        <f ca="1">IF(agePb6U8(1/O179)&lt;1400,age7corr(1/O179,Q179,$W$2),agePb76(Q179))</f>
        <v>#NAME?</v>
      </c>
      <c r="W179" s="6" t="e">
        <f ca="1">IF(agePb6U8(1/O179)&lt;1400,ageer7corr(V179,1/O179,P179/O179*(1/O179),Q179,R179,$W$2,0.05),ageerPb76(Q179,R179))</f>
        <v>#NAME?</v>
      </c>
      <c r="X179" s="4" t="e">
        <f ca="1">agePb6U8(L179)/agePb7u5(J179)</f>
        <v>#NAME?</v>
      </c>
      <c r="Z179" s="1">
        <v>2.0910000000000002</v>
      </c>
      <c r="AA179" s="1">
        <v>0.09</v>
      </c>
      <c r="AB179" s="1">
        <v>0.1951</v>
      </c>
      <c r="AC179" s="1">
        <v>9.1999999999999998E-3</v>
      </c>
      <c r="AD179" s="1">
        <v>0.98629</v>
      </c>
      <c r="AE179" s="1">
        <v>5.1255769999999998</v>
      </c>
      <c r="AF179" s="1">
        <v>0.2416981</v>
      </c>
      <c r="AG179" s="1">
        <v>7.8950000000000006E-2</v>
      </c>
      <c r="AH179" s="1">
        <v>5.9000000000000003E-4</v>
      </c>
      <c r="AI179" s="1">
        <v>0.37819000000000003</v>
      </c>
      <c r="AJ179" s="1">
        <v>6.25E-2</v>
      </c>
      <c r="AK179" s="1">
        <v>1.6000000000000001E-3</v>
      </c>
      <c r="AL179" s="1">
        <v>12.68</v>
      </c>
      <c r="AM179" s="1">
        <v>0.93</v>
      </c>
      <c r="AN179" s="1">
        <v>1151</v>
      </c>
      <c r="AO179" s="1">
        <v>27</v>
      </c>
      <c r="AP179" s="1">
        <v>1148</v>
      </c>
      <c r="AQ179" s="1">
        <v>50</v>
      </c>
      <c r="AR179" s="1">
        <v>1224</v>
      </c>
      <c r="AS179" s="1">
        <v>30</v>
      </c>
      <c r="AT179" s="1">
        <v>1170</v>
      </c>
      <c r="AU179" s="1">
        <v>15</v>
      </c>
      <c r="AV179" s="1">
        <v>18.5</v>
      </c>
      <c r="AW179" s="1">
        <v>3.1</v>
      </c>
      <c r="AX179" s="1">
        <v>1.7</v>
      </c>
      <c r="AY179" s="1">
        <v>0.11</v>
      </c>
      <c r="AZ179" s="1">
        <v>8538.75</v>
      </c>
      <c r="BA179" s="1">
        <v>571.31999999999994</v>
      </c>
      <c r="BB179" s="1">
        <v>11115.9</v>
      </c>
      <c r="BC179" s="1">
        <v>1552.5</v>
      </c>
      <c r="BD179" s="1">
        <v>137241</v>
      </c>
      <c r="BE179" s="1">
        <v>18630</v>
      </c>
      <c r="BF179" s="1">
        <v>2.4218999999999999</v>
      </c>
      <c r="BG179" s="1">
        <v>4.2848999999999995</v>
      </c>
      <c r="BH179" s="1">
        <f t="shared" si="52"/>
        <v>56666.666666666672</v>
      </c>
      <c r="BI179" s="1">
        <f t="shared" si="53"/>
        <v>100551.07853789924</v>
      </c>
    </row>
    <row r="180" spans="1:61" x14ac:dyDescent="0.2">
      <c r="A180" t="s">
        <v>572</v>
      </c>
      <c r="B180" t="s">
        <v>38</v>
      </c>
      <c r="C180" t="s">
        <v>573</v>
      </c>
      <c r="D180" t="s">
        <v>574</v>
      </c>
      <c r="E180">
        <v>83468</v>
      </c>
      <c r="F180">
        <v>49730</v>
      </c>
      <c r="G180" t="s">
        <v>574</v>
      </c>
      <c r="H180" s="1">
        <v>156.69999999999999</v>
      </c>
      <c r="I180" s="1">
        <v>73.400000000000006</v>
      </c>
      <c r="J180" s="10">
        <v>3.1150000000000002</v>
      </c>
      <c r="K180" s="10">
        <f t="shared" ca="1" si="46"/>
        <v>7.9260898304271063E-2</v>
      </c>
      <c r="L180" s="7">
        <v>0.24579999999999999</v>
      </c>
      <c r="M180" s="7">
        <f t="shared" ca="1" si="47"/>
        <v>6.4013323613135407E-3</v>
      </c>
      <c r="N180" s="7">
        <v>0.98919000000000001</v>
      </c>
      <c r="O180" s="8">
        <v>4.0683480000000003</v>
      </c>
      <c r="P180" s="8">
        <f t="shared" ca="1" si="48"/>
        <v>0.10595137935016231</v>
      </c>
      <c r="Q180" s="9">
        <v>9.2329999999999995E-2</v>
      </c>
      <c r="R180" s="9">
        <f t="shared" ca="1" si="49"/>
        <v>1.8648140818859128E-3</v>
      </c>
      <c r="S180" s="8">
        <f t="shared" si="50"/>
        <v>0.4466205281456096</v>
      </c>
      <c r="T180" s="11">
        <v>7.9100000000000004E-2</v>
      </c>
      <c r="U180" s="11">
        <f t="shared" ca="1" si="51"/>
        <v>2.1125160354420981E-3</v>
      </c>
      <c r="V180" s="6" t="e">
        <f ca="1">IF(agePb6U8(1/O180)&lt;1400,age7corr(1/O180,Q180,$W$2),agePb76(Q180))</f>
        <v>#NAME?</v>
      </c>
      <c r="W180" s="6" t="e">
        <f ca="1">IF(agePb6U8(1/O180)&lt;1400,ageer7corr(V180,1/O180,P180/O180*(1/O180),Q180,R180,$W$2,0.05),ageerPb76(Q180,R180))</f>
        <v>#NAME?</v>
      </c>
      <c r="X180" s="4" t="e">
        <f ca="1">agePb6U8(L180)/agePb7u5(J180)</f>
        <v>#NAME?</v>
      </c>
      <c r="Z180" s="1">
        <v>3.1150000000000002</v>
      </c>
      <c r="AA180" s="1">
        <v>4.9000000000000002E-2</v>
      </c>
      <c r="AB180" s="1">
        <v>0.24579999999999999</v>
      </c>
      <c r="AC180" s="1">
        <v>4.1000000000000003E-3</v>
      </c>
      <c r="AD180" s="1">
        <v>0.98919000000000001</v>
      </c>
      <c r="AE180" s="1">
        <v>4.0683480000000003</v>
      </c>
      <c r="AF180" s="1">
        <v>6.7860980000000001E-2</v>
      </c>
      <c r="AG180" s="1">
        <v>9.2329999999999995E-2</v>
      </c>
      <c r="AH180" s="1">
        <v>2.5999999999999998E-4</v>
      </c>
      <c r="AI180" s="1">
        <v>-0.25795000000000001</v>
      </c>
      <c r="AJ180" s="1">
        <v>7.9100000000000004E-2</v>
      </c>
      <c r="AK180" s="1">
        <v>1.4E-3</v>
      </c>
      <c r="AL180" s="1">
        <v>7.069</v>
      </c>
      <c r="AM180" s="1">
        <v>3.5999999999999997E-2</v>
      </c>
      <c r="AN180" s="1">
        <v>1436</v>
      </c>
      <c r="AO180" s="1">
        <v>12</v>
      </c>
      <c r="AP180" s="1">
        <v>1416</v>
      </c>
      <c r="AQ180" s="1">
        <v>21</v>
      </c>
      <c r="AR180" s="1">
        <v>1538</v>
      </c>
      <c r="AS180" s="1">
        <v>26</v>
      </c>
      <c r="AT180" s="1">
        <v>1474.1</v>
      </c>
      <c r="AU180" s="1">
        <v>5.3</v>
      </c>
      <c r="AV180" s="1">
        <v>34.04</v>
      </c>
      <c r="AW180" s="1">
        <v>0.35</v>
      </c>
      <c r="AX180" s="1">
        <v>5.79</v>
      </c>
      <c r="AY180" s="1">
        <v>0.12000000000000001</v>
      </c>
      <c r="AZ180" s="1">
        <v>37036.439999999995</v>
      </c>
      <c r="BA180" s="1">
        <v>465.75000000000006</v>
      </c>
      <c r="BB180" s="1">
        <v>30031.559999999998</v>
      </c>
      <c r="BC180" s="1">
        <v>310.5</v>
      </c>
      <c r="BD180" s="1">
        <v>328509</v>
      </c>
      <c r="BE180" s="1">
        <v>3042.9</v>
      </c>
      <c r="BF180" s="1">
        <v>9.8118000000000016</v>
      </c>
      <c r="BG180" s="1">
        <v>4.5332999999999997</v>
      </c>
      <c r="BH180" s="1">
        <f t="shared" si="52"/>
        <v>33481.012658227839</v>
      </c>
      <c r="BI180" s="1">
        <f t="shared" si="53"/>
        <v>15472.183890860231</v>
      </c>
    </row>
    <row r="181" spans="1:61" x14ac:dyDescent="0.2">
      <c r="A181" t="s">
        <v>575</v>
      </c>
      <c r="B181" t="s">
        <v>38</v>
      </c>
      <c r="C181" t="s">
        <v>576</v>
      </c>
      <c r="D181" t="s">
        <v>577</v>
      </c>
      <c r="E181">
        <v>83400</v>
      </c>
      <c r="F181">
        <v>50288</v>
      </c>
      <c r="G181" t="s">
        <v>577</v>
      </c>
      <c r="H181" s="1">
        <v>60.8</v>
      </c>
      <c r="I181" s="1">
        <v>28.03</v>
      </c>
      <c r="J181" s="10">
        <v>1.718</v>
      </c>
      <c r="K181" s="10">
        <f t="shared" ca="1" si="46"/>
        <v>6.4004762322814698E-2</v>
      </c>
      <c r="L181" s="7">
        <v>0.16800000000000001</v>
      </c>
      <c r="M181" s="7">
        <f t="shared" ca="1" si="47"/>
        <v>5.9413466486984241E-3</v>
      </c>
      <c r="N181" s="7">
        <v>0.95462999999999998</v>
      </c>
      <c r="O181" s="8">
        <v>5.9523809999999999</v>
      </c>
      <c r="P181" s="8">
        <f t="shared" ca="1" si="48"/>
        <v>0.21050688794164049</v>
      </c>
      <c r="Q181" s="9">
        <v>7.4270000000000003E-2</v>
      </c>
      <c r="R181" s="9">
        <f t="shared" ca="1" si="49"/>
        <v>1.6336502563278348E-3</v>
      </c>
      <c r="S181" s="8">
        <f t="shared" si="50"/>
        <v>0.479218573132835</v>
      </c>
      <c r="T181" s="11">
        <v>5.3900000000000003E-2</v>
      </c>
      <c r="U181" s="11">
        <f t="shared" ca="1" si="51"/>
        <v>2.012978887122267E-3</v>
      </c>
      <c r="V181" s="6" t="e">
        <f ca="1">IF(agePb6U8(1/O181)&lt;1400,age7corr(1/O181,Q181,$W$2),agePb76(Q181))</f>
        <v>#NAME?</v>
      </c>
      <c r="W181" s="6" t="e">
        <f ca="1">IF(agePb6U8(1/O181)&lt;1400,ageer7corr(V181,1/O181,P181/O181*(1/O181),Q181,R181,$W$2,0.05),ageerPb76(Q181,R181))</f>
        <v>#NAME?</v>
      </c>
      <c r="X181" s="4" t="e">
        <f ca="1">agePb6U8(L181)/agePb7u5(J181)</f>
        <v>#NAME?</v>
      </c>
      <c r="Z181" s="1">
        <v>1.718</v>
      </c>
      <c r="AA181" s="1">
        <v>5.3999999999999999E-2</v>
      </c>
      <c r="AB181" s="1">
        <v>0.16800000000000001</v>
      </c>
      <c r="AC181" s="1">
        <v>4.8999999999999998E-3</v>
      </c>
      <c r="AD181" s="1">
        <v>0.95462999999999998</v>
      </c>
      <c r="AE181" s="1">
        <v>5.9523809999999999</v>
      </c>
      <c r="AF181" s="1">
        <v>0.17361109999999999</v>
      </c>
      <c r="AG181" s="1">
        <v>7.4270000000000003E-2</v>
      </c>
      <c r="AH181" s="1">
        <v>6.8000000000000005E-4</v>
      </c>
      <c r="AI181" s="1">
        <v>-1.1568E-2</v>
      </c>
      <c r="AJ181" s="1">
        <v>5.3900000000000003E-2</v>
      </c>
      <c r="AK181" s="1">
        <v>1.6999999999999999E-3</v>
      </c>
      <c r="AL181" s="1">
        <v>7.1020000000000003</v>
      </c>
      <c r="AM181" s="1">
        <v>4.5999999999999999E-2</v>
      </c>
      <c r="AN181" s="1">
        <v>1014</v>
      </c>
      <c r="AO181" s="1">
        <v>20</v>
      </c>
      <c r="AP181" s="1">
        <v>1001</v>
      </c>
      <c r="AQ181" s="1">
        <v>27</v>
      </c>
      <c r="AR181" s="1">
        <v>1060</v>
      </c>
      <c r="AS181" s="1">
        <v>33</v>
      </c>
      <c r="AT181" s="1">
        <v>1048</v>
      </c>
      <c r="AU181" s="1">
        <v>19</v>
      </c>
      <c r="AV181" s="1">
        <v>13.2</v>
      </c>
      <c r="AW181" s="1">
        <v>0.25</v>
      </c>
      <c r="AX181" s="1">
        <v>2.2109999999999999</v>
      </c>
      <c r="AY181" s="1">
        <v>6.8000000000000005E-2</v>
      </c>
      <c r="AZ181" s="1">
        <v>9743.49</v>
      </c>
      <c r="BA181" s="1">
        <v>217.35</v>
      </c>
      <c r="BB181" s="1">
        <v>6396.2999999999993</v>
      </c>
      <c r="BC181" s="1">
        <v>136.62</v>
      </c>
      <c r="BD181" s="1">
        <v>86753.7</v>
      </c>
      <c r="BE181" s="1">
        <v>1676.7</v>
      </c>
      <c r="BF181" s="1">
        <v>4.3470000000000004</v>
      </c>
      <c r="BG181" s="1">
        <v>5.5269000000000004</v>
      </c>
      <c r="BH181" s="1">
        <f t="shared" si="52"/>
        <v>19957.142857142855</v>
      </c>
      <c r="BI181" s="1">
        <f t="shared" si="53"/>
        <v>25377.013106564478</v>
      </c>
    </row>
    <row r="182" spans="1:61" x14ac:dyDescent="0.2">
      <c r="A182" t="s">
        <v>578</v>
      </c>
      <c r="B182" t="s">
        <v>38</v>
      </c>
      <c r="C182" t="s">
        <v>579</v>
      </c>
      <c r="D182" t="s">
        <v>580</v>
      </c>
      <c r="E182">
        <v>83415</v>
      </c>
      <c r="F182">
        <v>50455</v>
      </c>
      <c r="G182" t="s">
        <v>580</v>
      </c>
      <c r="H182" s="1">
        <v>90.2</v>
      </c>
      <c r="I182" s="1">
        <v>30.79</v>
      </c>
      <c r="J182" s="10">
        <v>2.1459999999999999</v>
      </c>
      <c r="K182" s="10">
        <f t="shared" ca="1" si="46"/>
        <v>9.4329880737759886E-2</v>
      </c>
      <c r="L182" s="7">
        <v>0.19689999999999999</v>
      </c>
      <c r="M182" s="7">
        <f t="shared" ca="1" si="47"/>
        <v>8.737725333288978E-3</v>
      </c>
      <c r="N182" s="7">
        <v>0.97682999999999998</v>
      </c>
      <c r="O182" s="8">
        <v>5.0787199999999997</v>
      </c>
      <c r="P182" s="8">
        <f t="shared" ca="1" si="48"/>
        <v>0.22537562261169686</v>
      </c>
      <c r="Q182" s="9">
        <v>7.9189999999999997E-2</v>
      </c>
      <c r="R182" s="9">
        <f t="shared" ca="1" si="49"/>
        <v>1.7196867272849436E-3</v>
      </c>
      <c r="S182" s="8">
        <f t="shared" si="50"/>
        <v>0.54208049052187257</v>
      </c>
      <c r="T182" s="11">
        <v>6.7400000000000002E-2</v>
      </c>
      <c r="U182" s="11">
        <f t="shared" ca="1" si="51"/>
        <v>2.7526539920592992E-3</v>
      </c>
      <c r="V182" s="6" t="e">
        <f ca="1">IF(agePb6U8(1/O182)&lt;1400,age7corr(1/O182,Q182,$W$2),agePb76(Q182))</f>
        <v>#NAME?</v>
      </c>
      <c r="W182" s="6" t="e">
        <f ca="1">IF(agePb6U8(1/O182)&lt;1400,ageer7corr(V182,1/O182,P182/O182*(1/O182),Q182,R182,$W$2,0.05),ageerPb76(Q182,R182))</f>
        <v>#NAME?</v>
      </c>
      <c r="X182" s="4" t="e">
        <f ca="1">agePb6U8(L182)/agePb7u5(J182)</f>
        <v>#NAME?</v>
      </c>
      <c r="Z182" s="1">
        <v>2.1459999999999999</v>
      </c>
      <c r="AA182" s="1">
        <v>8.4000000000000005E-2</v>
      </c>
      <c r="AB182" s="1">
        <v>0.19689999999999999</v>
      </c>
      <c r="AC182" s="1">
        <v>7.7999999999999996E-3</v>
      </c>
      <c r="AD182" s="1">
        <v>0.97682999999999998</v>
      </c>
      <c r="AE182" s="1">
        <v>5.0787199999999997</v>
      </c>
      <c r="AF182" s="1">
        <v>0.20118849999999999</v>
      </c>
      <c r="AG182" s="1">
        <v>7.9189999999999997E-2</v>
      </c>
      <c r="AH182" s="1">
        <v>6.7000000000000002E-4</v>
      </c>
      <c r="AI182" s="1">
        <v>2.1308000000000001E-2</v>
      </c>
      <c r="AJ182" s="1">
        <v>6.7400000000000002E-2</v>
      </c>
      <c r="AK182" s="1">
        <v>2.3999999999999998E-3</v>
      </c>
      <c r="AL182" s="1">
        <v>9.1449999999999996</v>
      </c>
      <c r="AM182" s="1">
        <v>9.0999999999999998E-2</v>
      </c>
      <c r="AN182" s="1">
        <v>1162</v>
      </c>
      <c r="AO182" s="1">
        <v>27</v>
      </c>
      <c r="AP182" s="1">
        <v>1158</v>
      </c>
      <c r="AQ182" s="1">
        <v>42</v>
      </c>
      <c r="AR182" s="1">
        <v>1318</v>
      </c>
      <c r="AS182" s="1">
        <v>46</v>
      </c>
      <c r="AT182" s="1">
        <v>1176</v>
      </c>
      <c r="AU182" s="1">
        <v>17</v>
      </c>
      <c r="AV182" s="1">
        <v>19.580000000000002</v>
      </c>
      <c r="AW182" s="1">
        <v>0.38</v>
      </c>
      <c r="AX182" s="1">
        <v>2.4279999999999999</v>
      </c>
      <c r="AY182" s="1">
        <v>6.8999999999999992E-2</v>
      </c>
      <c r="AZ182" s="1">
        <v>13177.62</v>
      </c>
      <c r="BA182" s="1">
        <v>310.5</v>
      </c>
      <c r="BB182" s="1">
        <v>11867.310000000001</v>
      </c>
      <c r="BC182" s="1">
        <v>248.4</v>
      </c>
      <c r="BD182" s="1">
        <v>149971.5</v>
      </c>
      <c r="BE182" s="1">
        <v>3291.2999999999997</v>
      </c>
      <c r="BF182" s="1">
        <v>-37.26</v>
      </c>
      <c r="BG182" s="1">
        <v>6.8310000000000004</v>
      </c>
      <c r="BH182" s="1">
        <f t="shared" si="52"/>
        <v>-4025</v>
      </c>
      <c r="BI182" s="1">
        <f t="shared" si="53"/>
        <v>-743.1848926897145</v>
      </c>
    </row>
    <row r="183" spans="1:61" x14ac:dyDescent="0.2">
      <c r="A183" t="s">
        <v>581</v>
      </c>
      <c r="B183" t="s">
        <v>38</v>
      </c>
      <c r="C183" t="s">
        <v>582</v>
      </c>
      <c r="D183" t="s">
        <v>583</v>
      </c>
      <c r="E183">
        <v>83432</v>
      </c>
      <c r="F183">
        <v>50802</v>
      </c>
      <c r="G183" t="s">
        <v>583</v>
      </c>
      <c r="H183" s="1">
        <v>169.9</v>
      </c>
      <c r="I183" s="1">
        <v>51.7</v>
      </c>
      <c r="J183" s="10">
        <v>2.0449999999999999</v>
      </c>
      <c r="K183" s="10">
        <f t="shared" ca="1" si="46"/>
        <v>6.0073371804818816E-2</v>
      </c>
      <c r="L183" s="7">
        <v>0.187</v>
      </c>
      <c r="M183" s="7">
        <f t="shared" ca="1" si="47"/>
        <v>5.260950484465711E-3</v>
      </c>
      <c r="N183" s="7">
        <v>0.98334999999999995</v>
      </c>
      <c r="O183" s="8">
        <v>5.347594</v>
      </c>
      <c r="P183" s="8">
        <f t="shared" ca="1" si="48"/>
        <v>0.15044612823045464</v>
      </c>
      <c r="Q183" s="9">
        <v>7.9390000000000002E-2</v>
      </c>
      <c r="R183" s="9">
        <f t="shared" ca="1" si="49"/>
        <v>1.6237945806043326E-3</v>
      </c>
      <c r="S183" s="8">
        <f t="shared" si="50"/>
        <v>0.45775513071849444</v>
      </c>
      <c r="T183" s="11">
        <v>6.3399999999999998E-2</v>
      </c>
      <c r="U183" s="11">
        <f t="shared" ca="1" si="51"/>
        <v>2.1208073934235517E-3</v>
      </c>
      <c r="V183" s="6" t="e">
        <f ca="1">IF(agePb6U8(1/O183)&lt;1400,age7corr(1/O183,Q183,$W$2),agePb76(Q183))</f>
        <v>#NAME?</v>
      </c>
      <c r="W183" s="6" t="e">
        <f ca="1">IF(agePb6U8(1/O183)&lt;1400,ageer7corr(V183,1/O183,P183/O183*(1/O183),Q183,R183,$W$2,0.05),ageerPb76(Q183,R183))</f>
        <v>#NAME?</v>
      </c>
      <c r="X183" s="4" t="e">
        <f ca="1">agePb6U8(L183)/agePb7u5(J183)</f>
        <v>#NAME?</v>
      </c>
      <c r="Z183" s="1">
        <v>2.0449999999999999</v>
      </c>
      <c r="AA183" s="1">
        <v>4.3999999999999997E-2</v>
      </c>
      <c r="AB183" s="1">
        <v>0.187</v>
      </c>
      <c r="AC183" s="1">
        <v>3.7000000000000002E-3</v>
      </c>
      <c r="AD183" s="1">
        <v>0.98334999999999995</v>
      </c>
      <c r="AE183" s="1">
        <v>5.347594</v>
      </c>
      <c r="AF183" s="1">
        <v>0.105808</v>
      </c>
      <c r="AG183" s="1">
        <v>7.9390000000000002E-2</v>
      </c>
      <c r="AH183" s="1">
        <v>3.4000000000000002E-4</v>
      </c>
      <c r="AI183" s="1">
        <v>4.9826000000000002E-2</v>
      </c>
      <c r="AJ183" s="1">
        <v>6.3399999999999998E-2</v>
      </c>
      <c r="AK183" s="1">
        <v>1.6999999999999999E-3</v>
      </c>
      <c r="AL183" s="1">
        <v>10.37</v>
      </c>
      <c r="AM183" s="1">
        <v>0.24</v>
      </c>
      <c r="AN183" s="1">
        <v>1130</v>
      </c>
      <c r="AO183" s="1">
        <v>15</v>
      </c>
      <c r="AP183" s="1">
        <v>1105</v>
      </c>
      <c r="AQ183" s="1">
        <v>20</v>
      </c>
      <c r="AR183" s="1">
        <v>1243</v>
      </c>
      <c r="AS183" s="1">
        <v>32</v>
      </c>
      <c r="AT183" s="1">
        <v>1181.7</v>
      </c>
      <c r="AU183" s="1">
        <v>8.5</v>
      </c>
      <c r="AV183" s="1">
        <v>36.900000000000006</v>
      </c>
      <c r="AW183" s="1">
        <v>1.4</v>
      </c>
      <c r="AX183" s="1">
        <v>4.08</v>
      </c>
      <c r="AY183" s="1">
        <v>9.7000000000000003E-2</v>
      </c>
      <c r="AZ183" s="1">
        <v>20747.61</v>
      </c>
      <c r="BA183" s="1">
        <v>378.81</v>
      </c>
      <c r="BB183" s="1">
        <v>21362.400000000001</v>
      </c>
      <c r="BC183" s="1">
        <v>683.09999999999991</v>
      </c>
      <c r="BD183" s="1">
        <v>270756</v>
      </c>
      <c r="BE183" s="1">
        <v>8694</v>
      </c>
      <c r="BF183" s="1">
        <v>3.1049999999999995</v>
      </c>
      <c r="BG183" s="1">
        <v>5.5889999999999995</v>
      </c>
      <c r="BH183" s="1">
        <f t="shared" si="52"/>
        <v>87200.000000000015</v>
      </c>
      <c r="BI183" s="1">
        <f t="shared" si="53"/>
        <v>156984.97252922016</v>
      </c>
    </row>
    <row r="184" spans="1:61" x14ac:dyDescent="0.2">
      <c r="A184" t="s">
        <v>584</v>
      </c>
      <c r="B184" t="s">
        <v>38</v>
      </c>
      <c r="C184" t="s">
        <v>585</v>
      </c>
      <c r="D184" t="s">
        <v>586</v>
      </c>
      <c r="E184">
        <v>83465</v>
      </c>
      <c r="F184">
        <v>50986</v>
      </c>
      <c r="G184" t="s">
        <v>586</v>
      </c>
      <c r="H184" s="1">
        <v>23.45</v>
      </c>
      <c r="I184" s="1">
        <v>30.83</v>
      </c>
      <c r="J184" s="10">
        <v>1.651</v>
      </c>
      <c r="K184" s="10">
        <f t="shared" ca="1" si="46"/>
        <v>5.5815055316643734E-2</v>
      </c>
      <c r="L184" s="7">
        <v>0.16539999999999999</v>
      </c>
      <c r="M184" s="7">
        <f t="shared" ca="1" si="47"/>
        <v>5.2680987082627823E-3</v>
      </c>
      <c r="N184" s="7">
        <v>0.88683999999999996</v>
      </c>
      <c r="O184" s="8">
        <v>6.0459490000000002</v>
      </c>
      <c r="P184" s="8">
        <f t="shared" ca="1" si="48"/>
        <v>0.1925674863018168</v>
      </c>
      <c r="Q184" s="9">
        <v>7.17E-2</v>
      </c>
      <c r="R184" s="9">
        <f t="shared" ca="1" si="49"/>
        <v>1.7482436901073031E-3</v>
      </c>
      <c r="S184" s="8">
        <f t="shared" si="50"/>
        <v>0.34718218106822152</v>
      </c>
      <c r="T184" s="11">
        <v>5.7000000000000002E-2</v>
      </c>
      <c r="U184" s="11">
        <f t="shared" ca="1" si="51"/>
        <v>1.6551737068960465E-3</v>
      </c>
      <c r="V184" s="6" t="e">
        <f ca="1">IF(agePb6U8(1/O184)&lt;1400,age7corr(1/O184,Q184,$W$2),agePb76(Q184))</f>
        <v>#NAME?</v>
      </c>
      <c r="W184" s="6" t="e">
        <f ca="1">IF(agePb6U8(1/O184)&lt;1400,ageer7corr(V184,1/O184,P184/O184*(1/O184),Q184,R184,$W$2,0.05),ageerPb76(Q184,R184))</f>
        <v>#NAME?</v>
      </c>
      <c r="X184" s="4" t="e">
        <f ca="1">agePb6U8(L184)/agePb7u5(J184)</f>
        <v>#NAME?</v>
      </c>
      <c r="Z184" s="1">
        <v>1.651</v>
      </c>
      <c r="AA184" s="1">
        <v>4.4999999999999998E-2</v>
      </c>
      <c r="AB184" s="1">
        <v>0.16539999999999999</v>
      </c>
      <c r="AC184" s="1">
        <v>4.1000000000000003E-3</v>
      </c>
      <c r="AD184" s="1">
        <v>0.88683999999999996</v>
      </c>
      <c r="AE184" s="1">
        <v>6.0459490000000002</v>
      </c>
      <c r="AF184" s="1">
        <v>0.14986940000000001</v>
      </c>
      <c r="AG184" s="1">
        <v>7.17E-2</v>
      </c>
      <c r="AH184" s="1">
        <v>1E-3</v>
      </c>
      <c r="AI184" s="1">
        <v>-6.0846999999999998E-2</v>
      </c>
      <c r="AJ184" s="1">
        <v>5.7000000000000002E-2</v>
      </c>
      <c r="AK184" s="1">
        <v>1.1999999999999999E-3</v>
      </c>
      <c r="AL184" s="1">
        <v>2.2839999999999998</v>
      </c>
      <c r="AM184" s="1">
        <v>1.7000000000000001E-2</v>
      </c>
      <c r="AN184" s="1">
        <v>989</v>
      </c>
      <c r="AO184" s="1">
        <v>17</v>
      </c>
      <c r="AP184" s="1">
        <v>987</v>
      </c>
      <c r="AQ184" s="1">
        <v>23</v>
      </c>
      <c r="AR184" s="1">
        <v>1121</v>
      </c>
      <c r="AS184" s="1">
        <v>24</v>
      </c>
      <c r="AT184" s="1">
        <v>975</v>
      </c>
      <c r="AU184" s="1">
        <v>29</v>
      </c>
      <c r="AV184" s="1">
        <v>5.093</v>
      </c>
      <c r="AW184" s="1">
        <v>6.8000000000000005E-2</v>
      </c>
      <c r="AX184" s="1">
        <v>2.4319999999999999</v>
      </c>
      <c r="AY184" s="1">
        <v>6.2E-2</v>
      </c>
      <c r="AZ184" s="1">
        <v>11395.35</v>
      </c>
      <c r="BA184" s="1">
        <v>180.09</v>
      </c>
      <c r="BB184" s="1">
        <v>2330.6129999999998</v>
      </c>
      <c r="BC184" s="1">
        <v>53.405999999999999</v>
      </c>
      <c r="BD184" s="1">
        <v>32739.119999999999</v>
      </c>
      <c r="BE184" s="1">
        <v>428.49</v>
      </c>
      <c r="BF184" s="1">
        <v>3.1049999999999995</v>
      </c>
      <c r="BG184" s="1">
        <v>4.968</v>
      </c>
      <c r="BH184" s="1">
        <f t="shared" si="52"/>
        <v>10544.000000000002</v>
      </c>
      <c r="BI184" s="1">
        <f t="shared" si="53"/>
        <v>16870.964411082143</v>
      </c>
    </row>
    <row r="185" spans="1:61" s="23" customFormat="1" x14ac:dyDescent="0.2">
      <c r="A185" s="23" t="s">
        <v>593</v>
      </c>
      <c r="B185" s="23" t="s">
        <v>38</v>
      </c>
      <c r="C185" s="23" t="s">
        <v>594</v>
      </c>
      <c r="D185" s="23" t="s">
        <v>595</v>
      </c>
      <c r="E185" s="23">
        <v>83486</v>
      </c>
      <c r="F185" s="23">
        <v>51438</v>
      </c>
      <c r="G185" s="23" t="s">
        <v>595</v>
      </c>
      <c r="H185" s="24">
        <v>181.4</v>
      </c>
      <c r="I185" s="24">
        <v>45</v>
      </c>
      <c r="J185" s="25">
        <v>1.9670000000000001</v>
      </c>
      <c r="K185" s="25">
        <f t="shared" ca="1" si="46"/>
        <v>7.0083062147711567E-2</v>
      </c>
      <c r="L185" s="26">
        <v>0.16950000000000001</v>
      </c>
      <c r="M185" s="26">
        <f t="shared" ca="1" si="47"/>
        <v>5.5544666710675298E-3</v>
      </c>
      <c r="N185" s="26">
        <v>0.98362000000000005</v>
      </c>
      <c r="O185" s="26">
        <v>5.899705</v>
      </c>
      <c r="P185" s="26">
        <f t="shared" ca="1" si="48"/>
        <v>0.1933316630728138</v>
      </c>
      <c r="Q185" s="25">
        <v>8.4430000000000005E-2</v>
      </c>
      <c r="R185" s="25">
        <f t="shared" ca="1" si="49"/>
        <v>1.7668531234938576E-3</v>
      </c>
      <c r="S185" s="26">
        <f t="shared" si="50"/>
        <v>0.51542560874872922</v>
      </c>
      <c r="T185" s="25">
        <v>8.3900000000000002E-2</v>
      </c>
      <c r="U185" s="25">
        <f t="shared" ca="1" si="51"/>
        <v>2.5348932916397092E-3</v>
      </c>
      <c r="V185" s="24" t="e">
        <f ca="1">IF(agePb6U8(1/O185)&lt;1400,age7corr(1/O185,Q185,$W$2),agePb76(Q185))</f>
        <v>#NAME?</v>
      </c>
      <c r="W185" s="24" t="e">
        <f ca="1">IF(agePb6U8(1/O185)&lt;1400,ageer7corr(V185,1/O185,P185/O185*(1/O185),Q185,R185,$W$2,0.05),ageerPb76(Q185,R185))</f>
        <v>#NAME?</v>
      </c>
      <c r="X185" s="26" t="e">
        <f ca="1">agePb6U8(L185)/agePb7u5(J185)</f>
        <v>#NAME?</v>
      </c>
      <c r="Y185" s="24"/>
      <c r="Z185" s="24">
        <v>1.9670000000000001</v>
      </c>
      <c r="AA185" s="24">
        <v>5.8000000000000003E-2</v>
      </c>
      <c r="AB185" s="24">
        <v>0.16950000000000001</v>
      </c>
      <c r="AC185" s="24">
        <v>4.4000000000000003E-3</v>
      </c>
      <c r="AD185" s="24">
        <v>0.98362000000000005</v>
      </c>
      <c r="AE185" s="24">
        <v>5.899705</v>
      </c>
      <c r="AF185" s="24">
        <v>0.1531487</v>
      </c>
      <c r="AG185" s="24">
        <v>8.4430000000000005E-2</v>
      </c>
      <c r="AH185" s="24">
        <v>5.1999999999999995E-4</v>
      </c>
      <c r="AI185" s="24">
        <v>-0.37158000000000002</v>
      </c>
      <c r="AJ185" s="24">
        <v>8.3900000000000002E-2</v>
      </c>
      <c r="AK185" s="24">
        <v>1.9E-3</v>
      </c>
      <c r="AL185" s="24">
        <v>8.6999999999999993</v>
      </c>
      <c r="AM185" s="24">
        <v>0.28000000000000003</v>
      </c>
      <c r="AN185" s="24">
        <v>1103</v>
      </c>
      <c r="AO185" s="24">
        <v>20</v>
      </c>
      <c r="AP185" s="24">
        <v>1009</v>
      </c>
      <c r="AQ185" s="24">
        <v>24</v>
      </c>
      <c r="AR185" s="24">
        <v>1628</v>
      </c>
      <c r="AS185" s="24">
        <v>35</v>
      </c>
      <c r="AT185" s="24">
        <v>1302</v>
      </c>
      <c r="AU185" s="24">
        <v>12</v>
      </c>
      <c r="AV185" s="24">
        <v>39.4</v>
      </c>
      <c r="AW185" s="24">
        <v>1.3</v>
      </c>
      <c r="AX185" s="24">
        <v>3.5500000000000003</v>
      </c>
      <c r="AY185" s="24">
        <v>9.1999999999999998E-2</v>
      </c>
      <c r="AZ185" s="24">
        <v>24132.06</v>
      </c>
      <c r="BA185" s="24">
        <v>372.6</v>
      </c>
      <c r="BB185" s="24">
        <v>21952.35</v>
      </c>
      <c r="BC185" s="24">
        <v>583.74</v>
      </c>
      <c r="BD185" s="24">
        <v>262683</v>
      </c>
      <c r="BE185" s="24">
        <v>8072.9999999999982</v>
      </c>
      <c r="BF185" s="24">
        <v>190.64699999999999</v>
      </c>
      <c r="BG185" s="24">
        <v>8.6940000000000008</v>
      </c>
      <c r="BH185" s="24">
        <f t="shared" si="52"/>
        <v>1377.8501628664496</v>
      </c>
      <c r="BI185" s="24">
        <f t="shared" si="53"/>
        <v>75.77056469235184</v>
      </c>
    </row>
    <row r="186" spans="1:61" x14ac:dyDescent="0.2">
      <c r="A186" t="s">
        <v>596</v>
      </c>
      <c r="B186" t="s">
        <v>38</v>
      </c>
      <c r="C186" t="s">
        <v>597</v>
      </c>
      <c r="D186" t="s">
        <v>598</v>
      </c>
      <c r="E186">
        <v>83499</v>
      </c>
      <c r="F186">
        <v>51561</v>
      </c>
      <c r="G186" t="s">
        <v>598</v>
      </c>
      <c r="H186" s="1">
        <v>66.8</v>
      </c>
      <c r="I186" s="1">
        <v>13.2</v>
      </c>
      <c r="J186" s="10">
        <v>2.4</v>
      </c>
      <c r="K186" s="10">
        <f t="shared" ca="1" si="46"/>
        <v>6.9310893804653828E-2</v>
      </c>
      <c r="L186" s="7">
        <v>0.2074</v>
      </c>
      <c r="M186" s="7">
        <f t="shared" ca="1" si="47"/>
        <v>6.046974780830495E-3</v>
      </c>
      <c r="N186" s="7">
        <v>0.96338999999999997</v>
      </c>
      <c r="O186" s="8">
        <v>4.8216010000000002</v>
      </c>
      <c r="P186" s="8">
        <f t="shared" ca="1" si="48"/>
        <v>0.14057909116056486</v>
      </c>
      <c r="Q186" s="9">
        <v>8.3919999999999995E-2</v>
      </c>
      <c r="R186" s="9">
        <f t="shared" ca="1" si="49"/>
        <v>1.7927427478587105E-3</v>
      </c>
      <c r="S186" s="8">
        <f t="shared" si="50"/>
        <v>0.56578090869461928</v>
      </c>
      <c r="T186" s="11">
        <v>7.2599999999999998E-2</v>
      </c>
      <c r="U186" s="11">
        <f t="shared" ca="1" si="51"/>
        <v>2.8910731571511641E-3</v>
      </c>
      <c r="V186" s="6" t="e">
        <f ca="1">IF(agePb6U8(1/O186)&lt;1400,age7corr(1/O186,Q186,$W$2),agePb76(Q186))</f>
        <v>#NAME?</v>
      </c>
      <c r="W186" s="6" t="e">
        <f ca="1">IF(agePb6U8(1/O186)&lt;1400,ageer7corr(V186,1/O186,P186/O186*(1/O186),Q186,R186,$W$2,0.05),ageerPb76(Q186,R186))</f>
        <v>#NAME?</v>
      </c>
      <c r="X186" s="4" t="e">
        <f ca="1">agePb6U8(L186)/agePb7u5(J186)</f>
        <v>#NAME?</v>
      </c>
      <c r="Z186" s="1">
        <v>2.4</v>
      </c>
      <c r="AA186" s="1">
        <v>0.05</v>
      </c>
      <c r="AB186" s="1">
        <v>0.2074</v>
      </c>
      <c r="AC186" s="1">
        <v>4.4000000000000003E-3</v>
      </c>
      <c r="AD186" s="1">
        <v>0.96338999999999997</v>
      </c>
      <c r="AE186" s="1">
        <v>4.8216010000000002</v>
      </c>
      <c r="AF186" s="1">
        <v>0.10229050000000001</v>
      </c>
      <c r="AG186" s="1">
        <v>8.3919999999999995E-2</v>
      </c>
      <c r="AH186" s="1">
        <v>6.3000000000000003E-4</v>
      </c>
      <c r="AI186" s="1">
        <v>0.60277999999999998</v>
      </c>
      <c r="AJ186" s="1">
        <v>7.2599999999999998E-2</v>
      </c>
      <c r="AK186" s="1">
        <v>2.5000000000000001E-3</v>
      </c>
      <c r="AL186" s="1">
        <v>15.52</v>
      </c>
      <c r="AM186" s="1">
        <v>0.1</v>
      </c>
      <c r="AN186" s="1">
        <v>1242</v>
      </c>
      <c r="AO186" s="1">
        <v>15</v>
      </c>
      <c r="AP186" s="1">
        <v>1215</v>
      </c>
      <c r="AQ186" s="1">
        <v>24</v>
      </c>
      <c r="AR186" s="1">
        <v>1415</v>
      </c>
      <c r="AS186" s="1">
        <v>47</v>
      </c>
      <c r="AT186" s="1">
        <v>1290</v>
      </c>
      <c r="AU186" s="1">
        <v>15</v>
      </c>
      <c r="AV186" s="1">
        <v>14.5</v>
      </c>
      <c r="AW186" s="1">
        <v>0.22</v>
      </c>
      <c r="AX186" s="1">
        <v>1.0410000000000001</v>
      </c>
      <c r="AY186" s="1">
        <v>0.04</v>
      </c>
      <c r="AZ186" s="1">
        <v>6160.32</v>
      </c>
      <c r="BA186" s="1">
        <v>99.359999999999985</v>
      </c>
      <c r="BB186" s="1">
        <v>10016.73</v>
      </c>
      <c r="BC186" s="1">
        <v>149.04</v>
      </c>
      <c r="BD186" s="1">
        <v>119480.4</v>
      </c>
      <c r="BE186" s="1">
        <v>2049.3000000000002</v>
      </c>
      <c r="BF186" s="1">
        <v>1.242</v>
      </c>
      <c r="BG186" s="1">
        <v>5.0301</v>
      </c>
      <c r="BH186" s="1">
        <f t="shared" si="52"/>
        <v>96200</v>
      </c>
      <c r="BI186" s="1">
        <f t="shared" si="53"/>
        <v>389613.49386282807</v>
      </c>
    </row>
    <row r="187" spans="1:61" x14ac:dyDescent="0.2">
      <c r="A187" t="s">
        <v>404</v>
      </c>
      <c r="B187" t="s">
        <v>38</v>
      </c>
      <c r="C187" t="s">
        <v>405</v>
      </c>
      <c r="D187" t="s">
        <v>406</v>
      </c>
      <c r="E187">
        <v>83766</v>
      </c>
      <c r="F187">
        <v>48825</v>
      </c>
      <c r="G187" t="s">
        <v>406</v>
      </c>
      <c r="H187" s="1">
        <v>59.6</v>
      </c>
      <c r="I187" s="1">
        <v>30.2</v>
      </c>
      <c r="J187" s="10">
        <v>1.7</v>
      </c>
      <c r="K187" s="10">
        <f t="shared" ca="1" si="46"/>
        <v>6.8095521144932863E-2</v>
      </c>
      <c r="L187" s="7">
        <v>0.16569999999999999</v>
      </c>
      <c r="M187" s="7">
        <f t="shared" ca="1" si="47"/>
        <v>6.7670226835736258E-3</v>
      </c>
      <c r="N187" s="7">
        <v>0.97729999999999995</v>
      </c>
      <c r="O187" s="8">
        <v>6.0350029999999997</v>
      </c>
      <c r="P187" s="8">
        <f t="shared" ca="1" si="48"/>
        <v>0.24646346507578684</v>
      </c>
      <c r="Q187" s="9">
        <v>7.4260000000000007E-2</v>
      </c>
      <c r="R187" s="9">
        <f t="shared" ca="1" si="49"/>
        <v>1.5769334291592656E-3</v>
      </c>
      <c r="S187" s="8">
        <f t="shared" si="50"/>
        <v>0.3908624431766452</v>
      </c>
      <c r="T187" s="11">
        <v>5.33E-2</v>
      </c>
      <c r="U187" s="11">
        <f t="shared" ca="1" si="51"/>
        <v>1.84020542331556E-3</v>
      </c>
      <c r="V187" s="6" t="e">
        <f ca="1">IF(agePb6U8(1/O187)&lt;1400,age7corr(1/O187,Q187,$W$2),agePb76(Q187))</f>
        <v>#NAME?</v>
      </c>
      <c r="W187" s="6" t="e">
        <f ca="1">IF(agePb6U8(1/O187)&lt;1400,ageer7corr(V187,1/O187,P187/O187*(1/O187),Q187,R187,$W$2,0.05),ageerPb76(Q187,R187))</f>
        <v>#NAME?</v>
      </c>
      <c r="X187" s="4" t="e">
        <f ca="1">agePb6U8(L187)/agePb7u5(J187)</f>
        <v>#NAME?</v>
      </c>
      <c r="Z187" s="1">
        <v>1.7</v>
      </c>
      <c r="AA187" s="1">
        <v>5.8999999999999997E-2</v>
      </c>
      <c r="AB187" s="1">
        <v>0.16569999999999999</v>
      </c>
      <c r="AC187" s="1">
        <v>5.8999999999999999E-3</v>
      </c>
      <c r="AD187" s="1">
        <v>0.97729999999999995</v>
      </c>
      <c r="AE187" s="1">
        <v>6.0350029999999997</v>
      </c>
      <c r="AF187" s="1">
        <v>0.2148854</v>
      </c>
      <c r="AG187" s="1">
        <v>7.4260000000000007E-2</v>
      </c>
      <c r="AH187" s="1">
        <v>5.2999999999999998E-4</v>
      </c>
      <c r="AI187" s="1">
        <v>0.23895</v>
      </c>
      <c r="AJ187" s="1">
        <v>5.33E-2</v>
      </c>
      <c r="AK187" s="1">
        <v>1.5E-3</v>
      </c>
      <c r="AL187" s="1">
        <v>6.444</v>
      </c>
      <c r="AM187" s="1">
        <v>4.7E-2</v>
      </c>
      <c r="AN187" s="1">
        <v>1007</v>
      </c>
      <c r="AO187" s="1">
        <v>22</v>
      </c>
      <c r="AP187" s="1">
        <v>988</v>
      </c>
      <c r="AQ187" s="1">
        <v>33</v>
      </c>
      <c r="AR187" s="1">
        <v>1050</v>
      </c>
      <c r="AS187" s="1">
        <v>29</v>
      </c>
      <c r="AT187" s="1">
        <v>1048</v>
      </c>
      <c r="AU187" s="1">
        <v>14</v>
      </c>
      <c r="AV187" s="1">
        <v>13.010000000000002</v>
      </c>
      <c r="AW187" s="1">
        <v>0.54</v>
      </c>
      <c r="AX187" s="1">
        <v>2.3860000000000001</v>
      </c>
      <c r="AY187" s="1">
        <v>0.08</v>
      </c>
      <c r="AZ187" s="1">
        <v>10339.650000000001</v>
      </c>
      <c r="BA187" s="1">
        <v>291.87</v>
      </c>
      <c r="BB187" s="1">
        <v>6197.58</v>
      </c>
      <c r="BC187" s="1">
        <v>180.09</v>
      </c>
      <c r="BD187" s="1">
        <v>83772.899999999994</v>
      </c>
      <c r="BE187" s="1">
        <v>2359.7999999999997</v>
      </c>
      <c r="BF187" s="1">
        <v>-3.9744000000000006</v>
      </c>
      <c r="BG187" s="1">
        <v>5.7131999999999996</v>
      </c>
      <c r="BH187" s="1">
        <f t="shared" si="52"/>
        <v>-21078.124999999996</v>
      </c>
      <c r="BI187" s="1">
        <f t="shared" si="53"/>
        <v>-30305.621642908871</v>
      </c>
    </row>
    <row r="188" spans="1:61" x14ac:dyDescent="0.2">
      <c r="A188" t="s">
        <v>599</v>
      </c>
      <c r="B188" t="s">
        <v>38</v>
      </c>
      <c r="C188" t="s">
        <v>600</v>
      </c>
      <c r="D188" t="s">
        <v>601</v>
      </c>
      <c r="E188">
        <v>83526</v>
      </c>
      <c r="F188">
        <v>51684</v>
      </c>
      <c r="G188" t="s">
        <v>601</v>
      </c>
      <c r="H188" s="1">
        <v>187.7</v>
      </c>
      <c r="I188" s="1">
        <v>48</v>
      </c>
      <c r="J188" s="10">
        <v>1.6919999999999999</v>
      </c>
      <c r="K188" s="10">
        <f t="shared" ca="1" si="46"/>
        <v>6.1205764434406014E-2</v>
      </c>
      <c r="L188" s="7">
        <v>0.16700000000000001</v>
      </c>
      <c r="M188" s="7">
        <f t="shared" ca="1" si="47"/>
        <v>6.3494566696686728E-3</v>
      </c>
      <c r="N188" s="7">
        <v>0.97799000000000003</v>
      </c>
      <c r="O188" s="8">
        <v>5.9880240000000002</v>
      </c>
      <c r="P188" s="8">
        <f t="shared" ca="1" si="48"/>
        <v>0.22766883190265721</v>
      </c>
      <c r="Q188" s="9">
        <v>7.3520000000000002E-2</v>
      </c>
      <c r="R188" s="9">
        <f t="shared" ca="1" si="49"/>
        <v>1.5377178414780783E-3</v>
      </c>
      <c r="S188" s="8">
        <f t="shared" si="50"/>
        <v>0.45585962116610107</v>
      </c>
      <c r="T188" s="11">
        <v>5.96E-2</v>
      </c>
      <c r="U188" s="11">
        <f t="shared" ca="1" si="51"/>
        <v>1.8387125930933307E-3</v>
      </c>
      <c r="V188" s="6" t="e">
        <f ca="1">IF(agePb6U8(1/O188)&lt;1400,age7corr(1/O188,Q188,$W$2),agePb76(Q188))</f>
        <v>#NAME?</v>
      </c>
      <c r="W188" s="6" t="e">
        <f ca="1">IF(agePb6U8(1/O188)&lt;1400,ageer7corr(V188,1/O188,P188/O188*(1/O188),Q188,R188,$W$2,0.05),ageerPb76(Q188,R188))</f>
        <v>#NAME?</v>
      </c>
      <c r="X188" s="4" t="e">
        <f ca="1">agePb6U8(L188)/agePb7u5(J188)</f>
        <v>#NAME?</v>
      </c>
      <c r="Z188" s="1">
        <v>1.6919999999999999</v>
      </c>
      <c r="AA188" s="1">
        <v>5.0999999999999997E-2</v>
      </c>
      <c r="AB188" s="1">
        <v>0.16700000000000001</v>
      </c>
      <c r="AC188" s="1">
        <v>5.4000000000000003E-3</v>
      </c>
      <c r="AD188" s="1">
        <v>0.97799000000000003</v>
      </c>
      <c r="AE188" s="1">
        <v>5.9880240000000002</v>
      </c>
      <c r="AF188" s="1">
        <v>0.19362470000000001</v>
      </c>
      <c r="AG188" s="1">
        <v>7.3520000000000002E-2</v>
      </c>
      <c r="AH188" s="1">
        <v>4.4999999999999999E-4</v>
      </c>
      <c r="AI188" s="1">
        <v>0.39552999999999999</v>
      </c>
      <c r="AJ188" s="1">
        <v>5.96E-2</v>
      </c>
      <c r="AK188" s="1">
        <v>1.4E-3</v>
      </c>
      <c r="AL188" s="1">
        <v>11.542999999999999</v>
      </c>
      <c r="AM188" s="1">
        <v>5.6000000000000001E-2</v>
      </c>
      <c r="AN188" s="1">
        <v>1005</v>
      </c>
      <c r="AO188" s="1">
        <v>19</v>
      </c>
      <c r="AP188" s="1">
        <v>995</v>
      </c>
      <c r="AQ188" s="1">
        <v>30</v>
      </c>
      <c r="AR188" s="1">
        <v>1176</v>
      </c>
      <c r="AS188" s="1">
        <v>29</v>
      </c>
      <c r="AT188" s="1">
        <v>1028</v>
      </c>
      <c r="AU188" s="1">
        <v>12</v>
      </c>
      <c r="AV188" s="1">
        <v>40.75</v>
      </c>
      <c r="AW188" s="1">
        <v>0.95</v>
      </c>
      <c r="AX188" s="1">
        <v>3.78</v>
      </c>
      <c r="AY188" s="1">
        <v>0.11</v>
      </c>
      <c r="AZ188" s="1">
        <v>18400.23</v>
      </c>
      <c r="BA188" s="1">
        <v>360.18</v>
      </c>
      <c r="BB188" s="1">
        <v>19443.510000000002</v>
      </c>
      <c r="BC188" s="1">
        <v>291.87</v>
      </c>
      <c r="BD188" s="1">
        <v>266036.39999999997</v>
      </c>
      <c r="BE188" s="1">
        <v>4657.5</v>
      </c>
      <c r="BF188" s="1">
        <v>3.1049999999999995</v>
      </c>
      <c r="BG188" s="1">
        <v>5.9615999999999998</v>
      </c>
      <c r="BH188" s="1">
        <f t="shared" si="52"/>
        <v>85680</v>
      </c>
      <c r="BI188" s="1">
        <f t="shared" si="53"/>
        <v>164512.43853082965</v>
      </c>
    </row>
    <row r="189" spans="1:61" s="23" customFormat="1" x14ac:dyDescent="0.2">
      <c r="A189" s="23" t="s">
        <v>602</v>
      </c>
      <c r="B189" s="23" t="s">
        <v>38</v>
      </c>
      <c r="C189" s="23" t="s">
        <v>603</v>
      </c>
      <c r="D189" s="23" t="s">
        <v>604</v>
      </c>
      <c r="E189" s="23">
        <v>83546</v>
      </c>
      <c r="F189" s="23">
        <v>51838</v>
      </c>
      <c r="G189" s="23" t="s">
        <v>604</v>
      </c>
      <c r="H189" s="24">
        <v>251.4</v>
      </c>
      <c r="I189" s="24">
        <v>157.5</v>
      </c>
      <c r="J189" s="25">
        <v>2.94</v>
      </c>
      <c r="K189" s="25">
        <f t="shared" ca="1" si="46"/>
        <v>0.13363173275835347</v>
      </c>
      <c r="L189" s="26">
        <v>0.2142</v>
      </c>
      <c r="M189" s="26">
        <f t="shared" ca="1" si="47"/>
        <v>8.3781057524956095E-3</v>
      </c>
      <c r="N189" s="26">
        <v>0.81850000000000001</v>
      </c>
      <c r="O189" s="26">
        <v>4.6685340000000002</v>
      </c>
      <c r="P189" s="26">
        <f t="shared" ca="1" si="48"/>
        <v>0.18260256414933607</v>
      </c>
      <c r="Q189" s="25">
        <v>0.10050000000000001</v>
      </c>
      <c r="R189" s="25">
        <f t="shared" ca="1" si="49"/>
        <v>3.3660213903063656E-3</v>
      </c>
      <c r="S189" s="26">
        <f t="shared" si="50"/>
        <v>0.3499157113822487</v>
      </c>
      <c r="T189" s="25">
        <v>9.4100000000000003E-2</v>
      </c>
      <c r="U189" s="25">
        <f t="shared" ca="1" si="51"/>
        <v>4.0622560234431304E-3</v>
      </c>
      <c r="V189" s="24" t="e">
        <f ca="1">IF(agePb6U8(1/O189)&lt;1400,age7corr(1/O189,Q189,$W$2),agePb76(Q189))</f>
        <v>#NAME?</v>
      </c>
      <c r="W189" s="24" t="e">
        <f ca="1">IF(agePb6U8(1/O189)&lt;1400,ageer7corr(V189,1/O189,P189/O189*(1/O189),Q189,R189,$W$2,0.05),ageerPb76(Q189,R189))</f>
        <v>#NAME?</v>
      </c>
      <c r="X189" s="26" t="e">
        <f ca="1">agePb6U8(L189)/agePb7u5(J189)</f>
        <v>#NAME?</v>
      </c>
      <c r="Y189" s="24"/>
      <c r="Z189" s="24">
        <v>2.94</v>
      </c>
      <c r="AA189" s="24">
        <v>0.12</v>
      </c>
      <c r="AB189" s="24">
        <v>0.2142</v>
      </c>
      <c r="AC189" s="24">
        <v>7.1999999999999998E-3</v>
      </c>
      <c r="AD189" s="24">
        <v>0.81850000000000001</v>
      </c>
      <c r="AE189" s="24">
        <v>4.6685340000000002</v>
      </c>
      <c r="AF189" s="24">
        <v>0.1569255</v>
      </c>
      <c r="AG189" s="24">
        <v>0.10050000000000001</v>
      </c>
      <c r="AH189" s="24">
        <v>2.7000000000000001E-3</v>
      </c>
      <c r="AI189" s="24">
        <v>-9.8418000000000005E-2</v>
      </c>
      <c r="AJ189" s="24">
        <v>9.4100000000000003E-2</v>
      </c>
      <c r="AK189" s="24">
        <v>3.5999999999999999E-3</v>
      </c>
      <c r="AL189" s="24">
        <v>3.87</v>
      </c>
      <c r="AM189" s="24">
        <v>0.15</v>
      </c>
      <c r="AN189" s="24">
        <v>1397</v>
      </c>
      <c r="AO189" s="24">
        <v>33</v>
      </c>
      <c r="AP189" s="24">
        <v>1250</v>
      </c>
      <c r="AQ189" s="24">
        <v>38</v>
      </c>
      <c r="AR189" s="24">
        <v>1817</v>
      </c>
      <c r="AS189" s="24">
        <v>67</v>
      </c>
      <c r="AT189" s="24">
        <v>1630</v>
      </c>
      <c r="AU189" s="24">
        <v>48</v>
      </c>
      <c r="AV189" s="24">
        <v>54.6</v>
      </c>
      <c r="AW189" s="24">
        <v>1.2</v>
      </c>
      <c r="AX189" s="24">
        <v>12.42</v>
      </c>
      <c r="AY189" s="24">
        <v>0.7</v>
      </c>
      <c r="AZ189" s="24">
        <v>94392</v>
      </c>
      <c r="BA189" s="24">
        <v>5837.4</v>
      </c>
      <c r="BB189" s="24">
        <v>45146.7</v>
      </c>
      <c r="BC189" s="24">
        <v>2111.4</v>
      </c>
      <c r="BD189" s="24">
        <v>451467</v>
      </c>
      <c r="BE189" s="24">
        <v>11178.000000000002</v>
      </c>
      <c r="BF189" s="24">
        <v>589.94999999999993</v>
      </c>
      <c r="BG189" s="24">
        <v>111.78</v>
      </c>
      <c r="BH189" s="24">
        <f t="shared" si="52"/>
        <v>765.26315789473688</v>
      </c>
      <c r="BI189" s="24">
        <f t="shared" si="53"/>
        <v>146.22995402330108</v>
      </c>
    </row>
    <row r="190" spans="1:61" x14ac:dyDescent="0.2">
      <c r="A190" t="s">
        <v>605</v>
      </c>
      <c r="B190" t="s">
        <v>38</v>
      </c>
      <c r="C190" t="s">
        <v>606</v>
      </c>
      <c r="D190" t="s">
        <v>607</v>
      </c>
      <c r="E190">
        <v>83567</v>
      </c>
      <c r="F190">
        <v>51989</v>
      </c>
      <c r="G190" t="s">
        <v>607</v>
      </c>
      <c r="H190" s="1">
        <v>266.2</v>
      </c>
      <c r="I190" s="1">
        <v>58.7</v>
      </c>
      <c r="J190" s="10">
        <v>1.8640000000000001</v>
      </c>
      <c r="K190" s="10">
        <f t="shared" ref="K190:K221" ca="1" si="54">SQRT(K$2^2+(AA190/Z190)^2)*J190</f>
        <v>7.0638505080444614E-2</v>
      </c>
      <c r="L190" s="7">
        <v>0.17610000000000001</v>
      </c>
      <c r="M190" s="7">
        <f t="shared" ref="M190:M221" ca="1" si="55">SQRT(M$2^2+(AC190/AB190)^2)*L190</f>
        <v>6.6154730745427411E-3</v>
      </c>
      <c r="N190" s="7">
        <v>0.99182000000000003</v>
      </c>
      <c r="O190" s="8">
        <v>5.6785920000000001</v>
      </c>
      <c r="P190" s="8">
        <f t="shared" ref="P190:P221" ca="1" si="56">SQRT(P$2^2+(AF190/AE190)^2)*O190</f>
        <v>0.21332525196280816</v>
      </c>
      <c r="Q190" s="9">
        <v>7.6810000000000003E-2</v>
      </c>
      <c r="R190" s="9">
        <f t="shared" ref="R190:R221" ca="1" si="57">SQRT(R$2^2+(AH190/AG190)^2)*Q190</f>
        <v>1.5671663727887988E-3</v>
      </c>
      <c r="S190" s="8">
        <f t="shared" ref="S190:S221" si="58">(((BE190/BD190)^2+(AW190/AV190)^2)+((BE190/BD190)^2+(BC190/BB190)^2)-((BC190/BB190)^2+(AW190/AV190)^2))/(2*SQRT((BE190/BD190)^2+(AW190/AV190)^2)*SQRT((BE190/BD190)^2+(BC190/BB190)^2))</f>
        <v>0.45485755241360126</v>
      </c>
      <c r="T190" s="11">
        <v>6.1699999999999998E-2</v>
      </c>
      <c r="U190" s="11">
        <f t="shared" ref="U190:U221" ca="1" si="59">SQRT(U$2^2+(AK190/AJ190)^2)*T190</f>
        <v>1.8662143499609042E-3</v>
      </c>
      <c r="V190" s="6" t="e">
        <f ca="1">IF(agePb6U8(1/O190)&lt;1400,age7corr(1/O190,Q190,$W$2),agePb76(Q190))</f>
        <v>#NAME?</v>
      </c>
      <c r="W190" s="6" t="e">
        <f ca="1">IF(agePb6U8(1/O190)&lt;1400,ageer7corr(V190,1/O190,P190/O190*(1/O190),Q190,R190,$W$2,0.05),ageerPb76(Q190,R190))</f>
        <v>#NAME?</v>
      </c>
      <c r="X190" s="4" t="e">
        <f ca="1">agePb6U8(L190)/agePb7u5(J190)</f>
        <v>#NAME?</v>
      </c>
      <c r="Z190" s="1">
        <v>1.8640000000000001</v>
      </c>
      <c r="AA190" s="1">
        <v>0.06</v>
      </c>
      <c r="AB190" s="1">
        <v>0.17610000000000001</v>
      </c>
      <c r="AC190" s="1">
        <v>5.5999999999999999E-3</v>
      </c>
      <c r="AD190" s="1">
        <v>0.99182000000000003</v>
      </c>
      <c r="AE190" s="1">
        <v>5.6785920000000001</v>
      </c>
      <c r="AF190" s="1">
        <v>0.18057989999999999</v>
      </c>
      <c r="AG190" s="1">
        <v>7.6810000000000003E-2</v>
      </c>
      <c r="AH190" s="1">
        <v>3.1E-4</v>
      </c>
      <c r="AI190" s="1">
        <v>5.4538999999999997E-2</v>
      </c>
      <c r="AJ190" s="1">
        <v>6.1699999999999998E-2</v>
      </c>
      <c r="AK190" s="1">
        <v>1.4E-3</v>
      </c>
      <c r="AL190" s="1">
        <v>13.69</v>
      </c>
      <c r="AM190" s="1">
        <v>0.19</v>
      </c>
      <c r="AN190" s="1">
        <v>1067</v>
      </c>
      <c r="AO190" s="1">
        <v>21</v>
      </c>
      <c r="AP190" s="1">
        <v>1045</v>
      </c>
      <c r="AQ190" s="1">
        <v>31</v>
      </c>
      <c r="AR190" s="1">
        <v>1210</v>
      </c>
      <c r="AS190" s="1">
        <v>27</v>
      </c>
      <c r="AT190" s="1">
        <v>1116.2</v>
      </c>
      <c r="AU190" s="1">
        <v>8.1</v>
      </c>
      <c r="AV190" s="1">
        <v>57.8</v>
      </c>
      <c r="AW190" s="1">
        <v>1.2</v>
      </c>
      <c r="AX190" s="1">
        <v>4.6290000000000004</v>
      </c>
      <c r="AY190" s="1">
        <v>9.0000000000000011E-2</v>
      </c>
      <c r="AZ190" s="1">
        <v>23231.61</v>
      </c>
      <c r="BA190" s="1">
        <v>447.12</v>
      </c>
      <c r="BB190" s="1">
        <v>30205.439999999999</v>
      </c>
      <c r="BC190" s="1">
        <v>515.42999999999995</v>
      </c>
      <c r="BD190" s="1">
        <v>395577</v>
      </c>
      <c r="BE190" s="1">
        <v>6831</v>
      </c>
      <c r="BF190" s="1">
        <v>-1.8629999999999998</v>
      </c>
      <c r="BG190" s="1">
        <v>5.7752999999999997</v>
      </c>
      <c r="BH190" s="1">
        <f t="shared" ref="BH190:BH221" si="60">BD190/BF190</f>
        <v>-212333.33333333337</v>
      </c>
      <c r="BI190" s="1">
        <f t="shared" ref="BI190:BI221" si="61">SQRT((BG190/BF190)^2+(BE190/BD190)^2)*BH190</f>
        <v>-658243.54577584402</v>
      </c>
    </row>
    <row r="191" spans="1:61" s="23" customFormat="1" x14ac:dyDescent="0.2">
      <c r="A191" s="23" t="s">
        <v>608</v>
      </c>
      <c r="B191" s="23" t="s">
        <v>38</v>
      </c>
      <c r="C191" s="23" t="s">
        <v>609</v>
      </c>
      <c r="D191" s="23" t="s">
        <v>610</v>
      </c>
      <c r="E191" s="23">
        <v>83555</v>
      </c>
      <c r="F191" s="23">
        <v>52107</v>
      </c>
      <c r="G191" s="23" t="s">
        <v>610</v>
      </c>
      <c r="H191" s="24">
        <v>326.2</v>
      </c>
      <c r="I191" s="24">
        <v>69</v>
      </c>
      <c r="J191" s="25">
        <v>2.5</v>
      </c>
      <c r="K191" s="25">
        <f t="shared" ca="1" si="54"/>
        <v>6.220128616033594E-2</v>
      </c>
      <c r="L191" s="26">
        <v>0.19170000000000001</v>
      </c>
      <c r="M191" s="26">
        <f t="shared" ca="1" si="55"/>
        <v>4.7475842277941733E-3</v>
      </c>
      <c r="N191" s="26">
        <v>0.95035999999999998</v>
      </c>
      <c r="O191" s="26">
        <v>5.2164840000000003</v>
      </c>
      <c r="P191" s="26">
        <f t="shared" ca="1" si="56"/>
        <v>0.12918986745496258</v>
      </c>
      <c r="Q191" s="25">
        <v>9.4310000000000005E-2</v>
      </c>
      <c r="R191" s="25">
        <f t="shared" ca="1" si="57"/>
        <v>1.8989866876837236E-3</v>
      </c>
      <c r="S191" s="26">
        <f t="shared" si="58"/>
        <v>0.55481648146820584</v>
      </c>
      <c r="T191" s="25">
        <v>9.2499999999999999E-2</v>
      </c>
      <c r="U191" s="25">
        <f t="shared" ca="1" si="59"/>
        <v>2.7244265451650557E-3</v>
      </c>
      <c r="V191" s="24" t="e">
        <f ca="1">IF(agePb6U8(1/O191)&lt;1400,age7corr(1/O191,Q191,$W$2),agePb76(Q191))</f>
        <v>#NAME?</v>
      </c>
      <c r="W191" s="24" t="e">
        <f ca="1">IF(agePb6U8(1/O191)&lt;1400,ageer7corr(V191,1/O191,P191/O191*(1/O191),Q191,R191,$W$2,0.05),ageerPb76(Q191,R191))</f>
        <v>#NAME?</v>
      </c>
      <c r="X191" s="26" t="e">
        <f ca="1">agePb6U8(L191)/agePb7u5(J191)</f>
        <v>#NAME?</v>
      </c>
      <c r="Y191" s="24"/>
      <c r="Z191" s="24">
        <v>2.5</v>
      </c>
      <c r="AA191" s="24">
        <v>3.6999999999999998E-2</v>
      </c>
      <c r="AB191" s="24">
        <v>0.19170000000000001</v>
      </c>
      <c r="AC191" s="24">
        <v>2.8E-3</v>
      </c>
      <c r="AD191" s="24">
        <v>0.95035999999999998</v>
      </c>
      <c r="AE191" s="24">
        <v>5.2164840000000003</v>
      </c>
      <c r="AF191" s="24">
        <v>7.6192780000000002E-2</v>
      </c>
      <c r="AG191" s="24">
        <v>9.4310000000000005E-2</v>
      </c>
      <c r="AH191" s="24">
        <v>2.2000000000000001E-4</v>
      </c>
      <c r="AI191" s="24">
        <v>0.13943</v>
      </c>
      <c r="AJ191" s="24">
        <v>9.2499999999999999E-2</v>
      </c>
      <c r="AK191" s="24">
        <v>2E-3</v>
      </c>
      <c r="AL191" s="24">
        <v>10.39</v>
      </c>
      <c r="AM191" s="24">
        <v>0.11</v>
      </c>
      <c r="AN191" s="24">
        <v>1272</v>
      </c>
      <c r="AO191" s="24">
        <v>11</v>
      </c>
      <c r="AP191" s="24">
        <v>1130</v>
      </c>
      <c r="AQ191" s="24">
        <v>15</v>
      </c>
      <c r="AR191" s="24">
        <v>1789</v>
      </c>
      <c r="AS191" s="24">
        <v>36</v>
      </c>
      <c r="AT191" s="24">
        <v>1514.3</v>
      </c>
      <c r="AU191" s="24">
        <v>4.4000000000000004</v>
      </c>
      <c r="AV191" s="24">
        <v>70.790000000000006</v>
      </c>
      <c r="AW191" s="24">
        <v>0.92</v>
      </c>
      <c r="AX191" s="24">
        <v>5.44</v>
      </c>
      <c r="AY191" s="24">
        <v>0.13999999999999999</v>
      </c>
      <c r="AZ191" s="24">
        <v>41184.720000000001</v>
      </c>
      <c r="BA191" s="24">
        <v>552.68999999999994</v>
      </c>
      <c r="BB191" s="24">
        <v>49990.5</v>
      </c>
      <c r="BC191" s="24">
        <v>807.3</v>
      </c>
      <c r="BD191" s="24">
        <v>534060</v>
      </c>
      <c r="BE191" s="24">
        <v>8694</v>
      </c>
      <c r="BF191" s="24">
        <v>523.50300000000004</v>
      </c>
      <c r="BG191" s="24">
        <v>15.525</v>
      </c>
      <c r="BH191" s="24">
        <f t="shared" si="60"/>
        <v>1020.1660735468564</v>
      </c>
      <c r="BI191" s="24">
        <f t="shared" si="61"/>
        <v>34.512474373565944</v>
      </c>
    </row>
    <row r="192" spans="1:61" s="23" customFormat="1" x14ac:dyDescent="0.2">
      <c r="A192" s="23" t="s">
        <v>611</v>
      </c>
      <c r="B192" s="23" t="s">
        <v>38</v>
      </c>
      <c r="C192" s="23" t="s">
        <v>612</v>
      </c>
      <c r="D192" s="23" t="s">
        <v>613</v>
      </c>
      <c r="E192" s="23">
        <v>83503</v>
      </c>
      <c r="F192" s="23">
        <v>52293</v>
      </c>
      <c r="G192" s="23" t="s">
        <v>613</v>
      </c>
      <c r="H192" s="24">
        <v>54.3</v>
      </c>
      <c r="I192" s="24">
        <v>25.3</v>
      </c>
      <c r="J192" s="25">
        <v>4.29</v>
      </c>
      <c r="K192" s="25">
        <f t="shared" ca="1" si="54"/>
        <v>0.2361390268464745</v>
      </c>
      <c r="L192" s="26">
        <v>0.1943</v>
      </c>
      <c r="M192" s="26">
        <f t="shared" ca="1" si="55"/>
        <v>5.7219748339187929E-3</v>
      </c>
      <c r="N192" s="26">
        <v>0.53598000000000001</v>
      </c>
      <c r="O192" s="26">
        <v>5.1466799999999999</v>
      </c>
      <c r="P192" s="26">
        <f t="shared" ca="1" si="56"/>
        <v>0.1515654603125989</v>
      </c>
      <c r="Q192" s="25">
        <v>0.15809999999999999</v>
      </c>
      <c r="R192" s="25">
        <f t="shared" ca="1" si="57"/>
        <v>8.1393024271125356E-3</v>
      </c>
      <c r="S192" s="26">
        <f t="shared" si="58"/>
        <v>0.52293370959657703</v>
      </c>
      <c r="T192" s="25">
        <v>0.1555</v>
      </c>
      <c r="U192" s="25">
        <f t="shared" ca="1" si="59"/>
        <v>7.0258166785079155E-3</v>
      </c>
      <c r="V192" s="24" t="e">
        <f ca="1">IF(agePb6U8(1/O192)&lt;1400,age7corr(1/O192,Q192,$W$2),agePb76(Q192))</f>
        <v>#NAME?</v>
      </c>
      <c r="W192" s="24" t="e">
        <f ca="1">IF(agePb6U8(1/O192)&lt;1400,ageer7corr(V192,1/O192,P192/O192*(1/O192),Q192,R192,$W$2,0.05),ageerPb76(Q192,R192))</f>
        <v>#NAME?</v>
      </c>
      <c r="X192" s="26" t="e">
        <f ca="1">agePb6U8(L192)/agePb7u5(J192)</f>
        <v>#NAME?</v>
      </c>
      <c r="Y192" s="24"/>
      <c r="Z192" s="24">
        <v>4.29</v>
      </c>
      <c r="AA192" s="24">
        <v>0.22</v>
      </c>
      <c r="AB192" s="24">
        <v>0.1943</v>
      </c>
      <c r="AC192" s="24">
        <v>4.1999999999999997E-3</v>
      </c>
      <c r="AD192" s="24">
        <v>0.53598000000000001</v>
      </c>
      <c r="AE192" s="24">
        <v>5.1466799999999999</v>
      </c>
      <c r="AF192" s="24">
        <v>0.1112509</v>
      </c>
      <c r="AG192" s="24">
        <v>0.15809999999999999</v>
      </c>
      <c r="AH192" s="24">
        <v>7.4999999999999997E-3</v>
      </c>
      <c r="AI192" s="24">
        <v>-0.23258000000000001</v>
      </c>
      <c r="AJ192" s="24">
        <v>0.1555</v>
      </c>
      <c r="AK192" s="24">
        <v>6.3E-3</v>
      </c>
      <c r="AL192" s="24">
        <v>2.85</v>
      </c>
      <c r="AM192" s="24">
        <v>0.2</v>
      </c>
      <c r="AN192" s="24">
        <v>1686</v>
      </c>
      <c r="AO192" s="24">
        <v>44</v>
      </c>
      <c r="AP192" s="24">
        <v>1144</v>
      </c>
      <c r="AQ192" s="24">
        <v>23</v>
      </c>
      <c r="AR192" s="24">
        <v>2920</v>
      </c>
      <c r="AS192" s="24">
        <v>110</v>
      </c>
      <c r="AT192" s="24">
        <v>2442</v>
      </c>
      <c r="AU192" s="24">
        <v>79</v>
      </c>
      <c r="AV192" s="24">
        <v>11.780000000000001</v>
      </c>
      <c r="AW192" s="24">
        <v>0.68</v>
      </c>
      <c r="AX192" s="24">
        <v>1.9949999999999999</v>
      </c>
      <c r="AY192" s="24">
        <v>3.9E-2</v>
      </c>
      <c r="AZ192" s="24">
        <v>25026.3</v>
      </c>
      <c r="BA192" s="24">
        <v>869.4</v>
      </c>
      <c r="BB192" s="24">
        <v>13823.46</v>
      </c>
      <c r="BC192" s="24">
        <v>434.7</v>
      </c>
      <c r="BD192" s="24">
        <v>88865.1</v>
      </c>
      <c r="BE192" s="24">
        <v>4160.7</v>
      </c>
      <c r="BF192" s="24">
        <v>551.44799999999998</v>
      </c>
      <c r="BG192" s="24">
        <v>40.985999999999997</v>
      </c>
      <c r="BH192" s="24">
        <f t="shared" si="60"/>
        <v>161.14864864864867</v>
      </c>
      <c r="BI192" s="24">
        <f t="shared" si="61"/>
        <v>14.155654978706821</v>
      </c>
    </row>
    <row r="193" spans="1:61" x14ac:dyDescent="0.2">
      <c r="A193" t="s">
        <v>614</v>
      </c>
      <c r="B193" t="s">
        <v>38</v>
      </c>
      <c r="C193" t="s">
        <v>615</v>
      </c>
      <c r="D193" t="s">
        <v>616</v>
      </c>
      <c r="E193">
        <v>83601</v>
      </c>
      <c r="F193">
        <v>52405</v>
      </c>
      <c r="G193" t="s">
        <v>616</v>
      </c>
      <c r="H193" s="1">
        <v>39.76</v>
      </c>
      <c r="I193" s="1">
        <v>24.06</v>
      </c>
      <c r="J193" s="10">
        <v>1.8759999999999999</v>
      </c>
      <c r="K193" s="10">
        <f t="shared" ca="1" si="54"/>
        <v>6.0924136432123521E-2</v>
      </c>
      <c r="L193" s="7">
        <v>0.18079999999999999</v>
      </c>
      <c r="M193" s="7">
        <f t="shared" ca="1" si="55"/>
        <v>5.245517705622582E-3</v>
      </c>
      <c r="N193" s="7">
        <v>0.94808999999999999</v>
      </c>
      <c r="O193" s="8">
        <v>5.5309730000000004</v>
      </c>
      <c r="P193" s="8">
        <f t="shared" ca="1" si="56"/>
        <v>0.16046910040123488</v>
      </c>
      <c r="Q193" s="9">
        <v>7.5249999999999997E-2</v>
      </c>
      <c r="R193" s="9">
        <f t="shared" ca="1" si="57"/>
        <v>1.6277054401825902E-3</v>
      </c>
      <c r="S193" s="8">
        <f t="shared" si="58"/>
        <v>0.43018527982289195</v>
      </c>
      <c r="T193" s="11">
        <v>6.25E-2</v>
      </c>
      <c r="U193" s="11">
        <f t="shared" ca="1" si="59"/>
        <v>2.1914607000811125E-3</v>
      </c>
      <c r="V193" s="6" t="e">
        <f ca="1">IF(agePb6U8(1/O193)&lt;1400,age7corr(1/O193,Q193,$W$2),agePb76(Q193))</f>
        <v>#NAME?</v>
      </c>
      <c r="W193" s="6" t="e">
        <f ca="1">IF(agePb6U8(1/O193)&lt;1400,ageer7corr(V193,1/O193,P193/O193*(1/O193),Q193,R193,$W$2,0.05),ageerPb76(Q193,R193))</f>
        <v>#NAME?</v>
      </c>
      <c r="X193" s="4" t="e">
        <f ca="1">agePb6U8(L193)/agePb7u5(J193)</f>
        <v>#NAME?</v>
      </c>
      <c r="Z193" s="1">
        <v>1.8759999999999999</v>
      </c>
      <c r="AA193" s="1">
        <v>4.8000000000000001E-2</v>
      </c>
      <c r="AB193" s="1">
        <v>0.18079999999999999</v>
      </c>
      <c r="AC193" s="1">
        <v>3.8E-3</v>
      </c>
      <c r="AD193" s="1">
        <v>0.94808999999999999</v>
      </c>
      <c r="AE193" s="1">
        <v>5.5309730000000004</v>
      </c>
      <c r="AF193" s="1">
        <v>0.1162483</v>
      </c>
      <c r="AG193" s="1">
        <v>7.5249999999999997E-2</v>
      </c>
      <c r="AH193" s="1">
        <v>6.2E-4</v>
      </c>
      <c r="AI193" s="1">
        <v>-0.32111000000000001</v>
      </c>
      <c r="AJ193" s="1">
        <v>6.25E-2</v>
      </c>
      <c r="AK193" s="1">
        <v>1.8E-3</v>
      </c>
      <c r="AL193" s="1">
        <v>5.1020000000000003</v>
      </c>
      <c r="AM193" s="1">
        <v>4.3999999999999997E-2</v>
      </c>
      <c r="AN193" s="1">
        <v>1077</v>
      </c>
      <c r="AO193" s="1">
        <v>15</v>
      </c>
      <c r="AP193" s="1">
        <v>1071</v>
      </c>
      <c r="AQ193" s="1">
        <v>21</v>
      </c>
      <c r="AR193" s="1">
        <v>1225</v>
      </c>
      <c r="AS193" s="1">
        <v>33</v>
      </c>
      <c r="AT193" s="1">
        <v>1075</v>
      </c>
      <c r="AU193" s="1">
        <v>17</v>
      </c>
      <c r="AV193" s="1">
        <v>8.6199999999999992</v>
      </c>
      <c r="AW193" s="1">
        <v>0.16</v>
      </c>
      <c r="AX193" s="1">
        <v>1.897</v>
      </c>
      <c r="AY193" s="1">
        <v>3.3000000000000002E-2</v>
      </c>
      <c r="AZ193" s="1">
        <v>9594.4500000000007</v>
      </c>
      <c r="BA193" s="1">
        <v>173.88</v>
      </c>
      <c r="BB193" s="1">
        <v>4614.0300000000007</v>
      </c>
      <c r="BC193" s="1">
        <v>74.52</v>
      </c>
      <c r="BD193" s="1">
        <v>61789.5</v>
      </c>
      <c r="BE193" s="1">
        <v>931.50000000000011</v>
      </c>
      <c r="BF193" s="1">
        <v>-1.5524999999999998</v>
      </c>
      <c r="BG193" s="1">
        <v>3.6017999999999999</v>
      </c>
      <c r="BH193" s="1">
        <f t="shared" si="60"/>
        <v>-39800.000000000007</v>
      </c>
      <c r="BI193" s="1">
        <f t="shared" si="61"/>
        <v>-92337.949381605853</v>
      </c>
    </row>
    <row r="194" spans="1:61" x14ac:dyDescent="0.2">
      <c r="A194" t="s">
        <v>617</v>
      </c>
      <c r="B194" t="s">
        <v>38</v>
      </c>
      <c r="C194" t="s">
        <v>618</v>
      </c>
      <c r="D194" t="s">
        <v>619</v>
      </c>
      <c r="E194">
        <v>83555</v>
      </c>
      <c r="F194">
        <v>52563</v>
      </c>
      <c r="G194" t="s">
        <v>619</v>
      </c>
      <c r="H194" s="1">
        <v>296</v>
      </c>
      <c r="I194" s="1">
        <v>143.6</v>
      </c>
      <c r="J194" s="10">
        <v>2.16</v>
      </c>
      <c r="K194" s="10">
        <f t="shared" ca="1" si="54"/>
        <v>7.3124824786114873E-2</v>
      </c>
      <c r="L194" s="7">
        <v>0.19159999999999999</v>
      </c>
      <c r="M194" s="7">
        <f t="shared" ca="1" si="55"/>
        <v>6.2204681495848851E-3</v>
      </c>
      <c r="N194" s="7">
        <v>0.99170000000000003</v>
      </c>
      <c r="O194" s="8">
        <v>5.2192069999999999</v>
      </c>
      <c r="P194" s="8">
        <f t="shared" ca="1" si="56"/>
        <v>0.16944630840210004</v>
      </c>
      <c r="Q194" s="9">
        <v>8.1989999999999993E-2</v>
      </c>
      <c r="R194" s="9">
        <f t="shared" ca="1" si="57"/>
        <v>1.6726757127429094E-3</v>
      </c>
      <c r="S194" s="8">
        <f t="shared" si="58"/>
        <v>0.40067840821193573</v>
      </c>
      <c r="T194" s="11">
        <v>6.9099999999999995E-2</v>
      </c>
      <c r="U194" s="11">
        <f t="shared" ca="1" si="59"/>
        <v>2.2693443987195951E-3</v>
      </c>
      <c r="V194" s="6" t="e">
        <f ca="1">IF(agePb6U8(1/O194)&lt;1400,age7corr(1/O194,Q194,$W$2),agePb76(Q194))</f>
        <v>#NAME?</v>
      </c>
      <c r="W194" s="6" t="e">
        <f ca="1">IF(agePb6U8(1/O194)&lt;1400,ageer7corr(V194,1/O194,P194/O194*(1/O194),Q194,R194,$W$2,0.05),ageerPb76(Q194,R194))</f>
        <v>#NAME?</v>
      </c>
      <c r="X194" s="4" t="e">
        <f ca="1">agePb6U8(L194)/agePb7u5(J194)</f>
        <v>#NAME?</v>
      </c>
      <c r="Z194" s="1">
        <v>2.16</v>
      </c>
      <c r="AA194" s="1">
        <v>5.8999999999999997E-2</v>
      </c>
      <c r="AB194" s="1">
        <v>0.19159999999999999</v>
      </c>
      <c r="AC194" s="1">
        <v>4.8999999999999998E-3</v>
      </c>
      <c r="AD194" s="1">
        <v>0.99170000000000003</v>
      </c>
      <c r="AE194" s="1">
        <v>5.2192069999999999</v>
      </c>
      <c r="AF194" s="1">
        <v>0.1334766</v>
      </c>
      <c r="AG194" s="1">
        <v>8.1989999999999993E-2</v>
      </c>
      <c r="AH194" s="1">
        <v>3.3E-4</v>
      </c>
      <c r="AI194" s="1">
        <v>-0.41513</v>
      </c>
      <c r="AJ194" s="1">
        <v>6.9099999999999995E-2</v>
      </c>
      <c r="AK194" s="1">
        <v>1.8E-3</v>
      </c>
      <c r="AL194" s="1">
        <v>6.1130000000000004</v>
      </c>
      <c r="AM194" s="1">
        <v>4.5999999999999999E-2</v>
      </c>
      <c r="AN194" s="1">
        <v>1167</v>
      </c>
      <c r="AO194" s="1">
        <v>19</v>
      </c>
      <c r="AP194" s="1">
        <v>1130</v>
      </c>
      <c r="AQ194" s="1">
        <v>26</v>
      </c>
      <c r="AR194" s="1">
        <v>1350</v>
      </c>
      <c r="AS194" s="1">
        <v>33</v>
      </c>
      <c r="AT194" s="1">
        <v>1245.2</v>
      </c>
      <c r="AU194" s="1">
        <v>7.8</v>
      </c>
      <c r="AV194" s="1">
        <v>64.199999999999989</v>
      </c>
      <c r="AW194" s="1">
        <v>3.3</v>
      </c>
      <c r="AX194" s="1">
        <v>11.32</v>
      </c>
      <c r="AY194" s="1">
        <v>0.17</v>
      </c>
      <c r="AZ194" s="1">
        <v>63652.500000000007</v>
      </c>
      <c r="BA194" s="1">
        <v>2049.3000000000002</v>
      </c>
      <c r="BB194" s="1">
        <v>39681.9</v>
      </c>
      <c r="BC194" s="1">
        <v>1552.5</v>
      </c>
      <c r="BD194" s="1">
        <v>487485</v>
      </c>
      <c r="BE194" s="1">
        <v>18009</v>
      </c>
      <c r="BF194" s="1">
        <v>43.47</v>
      </c>
      <c r="BG194" s="1">
        <v>6.8310000000000004</v>
      </c>
      <c r="BH194" s="1">
        <f t="shared" si="60"/>
        <v>11214.285714285714</v>
      </c>
      <c r="BI194" s="1">
        <f t="shared" si="61"/>
        <v>1810.287196398516</v>
      </c>
    </row>
    <row r="195" spans="1:61" x14ac:dyDescent="0.2">
      <c r="A195" t="s">
        <v>620</v>
      </c>
      <c r="B195" t="s">
        <v>38</v>
      </c>
      <c r="C195" t="s">
        <v>621</v>
      </c>
      <c r="D195" t="s">
        <v>622</v>
      </c>
      <c r="E195">
        <v>83508</v>
      </c>
      <c r="F195">
        <v>52735</v>
      </c>
      <c r="G195" t="s">
        <v>622</v>
      </c>
      <c r="H195" s="1">
        <v>317.7</v>
      </c>
      <c r="I195" s="1">
        <v>59.7</v>
      </c>
      <c r="J195" s="10">
        <v>1.792</v>
      </c>
      <c r="K195" s="10">
        <f t="shared" ca="1" si="54"/>
        <v>6.070836515670637E-2</v>
      </c>
      <c r="L195" s="7">
        <v>0.1716</v>
      </c>
      <c r="M195" s="7">
        <f t="shared" ca="1" si="55"/>
        <v>5.5016928303932055E-3</v>
      </c>
      <c r="N195" s="7">
        <v>0.98492000000000002</v>
      </c>
      <c r="O195" s="8">
        <v>5.8275059999999996</v>
      </c>
      <c r="P195" s="8">
        <f t="shared" ca="1" si="56"/>
        <v>0.18683648897325811</v>
      </c>
      <c r="Q195" s="9">
        <v>7.6340000000000005E-2</v>
      </c>
      <c r="R195" s="9">
        <f t="shared" ca="1" si="57"/>
        <v>1.5709927561895379E-3</v>
      </c>
      <c r="S195" s="8">
        <f t="shared" si="58"/>
        <v>0.40856642877508548</v>
      </c>
      <c r="T195" s="11">
        <v>6.2700000000000006E-2</v>
      </c>
      <c r="U195" s="11">
        <f t="shared" ca="1" si="59"/>
        <v>1.8794988693798143E-3</v>
      </c>
      <c r="V195" s="6" t="e">
        <f ca="1">IF(agePb6U8(1/O195)&lt;1400,age7corr(1/O195,Q195,$W$2),agePb76(Q195))</f>
        <v>#NAME?</v>
      </c>
      <c r="W195" s="6" t="e">
        <f ca="1">IF(agePb6U8(1/O195)&lt;1400,ageer7corr(V195,1/O195,P195/O195*(1/O195),Q195,R195,$W$2,0.05),ageerPb76(Q195,R195))</f>
        <v>#NAME?</v>
      </c>
      <c r="X195" s="4" t="e">
        <f ca="1">agePb6U8(L195)/agePb7u5(J195)</f>
        <v>#NAME?</v>
      </c>
      <c r="Z195" s="1">
        <v>1.792</v>
      </c>
      <c r="AA195" s="1">
        <v>4.9000000000000002E-2</v>
      </c>
      <c r="AB195" s="1">
        <v>0.1716</v>
      </c>
      <c r="AC195" s="1">
        <v>4.3E-3</v>
      </c>
      <c r="AD195" s="1">
        <v>0.98492000000000002</v>
      </c>
      <c r="AE195" s="1">
        <v>5.8275059999999996</v>
      </c>
      <c r="AF195" s="1">
        <v>0.1460272</v>
      </c>
      <c r="AG195" s="1">
        <v>7.6340000000000005E-2</v>
      </c>
      <c r="AH195" s="1">
        <v>3.6999999999999999E-4</v>
      </c>
      <c r="AI195" s="1">
        <v>0.17126</v>
      </c>
      <c r="AJ195" s="1">
        <v>6.2700000000000006E-2</v>
      </c>
      <c r="AK195" s="1">
        <v>1.4E-3</v>
      </c>
      <c r="AL195" s="1">
        <v>15.16</v>
      </c>
      <c r="AM195" s="1">
        <v>0.14000000000000001</v>
      </c>
      <c r="AN195" s="1">
        <v>1042</v>
      </c>
      <c r="AO195" s="1">
        <v>18</v>
      </c>
      <c r="AP195" s="1">
        <v>1021</v>
      </c>
      <c r="AQ195" s="1">
        <v>24</v>
      </c>
      <c r="AR195" s="1">
        <v>1228</v>
      </c>
      <c r="AS195" s="1">
        <v>27</v>
      </c>
      <c r="AT195" s="1">
        <v>1103.8</v>
      </c>
      <c r="AU195" s="1">
        <v>9.6</v>
      </c>
      <c r="AV195" s="1">
        <v>68.900000000000006</v>
      </c>
      <c r="AW195" s="1">
        <v>2</v>
      </c>
      <c r="AX195" s="1">
        <v>4.71</v>
      </c>
      <c r="AY195" s="1">
        <v>0.1</v>
      </c>
      <c r="AZ195" s="1">
        <v>24144.480000000003</v>
      </c>
      <c r="BA195" s="1">
        <v>478.17000000000007</v>
      </c>
      <c r="BB195" s="1">
        <v>34589.699999999997</v>
      </c>
      <c r="BC195" s="1">
        <v>807.3</v>
      </c>
      <c r="BD195" s="1">
        <v>457056</v>
      </c>
      <c r="BE195" s="1">
        <v>9936</v>
      </c>
      <c r="BF195" s="1">
        <v>37.26</v>
      </c>
      <c r="BG195" s="1">
        <v>7.4519999999999991</v>
      </c>
      <c r="BH195" s="1">
        <f t="shared" si="60"/>
        <v>12266.666666666668</v>
      </c>
      <c r="BI195" s="1">
        <f t="shared" si="61"/>
        <v>2467.7835309353118</v>
      </c>
    </row>
    <row r="196" spans="1:61" s="23" customFormat="1" x14ac:dyDescent="0.2">
      <c r="A196" s="23" t="s">
        <v>629</v>
      </c>
      <c r="B196" s="23" t="s">
        <v>38</v>
      </c>
      <c r="C196" s="23" t="s">
        <v>630</v>
      </c>
      <c r="D196" s="23" t="s">
        <v>631</v>
      </c>
      <c r="E196" s="23">
        <v>83419</v>
      </c>
      <c r="F196" s="23">
        <v>52861</v>
      </c>
      <c r="G196" s="23" t="s">
        <v>631</v>
      </c>
      <c r="H196" s="24">
        <v>30.08</v>
      </c>
      <c r="I196" s="24">
        <v>40.6</v>
      </c>
      <c r="J196" s="25">
        <v>14.25</v>
      </c>
      <c r="K196" s="25">
        <f t="shared" ca="1" si="54"/>
        <v>0.48303726564313859</v>
      </c>
      <c r="L196" s="26">
        <v>0.52700000000000002</v>
      </c>
      <c r="M196" s="26">
        <f t="shared" ca="1" si="55"/>
        <v>1.7524029217049372E-2</v>
      </c>
      <c r="N196" s="26">
        <v>0.82972999999999997</v>
      </c>
      <c r="O196" s="26">
        <v>1.8975329999999999</v>
      </c>
      <c r="P196" s="26">
        <f t="shared" ca="1" si="56"/>
        <v>6.3097581195780392E-2</v>
      </c>
      <c r="Q196" s="25">
        <v>0.19769999999999999</v>
      </c>
      <c r="R196" s="25">
        <f t="shared" ca="1" si="57"/>
        <v>5.0243522965652005E-3</v>
      </c>
      <c r="S196" s="26">
        <f t="shared" si="58"/>
        <v>0.65161997970068108</v>
      </c>
      <c r="T196" s="25">
        <v>0.1898</v>
      </c>
      <c r="U196" s="25">
        <f t="shared" ca="1" si="59"/>
        <v>8.6746536530284586E-3</v>
      </c>
      <c r="V196" s="24" t="e">
        <f ca="1">IF(agePb6U8(1/O196)&lt;1400,age7corr(1/O196,Q196,$W$2),agePb76(Q196))</f>
        <v>#NAME?</v>
      </c>
      <c r="W196" s="24" t="e">
        <f ca="1">IF(agePb6U8(1/O196)&lt;1400,ageer7corr(V196,1/O196,P196/O196*(1/O196),Q196,R196,$W$2,0.05),ageerPb76(Q196,R196))</f>
        <v>#NAME?</v>
      </c>
      <c r="X196" s="26" t="e">
        <f ca="1">agePb6U8(L196)/agePb7u5(J196)</f>
        <v>#NAME?</v>
      </c>
      <c r="Y196" s="24"/>
      <c r="Z196" s="24">
        <v>14.25</v>
      </c>
      <c r="AA196" s="24">
        <v>0.39</v>
      </c>
      <c r="AB196" s="24">
        <v>0.52700000000000002</v>
      </c>
      <c r="AC196" s="24">
        <v>1.4E-2</v>
      </c>
      <c r="AD196" s="24">
        <v>0.82972999999999997</v>
      </c>
      <c r="AE196" s="24">
        <v>1.8975329999999999</v>
      </c>
      <c r="AF196" s="24">
        <v>5.0408849999999998E-2</v>
      </c>
      <c r="AG196" s="24">
        <v>0.19769999999999999</v>
      </c>
      <c r="AH196" s="24">
        <v>3.0999999999999999E-3</v>
      </c>
      <c r="AI196" s="24">
        <v>-2.0735E-2</v>
      </c>
      <c r="AJ196" s="24">
        <v>0.1898</v>
      </c>
      <c r="AK196" s="24">
        <v>7.7999999999999996E-3</v>
      </c>
      <c r="AL196" s="24">
        <v>2.1659999999999999</v>
      </c>
      <c r="AM196" s="24">
        <v>2.5000000000000001E-2</v>
      </c>
      <c r="AN196" s="24">
        <v>2765</v>
      </c>
      <c r="AO196" s="24">
        <v>26</v>
      </c>
      <c r="AP196" s="24">
        <v>2727</v>
      </c>
      <c r="AQ196" s="24">
        <v>58</v>
      </c>
      <c r="AR196" s="24">
        <v>3510</v>
      </c>
      <c r="AS196" s="24">
        <v>130</v>
      </c>
      <c r="AT196" s="24">
        <v>2806</v>
      </c>
      <c r="AU196" s="24">
        <v>25</v>
      </c>
      <c r="AV196" s="24">
        <v>6.52</v>
      </c>
      <c r="AW196" s="24">
        <v>0.17</v>
      </c>
      <c r="AX196" s="24">
        <v>3.2</v>
      </c>
      <c r="AY196" s="24">
        <v>0.24000000000000002</v>
      </c>
      <c r="AZ196" s="24">
        <v>49121.100000000006</v>
      </c>
      <c r="BA196" s="24">
        <v>1055.7</v>
      </c>
      <c r="BB196" s="24">
        <v>26212.410000000003</v>
      </c>
      <c r="BC196" s="24">
        <v>521.64</v>
      </c>
      <c r="BD196" s="24">
        <v>133949.70000000001</v>
      </c>
      <c r="BE196" s="24">
        <v>4222.8</v>
      </c>
      <c r="BF196" s="24">
        <v>126.063</v>
      </c>
      <c r="BG196" s="24">
        <v>32.912999999999997</v>
      </c>
      <c r="BH196" s="24">
        <f t="shared" si="60"/>
        <v>1062.5615763546798</v>
      </c>
      <c r="BI196" s="24">
        <f t="shared" si="61"/>
        <v>279.43261169832533</v>
      </c>
    </row>
    <row r="197" spans="1:61" x14ac:dyDescent="0.2">
      <c r="A197" t="s">
        <v>632</v>
      </c>
      <c r="B197" t="s">
        <v>38</v>
      </c>
      <c r="C197" t="s">
        <v>633</v>
      </c>
      <c r="D197" t="s">
        <v>634</v>
      </c>
      <c r="E197">
        <v>83534</v>
      </c>
      <c r="F197">
        <v>53255</v>
      </c>
      <c r="G197" t="s">
        <v>634</v>
      </c>
      <c r="H197" s="1">
        <v>237</v>
      </c>
      <c r="I197" s="1">
        <v>200</v>
      </c>
      <c r="J197" s="10">
        <v>1.64</v>
      </c>
      <c r="K197" s="10">
        <f t="shared" ca="1" si="54"/>
        <v>0.10524181678401413</v>
      </c>
      <c r="L197" s="7">
        <v>0.1588</v>
      </c>
      <c r="M197" s="7">
        <f t="shared" ca="1" si="55"/>
        <v>1.0206712301226091E-2</v>
      </c>
      <c r="N197" s="7">
        <v>0.99780999999999997</v>
      </c>
      <c r="O197" s="8">
        <v>6.2972289999999997</v>
      </c>
      <c r="P197" s="8">
        <f t="shared" ca="1" si="56"/>
        <v>0.40474812497494833</v>
      </c>
      <c r="Q197" s="9">
        <v>7.5230000000000005E-2</v>
      </c>
      <c r="R197" s="9">
        <f t="shared" ca="1" si="57"/>
        <v>1.5268991977206616E-3</v>
      </c>
      <c r="S197" s="8">
        <f t="shared" si="58"/>
        <v>0.41790269759894838</v>
      </c>
      <c r="T197" s="11">
        <v>6.7199999999999996E-2</v>
      </c>
      <c r="U197" s="11">
        <f t="shared" ca="1" si="59"/>
        <v>3.5631918275613513E-3</v>
      </c>
      <c r="V197" s="6" t="e">
        <f ca="1">IF(agePb6U8(1/O197)&lt;1400,age7corr(1/O197,Q197,$W$2),agePb76(Q197))</f>
        <v>#NAME?</v>
      </c>
      <c r="W197" s="6" t="e">
        <f ca="1">IF(agePb6U8(1/O197)&lt;1400,ageer7corr(V197,1/O197,P197/O197*(1/O197),Q197,R197,$W$2,0.05),ageerPb76(Q197,R197))</f>
        <v>#NAME?</v>
      </c>
      <c r="X197" s="4" t="e">
        <f ca="1">agePb6U8(L197)/agePb7u5(J197)</f>
        <v>#NAME?</v>
      </c>
      <c r="Z197" s="1">
        <v>1.64</v>
      </c>
      <c r="AA197" s="1">
        <v>0.1</v>
      </c>
      <c r="AB197" s="1">
        <v>0.1588</v>
      </c>
      <c r="AC197" s="1">
        <v>9.7000000000000003E-3</v>
      </c>
      <c r="AD197" s="1">
        <v>0.99780999999999997</v>
      </c>
      <c r="AE197" s="1">
        <v>6.2972289999999997</v>
      </c>
      <c r="AF197" s="1">
        <v>0.38465440000000001</v>
      </c>
      <c r="AG197" s="1">
        <v>7.5230000000000005E-2</v>
      </c>
      <c r="AH197" s="1">
        <v>2.5999999999999998E-4</v>
      </c>
      <c r="AI197" s="1">
        <v>-0.21682000000000001</v>
      </c>
      <c r="AJ197" s="1">
        <v>6.7199999999999996E-2</v>
      </c>
      <c r="AK197" s="1">
        <v>3.3E-3</v>
      </c>
      <c r="AL197" s="1">
        <v>2.964</v>
      </c>
      <c r="AM197" s="1">
        <v>2.1999999999999999E-2</v>
      </c>
      <c r="AN197" s="1">
        <v>983</v>
      </c>
      <c r="AO197" s="1">
        <v>38</v>
      </c>
      <c r="AP197" s="1">
        <v>949</v>
      </c>
      <c r="AQ197" s="1">
        <v>54</v>
      </c>
      <c r="AR197" s="1">
        <v>1314</v>
      </c>
      <c r="AS197" s="1">
        <v>62</v>
      </c>
      <c r="AT197" s="1">
        <v>1074.5999999999999</v>
      </c>
      <c r="AU197" s="1">
        <v>6.8</v>
      </c>
      <c r="AV197" s="1">
        <v>51.4</v>
      </c>
      <c r="AW197" s="1">
        <v>3</v>
      </c>
      <c r="AX197" s="1">
        <v>15.76</v>
      </c>
      <c r="AY197" s="1">
        <v>0.93</v>
      </c>
      <c r="AZ197" s="1">
        <v>84828.6</v>
      </c>
      <c r="BA197" s="1">
        <v>3850.2</v>
      </c>
      <c r="BB197" s="1">
        <v>23473.8</v>
      </c>
      <c r="BC197" s="1">
        <v>931.50000000000011</v>
      </c>
      <c r="BD197" s="1">
        <v>314847</v>
      </c>
      <c r="BE197" s="1">
        <v>13041.000000000002</v>
      </c>
      <c r="BF197" s="1">
        <v>9.9359999999999999</v>
      </c>
      <c r="BG197" s="1">
        <v>5.5269000000000004</v>
      </c>
      <c r="BH197" s="1">
        <f t="shared" si="60"/>
        <v>31687.5</v>
      </c>
      <c r="BI197" s="1">
        <f t="shared" si="61"/>
        <v>17674.970755761973</v>
      </c>
    </row>
    <row r="198" spans="1:61" s="23" customFormat="1" x14ac:dyDescent="0.2">
      <c r="A198" s="23" t="s">
        <v>407</v>
      </c>
      <c r="B198" s="23" t="s">
        <v>38</v>
      </c>
      <c r="C198" s="23" t="s">
        <v>408</v>
      </c>
      <c r="D198" s="23" t="s">
        <v>409</v>
      </c>
      <c r="E198" s="23">
        <v>83766</v>
      </c>
      <c r="F198" s="23">
        <v>48943</v>
      </c>
      <c r="G198" s="23" t="s">
        <v>409</v>
      </c>
      <c r="H198" s="24">
        <v>90.7</v>
      </c>
      <c r="I198" s="24">
        <v>23.72</v>
      </c>
      <c r="J198" s="25">
        <v>3.0470000000000002</v>
      </c>
      <c r="K198" s="25">
        <f t="shared" ca="1" si="54"/>
        <v>0.10621997740538265</v>
      </c>
      <c r="L198" s="26">
        <v>0.21740000000000001</v>
      </c>
      <c r="M198" s="26">
        <f t="shared" ca="1" si="55"/>
        <v>6.7018731709873481E-3</v>
      </c>
      <c r="N198" s="26">
        <v>0.84036</v>
      </c>
      <c r="O198" s="26">
        <v>4.5998159999999997</v>
      </c>
      <c r="P198" s="26">
        <f t="shared" ca="1" si="56"/>
        <v>0.14180031688364592</v>
      </c>
      <c r="Q198" s="25">
        <v>0.1021</v>
      </c>
      <c r="R198" s="25">
        <f t="shared" ca="1" si="57"/>
        <v>2.9291234183625651E-3</v>
      </c>
      <c r="S198" s="26">
        <f t="shared" si="58"/>
        <v>0.42604452645412078</v>
      </c>
      <c r="T198" s="25">
        <v>0.10920000000000001</v>
      </c>
      <c r="U198" s="25">
        <f t="shared" ca="1" si="59"/>
        <v>6.3851277199442145E-3</v>
      </c>
      <c r="V198" s="24" t="e">
        <f ca="1">IF(agePb6U8(1/O198)&lt;1400,age7corr(1/O198,Q198,$W$2),agePb76(Q198))</f>
        <v>#NAME?</v>
      </c>
      <c r="W198" s="24" t="e">
        <f ca="1">IF(agePb6U8(1/O198)&lt;1400,ageer7corr(V198,1/O198,P198/O198*(1/O198),Q198,R198,$W$2,0.05),ageerPb76(Q198,R198))</f>
        <v>#NAME?</v>
      </c>
      <c r="X198" s="26" t="e">
        <f ca="1">agePb6U8(L198)/agePb7u5(J198)</f>
        <v>#NAME?</v>
      </c>
      <c r="Y198" s="24"/>
      <c r="Z198" s="24">
        <v>3.0470000000000002</v>
      </c>
      <c r="AA198" s="24">
        <v>8.6999999999999994E-2</v>
      </c>
      <c r="AB198" s="24">
        <v>0.21740000000000001</v>
      </c>
      <c r="AC198" s="24">
        <v>5.1000000000000004E-3</v>
      </c>
      <c r="AD198" s="24">
        <v>0.84036</v>
      </c>
      <c r="AE198" s="24">
        <v>4.5998159999999997</v>
      </c>
      <c r="AF198" s="24">
        <v>0.1079074</v>
      </c>
      <c r="AG198" s="24">
        <v>0.1021</v>
      </c>
      <c r="AH198" s="24">
        <v>2.0999999999999999E-3</v>
      </c>
      <c r="AI198" s="24">
        <v>-9.7658999999999992E-3</v>
      </c>
      <c r="AJ198" s="24">
        <v>0.10920000000000001</v>
      </c>
      <c r="AK198" s="24">
        <v>6.0000000000000001E-3</v>
      </c>
      <c r="AL198" s="24">
        <v>7.9320000000000004</v>
      </c>
      <c r="AM198" s="24">
        <v>9.0999999999999998E-2</v>
      </c>
      <c r="AN198" s="24">
        <v>1425</v>
      </c>
      <c r="AO198" s="24">
        <v>25</v>
      </c>
      <c r="AP198" s="24">
        <v>1268</v>
      </c>
      <c r="AQ198" s="24">
        <v>27</v>
      </c>
      <c r="AR198" s="24">
        <v>2090</v>
      </c>
      <c r="AS198" s="24">
        <v>110</v>
      </c>
      <c r="AT198" s="24">
        <v>1660</v>
      </c>
      <c r="AU198" s="24">
        <v>39</v>
      </c>
      <c r="AV198" s="24">
        <v>19.8</v>
      </c>
      <c r="AW198" s="24">
        <v>1.6</v>
      </c>
      <c r="AX198" s="24">
        <v>1.8760000000000001</v>
      </c>
      <c r="AY198" s="24">
        <v>3.6999999999999998E-2</v>
      </c>
      <c r="AZ198" s="24">
        <v>17139.599999999999</v>
      </c>
      <c r="BA198" s="24">
        <v>1242</v>
      </c>
      <c r="BB198" s="24">
        <v>17388</v>
      </c>
      <c r="BC198" s="24">
        <v>1552.5</v>
      </c>
      <c r="BD198" s="24">
        <v>169533</v>
      </c>
      <c r="BE198" s="24">
        <v>12420</v>
      </c>
      <c r="BF198" s="24">
        <v>175.12200000000001</v>
      </c>
      <c r="BG198" s="24">
        <v>36.638999999999996</v>
      </c>
      <c r="BH198" s="24">
        <f t="shared" si="60"/>
        <v>968.08510638297867</v>
      </c>
      <c r="BI198" s="24">
        <f t="shared" si="61"/>
        <v>214.60066283354243</v>
      </c>
    </row>
    <row r="199" spans="1:61" x14ac:dyDescent="0.2">
      <c r="A199" t="s">
        <v>635</v>
      </c>
      <c r="B199" t="s">
        <v>38</v>
      </c>
      <c r="C199" t="s">
        <v>636</v>
      </c>
      <c r="D199" t="s">
        <v>637</v>
      </c>
      <c r="E199">
        <v>83482</v>
      </c>
      <c r="F199">
        <v>53504</v>
      </c>
      <c r="G199" t="s">
        <v>637</v>
      </c>
      <c r="H199" s="1">
        <v>299.8</v>
      </c>
      <c r="I199" s="1">
        <v>73.099999999999994</v>
      </c>
      <c r="J199" s="10">
        <v>1.738</v>
      </c>
      <c r="K199" s="10">
        <f t="shared" ca="1" si="54"/>
        <v>6.0895464527335706E-2</v>
      </c>
      <c r="L199" s="7">
        <v>0.16500000000000001</v>
      </c>
      <c r="M199" s="7">
        <f t="shared" ca="1" si="55"/>
        <v>5.6612719418872651E-3</v>
      </c>
      <c r="N199" s="7">
        <v>0.98878999999999995</v>
      </c>
      <c r="O199" s="8">
        <v>6.0606059999999999</v>
      </c>
      <c r="P199" s="8">
        <f t="shared" ca="1" si="56"/>
        <v>0.20794391226639555</v>
      </c>
      <c r="Q199" s="9">
        <v>7.6670000000000002E-2</v>
      </c>
      <c r="R199" s="9">
        <f t="shared" ca="1" si="57"/>
        <v>1.6224104166332267E-3</v>
      </c>
      <c r="S199" s="8">
        <f t="shared" si="58"/>
        <v>0.39260155725617829</v>
      </c>
      <c r="T199" s="11">
        <v>6.6699999999999995E-2</v>
      </c>
      <c r="U199" s="11">
        <f t="shared" ca="1" si="59"/>
        <v>2.0831600994642729E-3</v>
      </c>
      <c r="V199" s="6" t="e">
        <f ca="1">IF(agePb6U8(1/O199)&lt;1400,age7corr(1/O199,Q199,$W$2),agePb76(Q199))</f>
        <v>#NAME?</v>
      </c>
      <c r="W199" s="6" t="e">
        <f ca="1">IF(agePb6U8(1/O199)&lt;1400,ageer7corr(V199,1/O199,P199/O199*(1/O199),Q199,R199,$W$2,0.05),ageerPb76(Q199,R199))</f>
        <v>#NAME?</v>
      </c>
      <c r="X199" s="4" t="e">
        <f ca="1">agePb6U8(L199)/agePb7u5(J199)</f>
        <v>#NAME?</v>
      </c>
      <c r="Z199" s="1">
        <v>1.738</v>
      </c>
      <c r="AA199" s="1">
        <v>0.05</v>
      </c>
      <c r="AB199" s="1">
        <v>0.16500000000000001</v>
      </c>
      <c r="AC199" s="1">
        <v>4.5999999999999999E-3</v>
      </c>
      <c r="AD199" s="1">
        <v>0.98878999999999995</v>
      </c>
      <c r="AE199" s="1">
        <v>6.0606059999999999</v>
      </c>
      <c r="AF199" s="1">
        <v>0.16896240000000001</v>
      </c>
      <c r="AG199" s="1">
        <v>7.6670000000000002E-2</v>
      </c>
      <c r="AH199" s="1">
        <v>5.2999999999999998E-4</v>
      </c>
      <c r="AI199" s="1">
        <v>-0.27500000000000002</v>
      </c>
      <c r="AJ199" s="1">
        <v>6.6699999999999995E-2</v>
      </c>
      <c r="AK199" s="1">
        <v>1.6000000000000001E-3</v>
      </c>
      <c r="AL199" s="1">
        <v>10.82</v>
      </c>
      <c r="AM199" s="1">
        <v>0.15</v>
      </c>
      <c r="AN199" s="1">
        <v>1022</v>
      </c>
      <c r="AO199" s="1">
        <v>19</v>
      </c>
      <c r="AP199" s="1">
        <v>984</v>
      </c>
      <c r="AQ199" s="1">
        <v>25</v>
      </c>
      <c r="AR199" s="1">
        <v>1306</v>
      </c>
      <c r="AS199" s="1">
        <v>30</v>
      </c>
      <c r="AT199" s="1">
        <v>1112</v>
      </c>
      <c r="AU199" s="1">
        <v>14</v>
      </c>
      <c r="AV199" s="1">
        <v>65</v>
      </c>
      <c r="AW199" s="1">
        <v>1.9</v>
      </c>
      <c r="AX199" s="1">
        <v>5.758</v>
      </c>
      <c r="AY199" s="1">
        <v>8.7999999999999995E-2</v>
      </c>
      <c r="AZ199" s="1">
        <v>31236.3</v>
      </c>
      <c r="BA199" s="1">
        <v>993.6</v>
      </c>
      <c r="BB199" s="1">
        <v>32354.100000000002</v>
      </c>
      <c r="BC199" s="1">
        <v>931.50000000000011</v>
      </c>
      <c r="BD199" s="1">
        <v>426005.99999999994</v>
      </c>
      <c r="BE199" s="1">
        <v>9936</v>
      </c>
      <c r="BF199" s="1">
        <v>7.7625000000000002</v>
      </c>
      <c r="BG199" s="1">
        <v>4.6574999999999998</v>
      </c>
      <c r="BH199" s="1">
        <f t="shared" si="60"/>
        <v>54879.999999999993</v>
      </c>
      <c r="BI199" s="1">
        <f t="shared" si="61"/>
        <v>32952.869131533902</v>
      </c>
    </row>
    <row r="200" spans="1:61" x14ac:dyDescent="0.2">
      <c r="A200" t="s">
        <v>638</v>
      </c>
      <c r="B200" t="s">
        <v>38</v>
      </c>
      <c r="C200" t="s">
        <v>639</v>
      </c>
      <c r="D200" t="s">
        <v>640</v>
      </c>
      <c r="E200">
        <v>83465</v>
      </c>
      <c r="F200">
        <v>53641</v>
      </c>
      <c r="G200" t="s">
        <v>640</v>
      </c>
      <c r="H200" s="1">
        <v>51.6</v>
      </c>
      <c r="I200" s="1">
        <v>28.3</v>
      </c>
      <c r="J200" s="10">
        <v>1.929</v>
      </c>
      <c r="K200" s="10">
        <f t="shared" ca="1" si="54"/>
        <v>8.5231545803182526E-2</v>
      </c>
      <c r="L200" s="7">
        <v>0.18770000000000001</v>
      </c>
      <c r="M200" s="7">
        <f t="shared" ca="1" si="55"/>
        <v>7.7674008522799947E-3</v>
      </c>
      <c r="N200" s="7">
        <v>0.98177999999999999</v>
      </c>
      <c r="O200" s="8">
        <v>5.3276510000000004</v>
      </c>
      <c r="P200" s="8">
        <f t="shared" ca="1" si="56"/>
        <v>0.22046878095358627</v>
      </c>
      <c r="Q200" s="9">
        <v>7.5310000000000002E-2</v>
      </c>
      <c r="R200" s="9">
        <f t="shared" ca="1" si="57"/>
        <v>1.6365324439191543E-3</v>
      </c>
      <c r="S200" s="8">
        <f t="shared" si="58"/>
        <v>0.48950954187033791</v>
      </c>
      <c r="T200" s="11">
        <v>7.2700000000000001E-2</v>
      </c>
      <c r="U200" s="11">
        <f t="shared" ca="1" si="59"/>
        <v>3.1550144215201303E-3</v>
      </c>
      <c r="V200" s="6" t="e">
        <f ca="1">IF(agePb6U8(1/O200)&lt;1400,age7corr(1/O200,Q200,$W$2),agePb76(Q200))</f>
        <v>#NAME?</v>
      </c>
      <c r="W200" s="6" t="e">
        <f ca="1">IF(agePb6U8(1/O200)&lt;1400,ageer7corr(V200,1/O200,P200/O200*(1/O200),Q200,R200,$W$2,0.05),ageerPb76(Q200,R200))</f>
        <v>#NAME?</v>
      </c>
      <c r="X200" s="4" t="e">
        <f ca="1">agePb6U8(L200)/agePb7u5(J200)</f>
        <v>#NAME?</v>
      </c>
      <c r="Z200" s="1">
        <v>1.929</v>
      </c>
      <c r="AA200" s="1">
        <v>7.5999999999999998E-2</v>
      </c>
      <c r="AB200" s="1">
        <v>0.18770000000000001</v>
      </c>
      <c r="AC200" s="1">
        <v>6.7999999999999996E-3</v>
      </c>
      <c r="AD200" s="1">
        <v>0.98177999999999999</v>
      </c>
      <c r="AE200" s="1">
        <v>5.3276510000000004</v>
      </c>
      <c r="AF200" s="1">
        <v>0.19301019999999999</v>
      </c>
      <c r="AG200" s="1">
        <v>7.5310000000000002E-2</v>
      </c>
      <c r="AH200" s="1">
        <v>6.4000000000000005E-4</v>
      </c>
      <c r="AI200" s="1">
        <v>0.10471999999999999</v>
      </c>
      <c r="AJ200" s="1">
        <v>7.2700000000000001E-2</v>
      </c>
      <c r="AK200" s="1">
        <v>2.8E-3</v>
      </c>
      <c r="AL200" s="1">
        <v>4.9829999999999997</v>
      </c>
      <c r="AM200" s="1">
        <v>6.6000000000000003E-2</v>
      </c>
      <c r="AN200" s="1">
        <v>1090</v>
      </c>
      <c r="AO200" s="1">
        <v>26</v>
      </c>
      <c r="AP200" s="1">
        <v>1109</v>
      </c>
      <c r="AQ200" s="1">
        <v>37</v>
      </c>
      <c r="AR200" s="1">
        <v>1418</v>
      </c>
      <c r="AS200" s="1">
        <v>53</v>
      </c>
      <c r="AT200" s="1">
        <v>1076</v>
      </c>
      <c r="AU200" s="1">
        <v>17</v>
      </c>
      <c r="AV200" s="1">
        <v>11.19</v>
      </c>
      <c r="AW200" s="1">
        <v>0.46</v>
      </c>
      <c r="AX200" s="1">
        <v>2.2300000000000004</v>
      </c>
      <c r="AY200" s="1">
        <v>0.11</v>
      </c>
      <c r="AZ200" s="1">
        <v>13308.03</v>
      </c>
      <c r="BA200" s="1">
        <v>329.13</v>
      </c>
      <c r="BB200" s="1">
        <v>6172.74</v>
      </c>
      <c r="BC200" s="1">
        <v>192.51</v>
      </c>
      <c r="BD200" s="1">
        <v>82468.800000000003</v>
      </c>
      <c r="BE200" s="1">
        <v>2918.7</v>
      </c>
      <c r="BF200" s="1">
        <v>-5.9615999999999998</v>
      </c>
      <c r="BG200" s="1">
        <v>5.5269000000000004</v>
      </c>
      <c r="BH200" s="1">
        <f t="shared" si="60"/>
        <v>-13833.333333333334</v>
      </c>
      <c r="BI200" s="1">
        <f t="shared" si="61"/>
        <v>-12833.994339676214</v>
      </c>
    </row>
    <row r="201" spans="1:61" x14ac:dyDescent="0.2">
      <c r="A201" t="s">
        <v>641</v>
      </c>
      <c r="B201" t="s">
        <v>38</v>
      </c>
      <c r="C201" t="s">
        <v>642</v>
      </c>
      <c r="D201" t="s">
        <v>643</v>
      </c>
      <c r="E201">
        <v>83509</v>
      </c>
      <c r="F201">
        <v>53788</v>
      </c>
      <c r="G201" t="s">
        <v>643</v>
      </c>
      <c r="H201" s="1">
        <v>353.4</v>
      </c>
      <c r="I201" s="1">
        <v>87.8</v>
      </c>
      <c r="J201" s="10">
        <v>1.895</v>
      </c>
      <c r="K201" s="10">
        <f t="shared" ca="1" si="54"/>
        <v>8.403219621073818E-2</v>
      </c>
      <c r="L201" s="7">
        <v>0.1779</v>
      </c>
      <c r="M201" s="7">
        <f t="shared" ca="1" si="55"/>
        <v>7.1483819148112108E-3</v>
      </c>
      <c r="N201" s="7">
        <v>0.98502999999999996</v>
      </c>
      <c r="O201" s="8">
        <v>5.6211349999999998</v>
      </c>
      <c r="P201" s="8">
        <f t="shared" ca="1" si="56"/>
        <v>0.22586857639133867</v>
      </c>
      <c r="Q201" s="9">
        <v>7.8770000000000007E-2</v>
      </c>
      <c r="R201" s="9">
        <f t="shared" ca="1" si="57"/>
        <v>1.715891942984756E-3</v>
      </c>
      <c r="S201" s="8">
        <f t="shared" si="58"/>
        <v>0.54239768188198179</v>
      </c>
      <c r="T201" s="11">
        <v>7.2900000000000006E-2</v>
      </c>
      <c r="U201" s="11">
        <f t="shared" ca="1" si="59"/>
        <v>3.2458841630594276E-3</v>
      </c>
      <c r="V201" s="6" t="e">
        <f ca="1">IF(agePb6U8(1/O201)&lt;1400,age7corr(1/O201,Q201,$W$2),agePb76(Q201))</f>
        <v>#NAME?</v>
      </c>
      <c r="W201" s="6" t="e">
        <f ca="1">IF(agePb6U8(1/O201)&lt;1400,ageer7corr(V201,1/O201,P201/O201*(1/O201),Q201,R201,$W$2,0.05),ageerPb76(Q201,R201))</f>
        <v>#NAME?</v>
      </c>
      <c r="X201" s="4" t="e">
        <f ca="1">agePb6U8(L201)/agePb7u5(J201)</f>
        <v>#NAME?</v>
      </c>
      <c r="Z201" s="1">
        <v>1.895</v>
      </c>
      <c r="AA201" s="1">
        <v>7.4999999999999997E-2</v>
      </c>
      <c r="AB201" s="1">
        <v>0.1779</v>
      </c>
      <c r="AC201" s="1">
        <v>6.1999999999999998E-3</v>
      </c>
      <c r="AD201" s="1">
        <v>0.98502999999999996</v>
      </c>
      <c r="AE201" s="1">
        <v>5.6211349999999998</v>
      </c>
      <c r="AF201" s="1">
        <v>0.1959024</v>
      </c>
      <c r="AG201" s="1">
        <v>7.8770000000000007E-2</v>
      </c>
      <c r="AH201" s="1">
        <v>6.8000000000000005E-4</v>
      </c>
      <c r="AI201" s="1">
        <v>-0.16905000000000001</v>
      </c>
      <c r="AJ201" s="1">
        <v>7.2900000000000006E-2</v>
      </c>
      <c r="AK201" s="1">
        <v>2.8999999999999998E-3</v>
      </c>
      <c r="AL201" s="1">
        <v>10.257</v>
      </c>
      <c r="AM201" s="1">
        <v>8.6999999999999994E-2</v>
      </c>
      <c r="AN201" s="1">
        <v>1090</v>
      </c>
      <c r="AO201" s="1">
        <v>26</v>
      </c>
      <c r="AP201" s="1">
        <v>1055</v>
      </c>
      <c r="AQ201" s="1">
        <v>34</v>
      </c>
      <c r="AR201" s="1">
        <v>1421</v>
      </c>
      <c r="AS201" s="1">
        <v>54</v>
      </c>
      <c r="AT201" s="1">
        <v>1166</v>
      </c>
      <c r="AU201" s="1">
        <v>17</v>
      </c>
      <c r="AV201" s="1">
        <v>76.599999999999994</v>
      </c>
      <c r="AW201" s="1">
        <v>1.6</v>
      </c>
      <c r="AX201" s="1">
        <v>6.92</v>
      </c>
      <c r="AY201" s="1">
        <v>0.32</v>
      </c>
      <c r="AZ201" s="1">
        <v>41172.299999999996</v>
      </c>
      <c r="BA201" s="1">
        <v>1366.1999999999998</v>
      </c>
      <c r="BB201" s="1">
        <v>41110.200000000004</v>
      </c>
      <c r="BC201" s="1">
        <v>993.6</v>
      </c>
      <c r="BD201" s="1">
        <v>531576</v>
      </c>
      <c r="BE201" s="1">
        <v>13041.000000000002</v>
      </c>
      <c r="BF201" s="1">
        <v>7.3898999999999999</v>
      </c>
      <c r="BG201" s="1">
        <v>5.5269000000000004</v>
      </c>
      <c r="BH201" s="1">
        <f t="shared" si="60"/>
        <v>71932.773109243702</v>
      </c>
      <c r="BI201" s="1">
        <f t="shared" si="61"/>
        <v>53827.395864483842</v>
      </c>
    </row>
    <row r="202" spans="1:61" x14ac:dyDescent="0.2">
      <c r="A202" t="s">
        <v>644</v>
      </c>
      <c r="B202" t="s">
        <v>38</v>
      </c>
      <c r="C202" t="s">
        <v>645</v>
      </c>
      <c r="D202" t="s">
        <v>646</v>
      </c>
      <c r="E202">
        <v>83378</v>
      </c>
      <c r="F202">
        <v>53963</v>
      </c>
      <c r="G202" t="s">
        <v>646</v>
      </c>
      <c r="H202" s="1">
        <v>112.4</v>
      </c>
      <c r="I202" s="1">
        <v>46.9</v>
      </c>
      <c r="J202" s="10">
        <v>2.153</v>
      </c>
      <c r="K202" s="10">
        <f t="shared" ca="1" si="54"/>
        <v>9.88694270237266E-2</v>
      </c>
      <c r="L202" s="7">
        <v>0.1973</v>
      </c>
      <c r="M202" s="7">
        <f t="shared" ca="1" si="55"/>
        <v>9.1902620202037755E-3</v>
      </c>
      <c r="N202" s="7">
        <v>0.99644999999999995</v>
      </c>
      <c r="O202" s="8">
        <v>5.0684240000000003</v>
      </c>
      <c r="P202" s="8">
        <f t="shared" ca="1" si="56"/>
        <v>0.23608787402471645</v>
      </c>
      <c r="Q202" s="9">
        <v>7.9310000000000005E-2</v>
      </c>
      <c r="R202" s="9">
        <f t="shared" ca="1" si="57"/>
        <v>1.6243553921479132E-3</v>
      </c>
      <c r="S202" s="8">
        <f t="shared" si="58"/>
        <v>0.47882509896291475</v>
      </c>
      <c r="T202" s="11">
        <v>7.46E-2</v>
      </c>
      <c r="U202" s="11">
        <f t="shared" ca="1" si="59"/>
        <v>3.3505318980723044E-3</v>
      </c>
      <c r="V202" s="6" t="e">
        <f ca="1">IF(agePb6U8(1/O202)&lt;1400,age7corr(1/O202,Q202,$W$2),agePb76(Q202))</f>
        <v>#NAME?</v>
      </c>
      <c r="W202" s="6" t="e">
        <f ca="1">IF(agePb6U8(1/O202)&lt;1400,ageer7corr(V202,1/O202,P202/O202*(1/O202),Q202,R202,$W$2,0.05),ageerPb76(Q202,R202))</f>
        <v>#NAME?</v>
      </c>
      <c r="X202" s="4" t="e">
        <f ca="1">agePb6U8(L202)/agePb7u5(J202)</f>
        <v>#NAME?</v>
      </c>
      <c r="Z202" s="1">
        <v>2.153</v>
      </c>
      <c r="AA202" s="1">
        <v>8.8999999999999996E-2</v>
      </c>
      <c r="AB202" s="1">
        <v>0.1973</v>
      </c>
      <c r="AC202" s="1">
        <v>8.3000000000000001E-3</v>
      </c>
      <c r="AD202" s="1">
        <v>0.99644999999999995</v>
      </c>
      <c r="AE202" s="1">
        <v>5.0684240000000003</v>
      </c>
      <c r="AF202" s="1">
        <v>0.21321799999999999</v>
      </c>
      <c r="AG202" s="1">
        <v>7.9310000000000005E-2</v>
      </c>
      <c r="AH202" s="1">
        <v>3.5E-4</v>
      </c>
      <c r="AI202" s="1">
        <v>0.17660999999999999</v>
      </c>
      <c r="AJ202" s="1">
        <v>7.46E-2</v>
      </c>
      <c r="AK202" s="1">
        <v>3.0000000000000001E-3</v>
      </c>
      <c r="AL202" s="1">
        <v>6.77</v>
      </c>
      <c r="AM202" s="1">
        <v>0.12</v>
      </c>
      <c r="AN202" s="1">
        <v>1164</v>
      </c>
      <c r="AO202" s="1">
        <v>28</v>
      </c>
      <c r="AP202" s="1">
        <v>1160</v>
      </c>
      <c r="AQ202" s="1">
        <v>44</v>
      </c>
      <c r="AR202" s="1">
        <v>1453</v>
      </c>
      <c r="AS202" s="1">
        <v>56</v>
      </c>
      <c r="AT202" s="1">
        <v>1179.7</v>
      </c>
      <c r="AU202" s="1">
        <v>8.8000000000000007</v>
      </c>
      <c r="AV202" s="1">
        <v>24.36</v>
      </c>
      <c r="AW202" s="1">
        <v>0.66</v>
      </c>
      <c r="AX202" s="1">
        <v>3.7</v>
      </c>
      <c r="AY202" s="1">
        <v>0.22</v>
      </c>
      <c r="AZ202" s="1">
        <v>22231.8</v>
      </c>
      <c r="BA202" s="1">
        <v>683.09999999999991</v>
      </c>
      <c r="BB202" s="1">
        <v>14605.92</v>
      </c>
      <c r="BC202" s="1">
        <v>304.28999999999996</v>
      </c>
      <c r="BD202" s="1">
        <v>186610.5</v>
      </c>
      <c r="BE202" s="1">
        <v>4284.8999999999996</v>
      </c>
      <c r="BF202" s="1">
        <v>2.7944999999999998</v>
      </c>
      <c r="BG202" s="1">
        <v>4.5332999999999997</v>
      </c>
      <c r="BH202" s="1">
        <f t="shared" si="60"/>
        <v>66777.777777777781</v>
      </c>
      <c r="BI202" s="1">
        <f t="shared" si="61"/>
        <v>108339.24629496467</v>
      </c>
    </row>
    <row r="203" spans="1:61" x14ac:dyDescent="0.2">
      <c r="A203" t="s">
        <v>647</v>
      </c>
      <c r="B203" t="s">
        <v>38</v>
      </c>
      <c r="C203" t="s">
        <v>648</v>
      </c>
      <c r="D203" t="s">
        <v>649</v>
      </c>
      <c r="E203">
        <v>83504</v>
      </c>
      <c r="F203">
        <v>54131</v>
      </c>
      <c r="G203" t="s">
        <v>649</v>
      </c>
      <c r="H203" s="1">
        <v>35.950000000000003</v>
      </c>
      <c r="I203" s="1">
        <v>8.92</v>
      </c>
      <c r="J203" s="10">
        <v>1.9410000000000001</v>
      </c>
      <c r="K203" s="10">
        <f t="shared" ca="1" si="54"/>
        <v>7.3999948648630826E-2</v>
      </c>
      <c r="L203" s="7">
        <v>0.18779999999999999</v>
      </c>
      <c r="M203" s="7">
        <f t="shared" ca="1" si="55"/>
        <v>7.0786676712500073E-3</v>
      </c>
      <c r="N203" s="7">
        <v>0.99077000000000004</v>
      </c>
      <c r="O203" s="8">
        <v>5.3248139999999999</v>
      </c>
      <c r="P203" s="8">
        <f t="shared" ca="1" si="56"/>
        <v>0.2007059652553416</v>
      </c>
      <c r="Q203" s="9">
        <v>7.5109999999999996E-2</v>
      </c>
      <c r="R203" s="9">
        <f t="shared" ca="1" si="57"/>
        <v>1.5710521442651099E-3</v>
      </c>
      <c r="S203" s="8">
        <f t="shared" si="58"/>
        <v>0.48137047412209683</v>
      </c>
      <c r="T203" s="11">
        <v>7.5899999999999995E-2</v>
      </c>
      <c r="U203" s="11">
        <f t="shared" ca="1" si="59"/>
        <v>3.5417967191808176E-3</v>
      </c>
      <c r="V203" s="6" t="e">
        <f ca="1">IF(agePb6U8(1/O203)&lt;1400,age7corr(1/O203,Q203,$W$2),agePb76(Q203))</f>
        <v>#NAME?</v>
      </c>
      <c r="W203" s="6" t="e">
        <f ca="1">IF(agePb6U8(1/O203)&lt;1400,ageer7corr(V203,1/O203,P203/O203*(1/O203),Q203,R203,$W$2,0.05),ageerPb76(Q203,R203))</f>
        <v>#NAME?</v>
      </c>
      <c r="X203" s="4" t="e">
        <f ca="1">agePb6U8(L203)/agePb7u5(J203)</f>
        <v>#NAME?</v>
      </c>
      <c r="Z203" s="1">
        <v>1.9410000000000001</v>
      </c>
      <c r="AA203" s="1">
        <v>6.3E-2</v>
      </c>
      <c r="AB203" s="1">
        <v>0.18779999999999999</v>
      </c>
      <c r="AC203" s="1">
        <v>6.0000000000000001E-3</v>
      </c>
      <c r="AD203" s="1">
        <v>0.99077000000000004</v>
      </c>
      <c r="AE203" s="1">
        <v>5.3248139999999999</v>
      </c>
      <c r="AF203" s="1">
        <v>0.17012179999999999</v>
      </c>
      <c r="AG203" s="1">
        <v>7.5109999999999996E-2</v>
      </c>
      <c r="AH203" s="1">
        <v>4.6000000000000001E-4</v>
      </c>
      <c r="AI203" s="1">
        <v>-0.27378000000000002</v>
      </c>
      <c r="AJ203" s="1">
        <v>7.5899999999999995E-2</v>
      </c>
      <c r="AK203" s="1">
        <v>3.2000000000000002E-3</v>
      </c>
      <c r="AL203" s="1">
        <v>10.81</v>
      </c>
      <c r="AM203" s="1">
        <v>0.17</v>
      </c>
      <c r="AN203" s="1">
        <v>1094</v>
      </c>
      <c r="AO203" s="1">
        <v>22</v>
      </c>
      <c r="AP203" s="1">
        <v>1109</v>
      </c>
      <c r="AQ203" s="1">
        <v>32</v>
      </c>
      <c r="AR203" s="1">
        <v>1477</v>
      </c>
      <c r="AS203" s="1">
        <v>60</v>
      </c>
      <c r="AT203" s="1">
        <v>1071</v>
      </c>
      <c r="AU203" s="1">
        <v>12</v>
      </c>
      <c r="AV203" s="1">
        <v>7.79</v>
      </c>
      <c r="AW203" s="1">
        <v>0.17</v>
      </c>
      <c r="AX203" s="1">
        <v>0.70299999999999996</v>
      </c>
      <c r="AY203" s="1">
        <v>2.5000000000000001E-2</v>
      </c>
      <c r="AZ203" s="1">
        <v>4241.4300000000012</v>
      </c>
      <c r="BA203" s="1">
        <v>124.2</v>
      </c>
      <c r="BB203" s="1">
        <v>4272.4799999999996</v>
      </c>
      <c r="BC203" s="1">
        <v>117.99</v>
      </c>
      <c r="BD203" s="1">
        <v>57380.4</v>
      </c>
      <c r="BE203" s="1">
        <v>1366.1999999999998</v>
      </c>
      <c r="BF203" s="1">
        <v>3.3533999999999997</v>
      </c>
      <c r="BG203" s="1">
        <v>5.5889999999999995</v>
      </c>
      <c r="BH203" s="1">
        <f t="shared" si="60"/>
        <v>17111.111111111113</v>
      </c>
      <c r="BI203" s="1">
        <f t="shared" si="61"/>
        <v>28521.428422971636</v>
      </c>
    </row>
    <row r="204" spans="1:61" x14ac:dyDescent="0.2">
      <c r="A204" t="s">
        <v>650</v>
      </c>
      <c r="B204" t="s">
        <v>38</v>
      </c>
      <c r="C204" t="s">
        <v>651</v>
      </c>
      <c r="D204" t="s">
        <v>652</v>
      </c>
      <c r="E204">
        <v>83388</v>
      </c>
      <c r="F204">
        <v>54406</v>
      </c>
      <c r="G204" t="s">
        <v>652</v>
      </c>
      <c r="H204" s="1">
        <v>38.049999999999997</v>
      </c>
      <c r="I204" s="1">
        <v>20.69</v>
      </c>
      <c r="J204" s="10">
        <v>2.72</v>
      </c>
      <c r="K204" s="10">
        <f t="shared" ca="1" si="54"/>
        <v>0.12271658404633011</v>
      </c>
      <c r="L204" s="7">
        <v>0.23300000000000001</v>
      </c>
      <c r="M204" s="7">
        <f t="shared" ca="1" si="55"/>
        <v>1.040219207667307E-2</v>
      </c>
      <c r="N204" s="7">
        <v>0.98806000000000005</v>
      </c>
      <c r="O204" s="8">
        <v>4.2918450000000004</v>
      </c>
      <c r="P204" s="8">
        <f t="shared" ca="1" si="56"/>
        <v>0.19160770723217266</v>
      </c>
      <c r="Q204" s="9">
        <v>8.5580000000000003E-2</v>
      </c>
      <c r="R204" s="9">
        <f t="shared" ca="1" si="57"/>
        <v>1.8104349090757171E-3</v>
      </c>
      <c r="S204" s="8">
        <f t="shared" si="58"/>
        <v>0.48540455136641258</v>
      </c>
      <c r="T204" s="11">
        <v>9.4100000000000003E-2</v>
      </c>
      <c r="U204" s="11">
        <f t="shared" ca="1" si="59"/>
        <v>3.1292050108613851E-3</v>
      </c>
      <c r="V204" s="6" t="e">
        <f ca="1">IF(agePb6U8(1/O204)&lt;1400,age7corr(1/O204,Q204,$W$2),agePb76(Q204))</f>
        <v>#NAME?</v>
      </c>
      <c r="W204" s="6" t="e">
        <f ca="1">IF(agePb6U8(1/O204)&lt;1400,ageer7corr(V204,1/O204,P204/O204*(1/O204),Q204,R204,$W$2,0.05),ageerPb76(Q204,R204))</f>
        <v>#NAME?</v>
      </c>
      <c r="X204" s="4" t="e">
        <f ca="1">agePb6U8(L204)/agePb7u5(J204)</f>
        <v>#NAME?</v>
      </c>
      <c r="Z204" s="1">
        <v>2.72</v>
      </c>
      <c r="AA204" s="1">
        <v>0.11</v>
      </c>
      <c r="AB204" s="1">
        <v>0.23300000000000001</v>
      </c>
      <c r="AC204" s="1">
        <v>9.2999999999999992E-3</v>
      </c>
      <c r="AD204" s="1">
        <v>0.98806000000000005</v>
      </c>
      <c r="AE204" s="1">
        <v>4.2918450000000004</v>
      </c>
      <c r="AF204" s="1">
        <v>0.1713054</v>
      </c>
      <c r="AG204" s="1">
        <v>8.5580000000000003E-2</v>
      </c>
      <c r="AH204" s="1">
        <v>5.9000000000000003E-4</v>
      </c>
      <c r="AI204" s="1">
        <v>-0.56247000000000003</v>
      </c>
      <c r="AJ204" s="1">
        <v>9.4100000000000003E-2</v>
      </c>
      <c r="AK204" s="1">
        <v>2.5000000000000001E-3</v>
      </c>
      <c r="AL204" s="1">
        <v>4.8810000000000002</v>
      </c>
      <c r="AM204" s="1">
        <v>2.9000000000000001E-2</v>
      </c>
      <c r="AN204" s="1">
        <v>1347</v>
      </c>
      <c r="AO204" s="1">
        <v>31</v>
      </c>
      <c r="AP204" s="1">
        <v>1349</v>
      </c>
      <c r="AQ204" s="1">
        <v>49</v>
      </c>
      <c r="AR204" s="1">
        <v>1817</v>
      </c>
      <c r="AS204" s="1">
        <v>46</v>
      </c>
      <c r="AT204" s="1">
        <v>1328</v>
      </c>
      <c r="AU204" s="1">
        <v>13</v>
      </c>
      <c r="AV204" s="1">
        <v>8.24</v>
      </c>
      <c r="AW204" s="1">
        <v>0.18000000000000002</v>
      </c>
      <c r="AX204" s="1">
        <v>1.63</v>
      </c>
      <c r="AY204" s="1">
        <v>0.04</v>
      </c>
      <c r="AZ204" s="1">
        <v>12357.900000000001</v>
      </c>
      <c r="BA204" s="1">
        <v>310.5</v>
      </c>
      <c r="BB204" s="1">
        <v>6421.14</v>
      </c>
      <c r="BC204" s="1">
        <v>186.3</v>
      </c>
      <c r="BD204" s="1">
        <v>75451.499999999985</v>
      </c>
      <c r="BE204" s="1">
        <v>1863.0000000000002</v>
      </c>
      <c r="BF204" s="1">
        <v>49.679999999999993</v>
      </c>
      <c r="BG204" s="1">
        <v>8.0729999999999986</v>
      </c>
      <c r="BH204" s="1">
        <f t="shared" si="60"/>
        <v>1518.75</v>
      </c>
      <c r="BI204" s="1">
        <f t="shared" si="61"/>
        <v>249.62962065781704</v>
      </c>
    </row>
    <row r="205" spans="1:61" x14ac:dyDescent="0.2">
      <c r="A205" t="s">
        <v>653</v>
      </c>
      <c r="B205" t="s">
        <v>38</v>
      </c>
      <c r="C205" t="s">
        <v>654</v>
      </c>
      <c r="D205" t="s">
        <v>655</v>
      </c>
      <c r="E205">
        <v>83438</v>
      </c>
      <c r="F205">
        <v>54725</v>
      </c>
      <c r="G205" t="s">
        <v>655</v>
      </c>
      <c r="H205" s="1">
        <v>113.3</v>
      </c>
      <c r="I205" s="1">
        <v>34.5</v>
      </c>
      <c r="J205" s="10">
        <v>1.911</v>
      </c>
      <c r="K205" s="10">
        <f t="shared" ca="1" si="54"/>
        <v>7.8878187098842478E-2</v>
      </c>
      <c r="L205" s="7">
        <v>0.18390000000000001</v>
      </c>
      <c r="M205" s="7">
        <f t="shared" ca="1" si="55"/>
        <v>7.5556392184910467E-3</v>
      </c>
      <c r="N205" s="7">
        <v>0.98238000000000003</v>
      </c>
      <c r="O205" s="8">
        <v>5.4377380000000004</v>
      </c>
      <c r="P205" s="8">
        <f t="shared" ca="1" si="56"/>
        <v>0.22341268534221062</v>
      </c>
      <c r="Q205" s="9">
        <v>7.5740000000000002E-2</v>
      </c>
      <c r="R205" s="9">
        <f t="shared" ca="1" si="57"/>
        <v>1.6048423723219675E-3</v>
      </c>
      <c r="S205" s="8">
        <f t="shared" si="58"/>
        <v>0.52311966705291468</v>
      </c>
      <c r="T205" s="11">
        <v>7.5800000000000006E-2</v>
      </c>
      <c r="U205" s="11">
        <f t="shared" ca="1" si="59"/>
        <v>3.0096936721201377E-3</v>
      </c>
      <c r="V205" s="6" t="e">
        <f ca="1">IF(agePb6U8(1/O205)&lt;1400,age7corr(1/O205,Q205,$W$2),agePb76(Q205))</f>
        <v>#NAME?</v>
      </c>
      <c r="W205" s="6" t="e">
        <f ca="1">IF(agePb6U8(1/O205)&lt;1400,ageer7corr(V205,1/O205,P205/O205*(1/O205),Q205,R205,$W$2,0.05),ageerPb76(Q205,R205))</f>
        <v>#NAME?</v>
      </c>
      <c r="X205" s="4" t="e">
        <f ca="1">agePb6U8(L205)/agePb7u5(J205)</f>
        <v>#NAME?</v>
      </c>
      <c r="Z205" s="1">
        <v>1.911</v>
      </c>
      <c r="AA205" s="1">
        <v>6.9000000000000006E-2</v>
      </c>
      <c r="AB205" s="1">
        <v>0.18390000000000001</v>
      </c>
      <c r="AC205" s="1">
        <v>6.6E-3</v>
      </c>
      <c r="AD205" s="1">
        <v>0.98238000000000003</v>
      </c>
      <c r="AE205" s="1">
        <v>5.4377380000000004</v>
      </c>
      <c r="AF205" s="1">
        <v>0.19515540000000001</v>
      </c>
      <c r="AG205" s="1">
        <v>7.5740000000000002E-2</v>
      </c>
      <c r="AH205" s="1">
        <v>5.2999999999999998E-4</v>
      </c>
      <c r="AI205" s="1">
        <v>0.11811000000000001</v>
      </c>
      <c r="AJ205" s="1">
        <v>7.5800000000000006E-2</v>
      </c>
      <c r="AK205" s="1">
        <v>2.5999999999999999E-3</v>
      </c>
      <c r="AL205" s="1">
        <v>8.234</v>
      </c>
      <c r="AM205" s="1">
        <v>4.5999999999999999E-2</v>
      </c>
      <c r="AN205" s="1">
        <v>1084</v>
      </c>
      <c r="AO205" s="1">
        <v>24</v>
      </c>
      <c r="AP205" s="1">
        <v>1088</v>
      </c>
      <c r="AQ205" s="1">
        <v>36</v>
      </c>
      <c r="AR205" s="1">
        <v>1477</v>
      </c>
      <c r="AS205" s="1">
        <v>48</v>
      </c>
      <c r="AT205" s="1">
        <v>1088</v>
      </c>
      <c r="AU205" s="1">
        <v>14</v>
      </c>
      <c r="AV205" s="1">
        <v>24.54</v>
      </c>
      <c r="AW205" s="1">
        <v>0.43</v>
      </c>
      <c r="AX205" s="1">
        <v>2.7210000000000001</v>
      </c>
      <c r="AY205" s="1">
        <v>8.3999999999999991E-2</v>
      </c>
      <c r="AZ205" s="1">
        <v>16686.270000000004</v>
      </c>
      <c r="BA205" s="1">
        <v>428.49</v>
      </c>
      <c r="BB205" s="1">
        <v>12773.970000000001</v>
      </c>
      <c r="BC205" s="1">
        <v>366.39</v>
      </c>
      <c r="BD205" s="1">
        <v>171644.4</v>
      </c>
      <c r="BE205" s="1">
        <v>4160.7</v>
      </c>
      <c r="BF205" s="1">
        <v>-4.968</v>
      </c>
      <c r="BG205" s="1">
        <v>3.9123000000000001</v>
      </c>
      <c r="BH205" s="1">
        <f t="shared" si="60"/>
        <v>-34550</v>
      </c>
      <c r="BI205" s="1">
        <f t="shared" si="61"/>
        <v>-27221.011595192875</v>
      </c>
    </row>
    <row r="206" spans="1:61" x14ac:dyDescent="0.2">
      <c r="A206" t="s">
        <v>656</v>
      </c>
      <c r="B206" t="s">
        <v>38</v>
      </c>
      <c r="C206" t="s">
        <v>657</v>
      </c>
      <c r="D206" t="s">
        <v>658</v>
      </c>
      <c r="E206">
        <v>83435</v>
      </c>
      <c r="F206">
        <v>54851</v>
      </c>
      <c r="G206" t="s">
        <v>658</v>
      </c>
      <c r="H206" s="1">
        <v>122.1</v>
      </c>
      <c r="I206" s="1">
        <v>56.45</v>
      </c>
      <c r="J206" s="10">
        <v>3.25</v>
      </c>
      <c r="K206" s="10">
        <f t="shared" ca="1" si="54"/>
        <v>0.17269916039170544</v>
      </c>
      <c r="L206" s="7">
        <v>0.252</v>
      </c>
      <c r="M206" s="7">
        <f t="shared" ca="1" si="55"/>
        <v>1.3015436988437998E-2</v>
      </c>
      <c r="N206" s="7">
        <v>0.98965999999999998</v>
      </c>
      <c r="O206" s="8">
        <v>3.9682539999999999</v>
      </c>
      <c r="P206" s="8">
        <f t="shared" ca="1" si="56"/>
        <v>0.20495462469448303</v>
      </c>
      <c r="Q206" s="9">
        <v>9.3560000000000004E-2</v>
      </c>
      <c r="R206" s="9">
        <f t="shared" ca="1" si="57"/>
        <v>1.9943644200596843E-3</v>
      </c>
      <c r="S206" s="8">
        <f t="shared" si="58"/>
        <v>0.52645088455513356</v>
      </c>
      <c r="T206" s="11">
        <v>0.1</v>
      </c>
      <c r="U206" s="11">
        <f t="shared" ca="1" si="59"/>
        <v>4.5617978911828179E-3</v>
      </c>
      <c r="V206" s="6" t="e">
        <f ca="1">IF(agePb6U8(1/O206)&lt;1400,age7corr(1/O206,Q206,$W$2),agePb76(Q206))</f>
        <v>#NAME?</v>
      </c>
      <c r="W206" s="6" t="e">
        <f ca="1">IF(agePb6U8(1/O206)&lt;1400,ageer7corr(V206,1/O206,P206/O206*(1/O206),Q206,R206,$W$2,0.05),ageerPb76(Q206,R206))</f>
        <v>#NAME?</v>
      </c>
      <c r="X206" s="4" t="e">
        <f ca="1">agePb6U8(L206)/agePb7u5(J206)</f>
        <v>#NAME?</v>
      </c>
      <c r="Z206" s="1">
        <v>3.25</v>
      </c>
      <c r="AA206" s="1">
        <v>0.16</v>
      </c>
      <c r="AB206" s="1">
        <v>0.252</v>
      </c>
      <c r="AC206" s="1">
        <v>1.2E-2</v>
      </c>
      <c r="AD206" s="1">
        <v>0.98965999999999998</v>
      </c>
      <c r="AE206" s="1">
        <v>3.9682539999999999</v>
      </c>
      <c r="AF206" s="1">
        <v>0.18896450000000001</v>
      </c>
      <c r="AG206" s="1">
        <v>9.3560000000000004E-2</v>
      </c>
      <c r="AH206" s="1">
        <v>6.8999999999999997E-4</v>
      </c>
      <c r="AI206" s="1">
        <v>-0.33600999999999998</v>
      </c>
      <c r="AJ206" s="1">
        <v>0.1</v>
      </c>
      <c r="AK206" s="1">
        <v>4.1000000000000003E-3</v>
      </c>
      <c r="AL206" s="1">
        <v>5.8179999999999996</v>
      </c>
      <c r="AM206" s="1">
        <v>4.1000000000000002E-2</v>
      </c>
      <c r="AN206" s="1">
        <v>1465</v>
      </c>
      <c r="AO206" s="1">
        <v>37</v>
      </c>
      <c r="AP206" s="1">
        <v>1446</v>
      </c>
      <c r="AQ206" s="1">
        <v>60</v>
      </c>
      <c r="AR206" s="1">
        <v>1926</v>
      </c>
      <c r="AS206" s="1">
        <v>75</v>
      </c>
      <c r="AT206" s="1">
        <v>1499</v>
      </c>
      <c r="AU206" s="1">
        <v>14</v>
      </c>
      <c r="AV206" s="1">
        <v>26.44</v>
      </c>
      <c r="AW206" s="1">
        <v>0.76999999999999991</v>
      </c>
      <c r="AX206" s="1">
        <v>4.4470000000000001</v>
      </c>
      <c r="AY206" s="1">
        <v>7.2999999999999995E-2</v>
      </c>
      <c r="AZ206" s="1">
        <v>36080.100000000006</v>
      </c>
      <c r="BA206" s="1">
        <v>1428.3</v>
      </c>
      <c r="BB206" s="1">
        <v>24343.200000000001</v>
      </c>
      <c r="BC206" s="1">
        <v>931.50000000000011</v>
      </c>
      <c r="BD206" s="1">
        <v>262061.99999999997</v>
      </c>
      <c r="BE206" s="1">
        <v>9315</v>
      </c>
      <c r="BF206" s="1">
        <v>18.63</v>
      </c>
      <c r="BG206" s="1">
        <v>8.0729999999999986</v>
      </c>
      <c r="BH206" s="1">
        <f t="shared" si="60"/>
        <v>14066.666666666666</v>
      </c>
      <c r="BI206" s="1">
        <f t="shared" si="61"/>
        <v>6116.0279210337312</v>
      </c>
    </row>
    <row r="207" spans="1:61" x14ac:dyDescent="0.2">
      <c r="A207" t="s">
        <v>665</v>
      </c>
      <c r="B207" t="s">
        <v>38</v>
      </c>
      <c r="C207" t="s">
        <v>666</v>
      </c>
      <c r="D207" t="s">
        <v>667</v>
      </c>
      <c r="E207">
        <v>83397</v>
      </c>
      <c r="F207">
        <v>55258</v>
      </c>
      <c r="G207" t="s">
        <v>667</v>
      </c>
      <c r="H207" s="1">
        <v>212</v>
      </c>
      <c r="I207" s="1">
        <v>77.2</v>
      </c>
      <c r="J207" s="10">
        <v>1.968</v>
      </c>
      <c r="K207" s="10">
        <f t="shared" ca="1" si="54"/>
        <v>7.4284652519884614E-2</v>
      </c>
      <c r="L207" s="7">
        <v>0.18</v>
      </c>
      <c r="M207" s="7">
        <f t="shared" ca="1" si="55"/>
        <v>6.9115844782509893E-3</v>
      </c>
      <c r="N207" s="7">
        <v>0.97265999999999997</v>
      </c>
      <c r="O207" s="8">
        <v>5.5555560000000002</v>
      </c>
      <c r="P207" s="8">
        <f t="shared" ca="1" si="56"/>
        <v>0.21332054272642004</v>
      </c>
      <c r="Q207" s="9">
        <v>7.9479999999999995E-2</v>
      </c>
      <c r="R207" s="9">
        <f t="shared" ca="1" si="57"/>
        <v>1.757648474524983E-3</v>
      </c>
      <c r="S207" s="8">
        <f t="shared" si="58"/>
        <v>0.40110070658455832</v>
      </c>
      <c r="T207" s="11">
        <v>8.4099999999999994E-2</v>
      </c>
      <c r="U207" s="11">
        <f t="shared" ca="1" si="59"/>
        <v>2.8494076577422192E-3</v>
      </c>
      <c r="V207" s="6" t="e">
        <f ca="1">IF(agePb6U8(1/O207)&lt;1400,age7corr(1/O207,Q207,$W$2),agePb76(Q207))</f>
        <v>#NAME?</v>
      </c>
      <c r="W207" s="6" t="e">
        <f ca="1">IF(agePb6U8(1/O207)&lt;1400,ageer7corr(V207,1/O207,P207/O207*(1/O207),Q207,R207,$W$2,0.05),ageerPb76(Q207,R207))</f>
        <v>#NAME?</v>
      </c>
      <c r="X207" s="4" t="e">
        <f ca="1">agePb6U8(L207)/agePb7u5(J207)</f>
        <v>#NAME?</v>
      </c>
      <c r="Z207" s="1">
        <v>1.968</v>
      </c>
      <c r="AA207" s="1">
        <v>6.3E-2</v>
      </c>
      <c r="AB207" s="1">
        <v>0.18</v>
      </c>
      <c r="AC207" s="1">
        <v>5.8999999999999999E-3</v>
      </c>
      <c r="AD207" s="1">
        <v>0.97265999999999997</v>
      </c>
      <c r="AE207" s="1">
        <v>5.5555560000000002</v>
      </c>
      <c r="AF207" s="1">
        <v>0.18209880000000001</v>
      </c>
      <c r="AG207" s="1">
        <v>7.9479999999999995E-2</v>
      </c>
      <c r="AH207" s="1">
        <v>7.5000000000000002E-4</v>
      </c>
      <c r="AI207" s="1">
        <v>0.1789</v>
      </c>
      <c r="AJ207" s="1">
        <v>8.4099999999999994E-2</v>
      </c>
      <c r="AK207" s="1">
        <v>2.3E-3</v>
      </c>
      <c r="AL207" s="1">
        <v>6.21</v>
      </c>
      <c r="AM207" s="1">
        <v>0.62</v>
      </c>
      <c r="AN207" s="1">
        <v>1103</v>
      </c>
      <c r="AO207" s="1">
        <v>22</v>
      </c>
      <c r="AP207" s="1">
        <v>1067</v>
      </c>
      <c r="AQ207" s="1">
        <v>32</v>
      </c>
      <c r="AR207" s="1">
        <v>1631</v>
      </c>
      <c r="AS207" s="1">
        <v>43</v>
      </c>
      <c r="AT207" s="1">
        <v>1184</v>
      </c>
      <c r="AU207" s="1">
        <v>19</v>
      </c>
      <c r="AV207" s="1">
        <v>45.900000000000006</v>
      </c>
      <c r="AW207" s="1">
        <v>4</v>
      </c>
      <c r="AX207" s="1">
        <v>6.08</v>
      </c>
      <c r="AY207" s="1">
        <v>0.32</v>
      </c>
      <c r="AZ207" s="1">
        <v>41544.9</v>
      </c>
      <c r="BA207" s="1">
        <v>1552.5</v>
      </c>
      <c r="BB207" s="1">
        <v>24777.9</v>
      </c>
      <c r="BC207" s="1">
        <v>1800.9</v>
      </c>
      <c r="BD207" s="1">
        <v>313605</v>
      </c>
      <c r="BE207" s="1">
        <v>20493</v>
      </c>
      <c r="BF207" s="1">
        <v>-12.419999999999998</v>
      </c>
      <c r="BG207" s="1">
        <v>6.2099999999999991</v>
      </c>
      <c r="BH207" s="1">
        <f t="shared" si="60"/>
        <v>-25250.000000000004</v>
      </c>
      <c r="BI207" s="1">
        <f t="shared" si="61"/>
        <v>-12732.365255521067</v>
      </c>
    </row>
    <row r="208" spans="1:61" x14ac:dyDescent="0.2">
      <c r="A208" t="s">
        <v>668</v>
      </c>
      <c r="B208" t="s">
        <v>38</v>
      </c>
      <c r="C208" t="s">
        <v>669</v>
      </c>
      <c r="D208" t="s">
        <v>670</v>
      </c>
      <c r="E208">
        <v>83430</v>
      </c>
      <c r="F208">
        <v>55469</v>
      </c>
      <c r="G208" t="s">
        <v>670</v>
      </c>
      <c r="H208" s="1">
        <v>127.4</v>
      </c>
      <c r="I208" s="1">
        <v>65.099999999999994</v>
      </c>
      <c r="J208" s="10">
        <v>2.84</v>
      </c>
      <c r="K208" s="10">
        <f t="shared" ca="1" si="54"/>
        <v>0.12379919224292217</v>
      </c>
      <c r="L208" s="7">
        <v>0.23300000000000001</v>
      </c>
      <c r="M208" s="7">
        <f t="shared" ca="1" si="55"/>
        <v>1.049169195125362E-2</v>
      </c>
      <c r="N208" s="7">
        <v>0.98926000000000003</v>
      </c>
      <c r="O208" s="8">
        <v>4.2918450000000004</v>
      </c>
      <c r="P208" s="8">
        <f t="shared" ca="1" si="56"/>
        <v>0.19325629492559876</v>
      </c>
      <c r="Q208" s="9">
        <v>8.9260000000000006E-2</v>
      </c>
      <c r="R208" s="9">
        <f t="shared" ca="1" si="57"/>
        <v>1.8486046197064424E-3</v>
      </c>
      <c r="S208" s="8">
        <f t="shared" si="58"/>
        <v>0.4801090575116348</v>
      </c>
      <c r="T208" s="11">
        <v>9.9500000000000005E-2</v>
      </c>
      <c r="U208" s="11">
        <f t="shared" ca="1" si="59"/>
        <v>4.3783672755948648E-3</v>
      </c>
      <c r="V208" s="6" t="e">
        <f ca="1">IF(agePb6U8(1/O208)&lt;1400,age7corr(1/O208,Q208,$W$2),agePb76(Q208))</f>
        <v>#NAME?</v>
      </c>
      <c r="W208" s="6" t="e">
        <f ca="1">IF(agePb6U8(1/O208)&lt;1400,ageer7corr(V208,1/O208,P208/O208*(1/O208),Q208,R208,$W$2,0.05),ageerPb76(Q208,R208))</f>
        <v>#NAME?</v>
      </c>
      <c r="X208" s="4" t="e">
        <f ca="1">agePb6U8(L208)/agePb7u5(J208)</f>
        <v>#NAME?</v>
      </c>
      <c r="Z208" s="1">
        <v>2.84</v>
      </c>
      <c r="AA208" s="1">
        <v>0.11</v>
      </c>
      <c r="AB208" s="1">
        <v>0.23300000000000001</v>
      </c>
      <c r="AC208" s="1">
        <v>9.4000000000000004E-3</v>
      </c>
      <c r="AD208" s="1">
        <v>0.98926000000000003</v>
      </c>
      <c r="AE208" s="1">
        <v>4.2918450000000004</v>
      </c>
      <c r="AF208" s="1">
        <v>0.17314740000000001</v>
      </c>
      <c r="AG208" s="1">
        <v>8.9260000000000006E-2</v>
      </c>
      <c r="AH208" s="1">
        <v>4.8000000000000001E-4</v>
      </c>
      <c r="AI208" s="1">
        <v>-0.313</v>
      </c>
      <c r="AJ208" s="1">
        <v>9.9500000000000005E-2</v>
      </c>
      <c r="AK208" s="1">
        <v>3.8999999999999998E-3</v>
      </c>
      <c r="AL208" s="1">
        <v>4.7460000000000004</v>
      </c>
      <c r="AM208" s="1">
        <v>2.3E-2</v>
      </c>
      <c r="AN208" s="1">
        <v>1363</v>
      </c>
      <c r="AO208" s="1">
        <v>29</v>
      </c>
      <c r="AP208" s="1">
        <v>1349</v>
      </c>
      <c r="AQ208" s="1">
        <v>49</v>
      </c>
      <c r="AR208" s="1">
        <v>1916</v>
      </c>
      <c r="AS208" s="1">
        <v>71</v>
      </c>
      <c r="AT208" s="1">
        <v>1410</v>
      </c>
      <c r="AU208" s="1">
        <v>10</v>
      </c>
      <c r="AV208" s="1">
        <v>27.59</v>
      </c>
      <c r="AW208" s="1">
        <v>0.62</v>
      </c>
      <c r="AX208" s="1">
        <v>5.13</v>
      </c>
      <c r="AY208" s="1">
        <v>0.12999999999999998</v>
      </c>
      <c r="AZ208" s="1">
        <v>42414.3</v>
      </c>
      <c r="BA208" s="1">
        <v>993.6</v>
      </c>
      <c r="BB208" s="1">
        <v>22182.120000000003</v>
      </c>
      <c r="BC208" s="1">
        <v>459.54</v>
      </c>
      <c r="BD208" s="1">
        <v>251380.8</v>
      </c>
      <c r="BE208" s="1">
        <v>5216.3999999999996</v>
      </c>
      <c r="BF208" s="1">
        <v>0.12420000000000002</v>
      </c>
      <c r="BG208" s="1">
        <v>7.4519999999999991</v>
      </c>
      <c r="BH208" s="1">
        <f t="shared" si="60"/>
        <v>2023999.9999999995</v>
      </c>
      <c r="BI208" s="1">
        <f t="shared" si="61"/>
        <v>121440007.26284558</v>
      </c>
    </row>
    <row r="209" spans="1:61" x14ac:dyDescent="0.2">
      <c r="A209" t="s">
        <v>416</v>
      </c>
      <c r="B209" t="s">
        <v>38</v>
      </c>
      <c r="C209" t="s">
        <v>417</v>
      </c>
      <c r="D209" t="s">
        <v>418</v>
      </c>
      <c r="E209">
        <v>83803</v>
      </c>
      <c r="F209">
        <v>49148</v>
      </c>
      <c r="G209" t="s">
        <v>418</v>
      </c>
      <c r="H209" s="1">
        <v>106.7</v>
      </c>
      <c r="I209" s="1">
        <v>57.9</v>
      </c>
      <c r="J209" s="10">
        <v>2.234</v>
      </c>
      <c r="K209" s="10">
        <f t="shared" ca="1" si="54"/>
        <v>7.4808438026735993E-2</v>
      </c>
      <c r="L209" s="7">
        <v>0.20069999999999999</v>
      </c>
      <c r="M209" s="7">
        <f t="shared" ca="1" si="55"/>
        <v>6.8900069666147645E-3</v>
      </c>
      <c r="N209" s="7">
        <v>0.98463999999999996</v>
      </c>
      <c r="O209" s="8">
        <v>4.9825609999999996</v>
      </c>
      <c r="P209" s="8">
        <f t="shared" ca="1" si="56"/>
        <v>0.17105070615901707</v>
      </c>
      <c r="Q209" s="9">
        <v>8.0729999999999996E-2</v>
      </c>
      <c r="R209" s="9">
        <f t="shared" ca="1" si="57"/>
        <v>1.6542470069490832E-3</v>
      </c>
      <c r="S209" s="8">
        <f t="shared" si="58"/>
        <v>0.49249269049002886</v>
      </c>
      <c r="T209" s="11">
        <v>6.93E-2</v>
      </c>
      <c r="U209" s="11">
        <f t="shared" ca="1" si="59"/>
        <v>2.0423016427550556E-3</v>
      </c>
      <c r="V209" s="6" t="e">
        <f ca="1">IF(agePb6U8(1/O209)&lt;1400,age7corr(1/O209,Q209,$W$2),agePb76(Q209))</f>
        <v>#NAME?</v>
      </c>
      <c r="W209" s="6" t="e">
        <f ca="1">IF(agePb6U8(1/O209)&lt;1400,ageer7corr(V209,1/O209,P209/O209*(1/O209),Q209,R209,$W$2,0.05),ageerPb76(Q209,R209))</f>
        <v>#NAME?</v>
      </c>
      <c r="X209" s="4" t="e">
        <f ca="1">agePb6U8(L209)/agePb7u5(J209)</f>
        <v>#NAME?</v>
      </c>
      <c r="Z209" s="1">
        <v>2.234</v>
      </c>
      <c r="AA209" s="1">
        <v>0.06</v>
      </c>
      <c r="AB209" s="1">
        <v>0.20069999999999999</v>
      </c>
      <c r="AC209" s="1">
        <v>5.5999999999999999E-3</v>
      </c>
      <c r="AD209" s="1">
        <v>0.98463999999999996</v>
      </c>
      <c r="AE209" s="1">
        <v>4.9825609999999996</v>
      </c>
      <c r="AF209" s="1">
        <v>0.13902510000000001</v>
      </c>
      <c r="AG209" s="1">
        <v>8.0729999999999996E-2</v>
      </c>
      <c r="AH209" s="1">
        <v>3.6000000000000002E-4</v>
      </c>
      <c r="AI209" s="1">
        <v>0.12705</v>
      </c>
      <c r="AJ209" s="1">
        <v>6.93E-2</v>
      </c>
      <c r="AK209" s="1">
        <v>1.5E-3</v>
      </c>
      <c r="AL209" s="1">
        <v>5.64</v>
      </c>
      <c r="AM209" s="1">
        <v>0.12</v>
      </c>
      <c r="AN209" s="1">
        <v>1191</v>
      </c>
      <c r="AO209" s="1">
        <v>19</v>
      </c>
      <c r="AP209" s="1">
        <v>1179</v>
      </c>
      <c r="AQ209" s="1">
        <v>30</v>
      </c>
      <c r="AR209" s="1">
        <v>1354</v>
      </c>
      <c r="AS209" s="1">
        <v>29</v>
      </c>
      <c r="AT209" s="1">
        <v>1214.7</v>
      </c>
      <c r="AU209" s="1">
        <v>8.6999999999999993</v>
      </c>
      <c r="AV209" s="1">
        <v>23.310000000000002</v>
      </c>
      <c r="AW209" s="1">
        <v>0.9</v>
      </c>
      <c r="AX209" s="1">
        <v>4.58</v>
      </c>
      <c r="AY209" s="1">
        <v>0.17</v>
      </c>
      <c r="AZ209" s="1">
        <v>25895.699999999997</v>
      </c>
      <c r="BA209" s="1">
        <v>1490.4</v>
      </c>
      <c r="BB209" s="1">
        <v>14593.5</v>
      </c>
      <c r="BC209" s="1">
        <v>552.68999999999994</v>
      </c>
      <c r="BD209" s="1">
        <v>181332</v>
      </c>
      <c r="BE209" s="1">
        <v>6831</v>
      </c>
      <c r="BF209" s="1">
        <v>-6.2099999999999991</v>
      </c>
      <c r="BG209" s="1">
        <v>8.6940000000000008</v>
      </c>
      <c r="BH209" s="1">
        <f t="shared" si="60"/>
        <v>-29200.000000000004</v>
      </c>
      <c r="BI209" s="1">
        <f t="shared" si="61"/>
        <v>-40894.796735037104</v>
      </c>
    </row>
    <row r="210" spans="1:61" s="23" customFormat="1" x14ac:dyDescent="0.2">
      <c r="A210" s="23" t="s">
        <v>671</v>
      </c>
      <c r="B210" s="23" t="s">
        <v>38</v>
      </c>
      <c r="C210" s="23" t="s">
        <v>672</v>
      </c>
      <c r="D210" s="23" t="s">
        <v>673</v>
      </c>
      <c r="E210" s="23">
        <v>82683</v>
      </c>
      <c r="F210" s="23">
        <v>47641</v>
      </c>
      <c r="G210" s="23" t="s">
        <v>673</v>
      </c>
      <c r="H210" s="24">
        <v>308</v>
      </c>
      <c r="I210" s="24">
        <v>102.3</v>
      </c>
      <c r="J210" s="25">
        <v>2.6880000000000002</v>
      </c>
      <c r="K210" s="25">
        <f t="shared" ca="1" si="54"/>
        <v>9.888952219522551E-2</v>
      </c>
      <c r="L210" s="26">
        <v>0.19209999999999999</v>
      </c>
      <c r="M210" s="26">
        <f t="shared" ca="1" si="55"/>
        <v>6.7090210910385429E-3</v>
      </c>
      <c r="N210" s="26">
        <v>0.93852000000000002</v>
      </c>
      <c r="O210" s="26">
        <v>5.205622</v>
      </c>
      <c r="P210" s="26">
        <f t="shared" ca="1" si="56"/>
        <v>0.18180445074308166</v>
      </c>
      <c r="Q210" s="25">
        <v>0.1017</v>
      </c>
      <c r="R210" s="25">
        <f t="shared" ca="1" si="57"/>
        <v>2.4139502894633107E-3</v>
      </c>
      <c r="S210" s="26">
        <f t="shared" si="58"/>
        <v>0.51216145447250383</v>
      </c>
      <c r="T210" s="25">
        <v>9.6299999999999997E-2</v>
      </c>
      <c r="U210" s="25">
        <f t="shared" ca="1" si="59"/>
        <v>3.6495857299151087E-3</v>
      </c>
      <c r="V210" s="24" t="e">
        <f ca="1">IF(agePb6U8(1/O210)&lt;1400,age7corr(1/O210,Q210,$W$2),agePb76(Q210))</f>
        <v>#NAME?</v>
      </c>
      <c r="W210" s="24" t="e">
        <f ca="1">IF(agePb6U8(1/O210)&lt;1400,ageer7corr(V210,1/O210,P210/O210*(1/O210),Q210,R210,$W$2,0.05),ageerPb76(Q210,R210))</f>
        <v>#NAME?</v>
      </c>
      <c r="X210" s="26" t="e">
        <f ca="1">agePb6U8(L210)/agePb7u5(J210)</f>
        <v>#NAME?</v>
      </c>
      <c r="Y210" s="24"/>
      <c r="Z210" s="24">
        <v>2.6880000000000002</v>
      </c>
      <c r="AA210" s="24">
        <v>8.3000000000000004E-2</v>
      </c>
      <c r="AB210" s="24">
        <v>0.19209999999999999</v>
      </c>
      <c r="AC210" s="24">
        <v>5.4999999999999997E-3</v>
      </c>
      <c r="AD210" s="24">
        <v>0.93852000000000002</v>
      </c>
      <c r="AE210" s="24">
        <v>5.205622</v>
      </c>
      <c r="AF210" s="24">
        <v>0.1490418</v>
      </c>
      <c r="AG210" s="24">
        <v>0.1017</v>
      </c>
      <c r="AH210" s="24">
        <v>1.2999999999999999E-3</v>
      </c>
      <c r="AI210" s="24">
        <v>-5.6931000000000002E-2</v>
      </c>
      <c r="AJ210" s="24">
        <v>9.6299999999999997E-2</v>
      </c>
      <c r="AK210" s="24">
        <v>3.0999999999999999E-3</v>
      </c>
      <c r="AL210" s="24">
        <v>6.27</v>
      </c>
      <c r="AM210" s="24">
        <v>0.17</v>
      </c>
      <c r="AN210" s="24">
        <v>1324</v>
      </c>
      <c r="AO210" s="24">
        <v>23</v>
      </c>
      <c r="AP210" s="24">
        <v>1133</v>
      </c>
      <c r="AQ210" s="24">
        <v>30</v>
      </c>
      <c r="AR210" s="24">
        <v>1858</v>
      </c>
      <c r="AS210" s="24">
        <v>58</v>
      </c>
      <c r="AT210" s="24">
        <v>1654</v>
      </c>
      <c r="AU210" s="24">
        <v>24</v>
      </c>
      <c r="AV210" s="24">
        <v>66.699999999999989</v>
      </c>
      <c r="AW210" s="24">
        <v>3.1</v>
      </c>
      <c r="AX210" s="24">
        <v>8.0599999999999987</v>
      </c>
      <c r="AY210" s="24">
        <v>0.27999999999999997</v>
      </c>
      <c r="AZ210" s="24">
        <v>64087.200000000004</v>
      </c>
      <c r="BA210" s="24">
        <v>1366.1999999999998</v>
      </c>
      <c r="BB210" s="24">
        <v>50611.5</v>
      </c>
      <c r="BC210" s="24">
        <v>1552.5</v>
      </c>
      <c r="BD210" s="24">
        <v>502389</v>
      </c>
      <c r="BE210" s="24">
        <v>19872</v>
      </c>
      <c r="BF210" s="24">
        <v>870.02099999999996</v>
      </c>
      <c r="BG210" s="24">
        <v>32.912999999999997</v>
      </c>
      <c r="BH210" s="24">
        <f t="shared" si="60"/>
        <v>577.44468236973592</v>
      </c>
      <c r="BI210" s="24">
        <f t="shared" si="61"/>
        <v>31.605360539112901</v>
      </c>
    </row>
    <row r="211" spans="1:61" x14ac:dyDescent="0.2">
      <c r="A211" t="s">
        <v>674</v>
      </c>
      <c r="B211" t="s">
        <v>38</v>
      </c>
      <c r="C211" t="s">
        <v>675</v>
      </c>
      <c r="D211" t="s">
        <v>676</v>
      </c>
      <c r="E211">
        <v>82741</v>
      </c>
      <c r="F211">
        <v>48035</v>
      </c>
      <c r="G211" t="s">
        <v>676</v>
      </c>
      <c r="H211" s="1">
        <v>300.3</v>
      </c>
      <c r="I211" s="1">
        <v>78.7</v>
      </c>
      <c r="J211" s="10">
        <v>2.069</v>
      </c>
      <c r="K211" s="10">
        <f t="shared" ca="1" si="54"/>
        <v>5.3556553287156181E-2</v>
      </c>
      <c r="L211" s="7">
        <v>0.187</v>
      </c>
      <c r="M211" s="7">
        <f t="shared" ca="1" si="55"/>
        <v>5.1911077815818846E-3</v>
      </c>
      <c r="N211" s="7">
        <v>0.98180999999999996</v>
      </c>
      <c r="O211" s="8">
        <v>5.347594</v>
      </c>
      <c r="P211" s="8">
        <f t="shared" ca="1" si="56"/>
        <v>0.14844883666915143</v>
      </c>
      <c r="Q211" s="9">
        <v>7.9920000000000005E-2</v>
      </c>
      <c r="R211" s="9">
        <f t="shared" ca="1" si="57"/>
        <v>1.6281838225458451E-3</v>
      </c>
      <c r="S211" s="8">
        <f t="shared" si="58"/>
        <v>0.40671575763075257</v>
      </c>
      <c r="T211" s="11">
        <v>5.9299999999999999E-2</v>
      </c>
      <c r="U211" s="11">
        <f t="shared" ca="1" si="59"/>
        <v>1.8348286023495491E-3</v>
      </c>
      <c r="V211" s="6" t="e">
        <f ca="1">IF(agePb6U8(1/O211)&lt;1400,age7corr(1/O211,Q211,$W$2),agePb76(Q211))</f>
        <v>#NAME?</v>
      </c>
      <c r="W211" s="6" t="e">
        <f ca="1">IF(agePb6U8(1/O211)&lt;1400,ageer7corr(V211,1/O211,P211/O211*(1/O211),Q211,R211,$W$2,0.05),ageerPb76(Q211,R211))</f>
        <v>#NAME?</v>
      </c>
      <c r="X211" s="4" t="e">
        <f ca="1">agePb6U8(L211)/agePb7u5(J211)</f>
        <v>#NAME?</v>
      </c>
      <c r="Z211" s="1">
        <v>2.069</v>
      </c>
      <c r="AA211" s="1">
        <v>3.4000000000000002E-2</v>
      </c>
      <c r="AB211" s="1">
        <v>0.187</v>
      </c>
      <c r="AC211" s="1">
        <v>3.5999999999999999E-3</v>
      </c>
      <c r="AD211" s="1">
        <v>0.98180999999999996</v>
      </c>
      <c r="AE211" s="1">
        <v>5.347594</v>
      </c>
      <c r="AF211" s="1">
        <v>0.10294830000000001</v>
      </c>
      <c r="AG211" s="1">
        <v>7.9920000000000005E-2</v>
      </c>
      <c r="AH211" s="1">
        <v>3.1E-4</v>
      </c>
      <c r="AI211" s="1">
        <v>0.39460000000000001</v>
      </c>
      <c r="AJ211" s="1">
        <v>5.9299999999999999E-2</v>
      </c>
      <c r="AK211" s="1">
        <v>1.4E-3</v>
      </c>
      <c r="AL211" s="1">
        <v>12.64</v>
      </c>
      <c r="AM211" s="1">
        <v>0.12</v>
      </c>
      <c r="AN211" s="1">
        <v>1138</v>
      </c>
      <c r="AO211" s="1">
        <v>11</v>
      </c>
      <c r="AP211" s="1">
        <v>1105</v>
      </c>
      <c r="AQ211" s="1">
        <v>19</v>
      </c>
      <c r="AR211" s="1">
        <v>1164</v>
      </c>
      <c r="AS211" s="1">
        <v>27</v>
      </c>
      <c r="AT211" s="1">
        <v>1194.8</v>
      </c>
      <c r="AU211" s="1">
        <v>7.7</v>
      </c>
      <c r="AV211" s="1">
        <v>65</v>
      </c>
      <c r="AW211" s="1">
        <v>1.3</v>
      </c>
      <c r="AX211" s="1">
        <v>6.2</v>
      </c>
      <c r="AY211" s="1">
        <v>0.12000000000000001</v>
      </c>
      <c r="AZ211" s="1">
        <v>29932.2</v>
      </c>
      <c r="BA211" s="1">
        <v>521.64</v>
      </c>
      <c r="BB211" s="1">
        <v>37607.760000000002</v>
      </c>
      <c r="BC211" s="1">
        <v>565.1099999999999</v>
      </c>
      <c r="BD211" s="1">
        <v>471960</v>
      </c>
      <c r="BE211" s="1">
        <v>6831</v>
      </c>
      <c r="BF211" s="1">
        <v>14.345099999999999</v>
      </c>
      <c r="BG211" s="1">
        <v>5.9615999999999998</v>
      </c>
      <c r="BH211" s="1">
        <f t="shared" si="60"/>
        <v>32900.432900432905</v>
      </c>
      <c r="BI211" s="1">
        <f t="shared" si="61"/>
        <v>13681.196881344898</v>
      </c>
    </row>
    <row r="212" spans="1:61" x14ac:dyDescent="0.2">
      <c r="A212" t="s">
        <v>677</v>
      </c>
      <c r="B212" t="s">
        <v>38</v>
      </c>
      <c r="C212" t="s">
        <v>678</v>
      </c>
      <c r="D212" t="s">
        <v>679</v>
      </c>
      <c r="E212">
        <v>82709</v>
      </c>
      <c r="F212">
        <v>48152</v>
      </c>
      <c r="G212" t="s">
        <v>679</v>
      </c>
      <c r="H212" s="1">
        <v>131.69999999999999</v>
      </c>
      <c r="I212" s="1">
        <v>72.28</v>
      </c>
      <c r="J212" s="10">
        <v>2.1240000000000001</v>
      </c>
      <c r="K212" s="10">
        <f t="shared" ca="1" si="54"/>
        <v>5.9737345103377339E-2</v>
      </c>
      <c r="L212" s="7">
        <v>0.19389999999999999</v>
      </c>
      <c r="M212" s="7">
        <f t="shared" ca="1" si="55"/>
        <v>5.3599332085390765E-3</v>
      </c>
      <c r="N212" s="7">
        <v>0.97460999999999998</v>
      </c>
      <c r="O212" s="8">
        <v>5.1572979999999999</v>
      </c>
      <c r="P212" s="8">
        <f t="shared" ca="1" si="56"/>
        <v>0.14256200126946592</v>
      </c>
      <c r="Q212" s="9">
        <v>7.961E-2</v>
      </c>
      <c r="R212" s="9">
        <f t="shared" ca="1" si="57"/>
        <v>1.6346255962757957E-3</v>
      </c>
      <c r="S212" s="8">
        <f t="shared" si="58"/>
        <v>0.38852223201203306</v>
      </c>
      <c r="T212" s="11">
        <v>6.3100000000000003E-2</v>
      </c>
      <c r="U212" s="11">
        <f t="shared" ca="1" si="59"/>
        <v>1.811806832970888E-3</v>
      </c>
      <c r="V212" s="6" t="e">
        <f ca="1">IF(agePb6U8(1/O212)&lt;1400,age7corr(1/O212,Q212,$W$2),agePb76(Q212))</f>
        <v>#NAME?</v>
      </c>
      <c r="W212" s="6" t="e">
        <f ca="1">IF(agePb6U8(1/O212)&lt;1400,ageer7corr(V212,1/O212,P212/O212*(1/O212),Q212,R212,$W$2,0.05),ageerPb76(Q212,R212))</f>
        <v>#NAME?</v>
      </c>
      <c r="X212" s="4" t="e">
        <f ca="1">agePb6U8(L212)/agePb7u5(J212)</f>
        <v>#NAME?</v>
      </c>
      <c r="Z212" s="1">
        <v>2.1240000000000001</v>
      </c>
      <c r="AA212" s="1">
        <v>4.2000000000000003E-2</v>
      </c>
      <c r="AB212" s="1">
        <v>0.19389999999999999</v>
      </c>
      <c r="AC212" s="1">
        <v>3.7000000000000002E-3</v>
      </c>
      <c r="AD212" s="1">
        <v>0.97460999999999998</v>
      </c>
      <c r="AE212" s="1">
        <v>5.1572979999999999</v>
      </c>
      <c r="AF212" s="1">
        <v>9.8411559999999995E-2</v>
      </c>
      <c r="AG212" s="1">
        <v>7.961E-2</v>
      </c>
      <c r="AH212" s="1">
        <v>3.6999999999999999E-4</v>
      </c>
      <c r="AI212" s="1">
        <v>-1.2903E-2</v>
      </c>
      <c r="AJ212" s="1">
        <v>6.3100000000000003E-2</v>
      </c>
      <c r="AK212" s="1">
        <v>1.2999999999999999E-3</v>
      </c>
      <c r="AL212" s="1">
        <v>5.827</v>
      </c>
      <c r="AM212" s="1">
        <v>4.4999999999999998E-2</v>
      </c>
      <c r="AN212" s="1">
        <v>1156</v>
      </c>
      <c r="AO212" s="1">
        <v>14</v>
      </c>
      <c r="AP212" s="1">
        <v>1142</v>
      </c>
      <c r="AQ212" s="1">
        <v>20</v>
      </c>
      <c r="AR212" s="1">
        <v>1237</v>
      </c>
      <c r="AS212" s="1">
        <v>25</v>
      </c>
      <c r="AT212" s="1">
        <v>1187.2</v>
      </c>
      <c r="AU212" s="1">
        <v>9.1</v>
      </c>
      <c r="AV212" s="1">
        <v>28.5</v>
      </c>
      <c r="AW212" s="1">
        <v>1.2</v>
      </c>
      <c r="AX212" s="1">
        <v>5.6920000000000002</v>
      </c>
      <c r="AY212" s="1">
        <v>7.2999999999999995E-2</v>
      </c>
      <c r="AZ212" s="1">
        <v>29187</v>
      </c>
      <c r="BA212" s="1">
        <v>683.09999999999991</v>
      </c>
      <c r="BB212" s="1">
        <v>16767</v>
      </c>
      <c r="BC212" s="1">
        <v>515.42999999999995</v>
      </c>
      <c r="BD212" s="1">
        <v>212319.9</v>
      </c>
      <c r="BE212" s="1">
        <v>6147.9</v>
      </c>
      <c r="BF212" s="1">
        <v>55.89</v>
      </c>
      <c r="BG212" s="1">
        <v>6.8310000000000004</v>
      </c>
      <c r="BH212" s="1">
        <f t="shared" si="60"/>
        <v>3798.8888888888887</v>
      </c>
      <c r="BI212" s="1">
        <f t="shared" si="61"/>
        <v>477.16089007058753</v>
      </c>
    </row>
    <row r="213" spans="1:61" x14ac:dyDescent="0.2">
      <c r="A213" t="s">
        <v>680</v>
      </c>
      <c r="B213" t="s">
        <v>38</v>
      </c>
      <c r="C213" t="s">
        <v>681</v>
      </c>
      <c r="D213" t="s">
        <v>682</v>
      </c>
      <c r="E213">
        <v>82755</v>
      </c>
      <c r="F213">
        <v>48387</v>
      </c>
      <c r="G213" t="s">
        <v>682</v>
      </c>
      <c r="H213" s="1">
        <v>82</v>
      </c>
      <c r="I213" s="1">
        <v>50.69</v>
      </c>
      <c r="J213" s="10">
        <v>2.048</v>
      </c>
      <c r="K213" s="10">
        <f t="shared" ca="1" si="54"/>
        <v>5.9386207152839786E-2</v>
      </c>
      <c r="L213" s="7">
        <v>0.18990000000000001</v>
      </c>
      <c r="M213" s="7">
        <f t="shared" ca="1" si="55"/>
        <v>5.3725975095850979E-3</v>
      </c>
      <c r="N213" s="7">
        <v>0.98226000000000002</v>
      </c>
      <c r="O213" s="8">
        <v>5.2659289999999999</v>
      </c>
      <c r="P213" s="8">
        <f t="shared" ca="1" si="56"/>
        <v>0.14898215721762254</v>
      </c>
      <c r="Q213" s="9">
        <v>7.8310000000000005E-2</v>
      </c>
      <c r="R213" s="9">
        <f t="shared" ca="1" si="57"/>
        <v>1.6116396743689329E-3</v>
      </c>
      <c r="S213" s="8">
        <f t="shared" si="58"/>
        <v>0.37637654100453871</v>
      </c>
      <c r="T213" s="11">
        <v>5.9700000000000003E-2</v>
      </c>
      <c r="U213" s="11">
        <f t="shared" ca="1" si="59"/>
        <v>1.8400097825826906E-3</v>
      </c>
      <c r="V213" s="6" t="e">
        <f ca="1">IF(agePb6U8(1/O213)&lt;1400,age7corr(1/O213,Q213,$W$2),agePb76(Q213))</f>
        <v>#NAME?</v>
      </c>
      <c r="W213" s="6" t="e">
        <f ca="1">IF(agePb6U8(1/O213)&lt;1400,ageer7corr(V213,1/O213,P213/O213*(1/O213),Q213,R213,$W$2,0.05),ageerPb76(Q213,R213))</f>
        <v>#NAME?</v>
      </c>
      <c r="X213" s="4" t="e">
        <f ca="1">agePb6U8(L213)/agePb7u5(J213)</f>
        <v>#NAME?</v>
      </c>
      <c r="Z213" s="1">
        <v>2.048</v>
      </c>
      <c r="AA213" s="1">
        <v>4.2999999999999997E-2</v>
      </c>
      <c r="AB213" s="1">
        <v>0.18990000000000001</v>
      </c>
      <c r="AC213" s="1">
        <v>3.8E-3</v>
      </c>
      <c r="AD213" s="1">
        <v>0.98226000000000002</v>
      </c>
      <c r="AE213" s="1">
        <v>5.2659289999999999</v>
      </c>
      <c r="AF213" s="1">
        <v>0.105374</v>
      </c>
      <c r="AG213" s="1">
        <v>7.8310000000000005E-2</v>
      </c>
      <c r="AH213" s="1">
        <v>3.8000000000000002E-4</v>
      </c>
      <c r="AI213" s="1">
        <v>9.5291000000000001E-2</v>
      </c>
      <c r="AJ213" s="1">
        <v>5.9700000000000003E-2</v>
      </c>
      <c r="AK213" s="1">
        <v>1.4E-3</v>
      </c>
      <c r="AL213" s="1">
        <v>5.3970000000000002</v>
      </c>
      <c r="AM213" s="1">
        <v>2.1999999999999999E-2</v>
      </c>
      <c r="AN213" s="1">
        <v>1131</v>
      </c>
      <c r="AO213" s="1">
        <v>14</v>
      </c>
      <c r="AP213" s="1">
        <v>1121</v>
      </c>
      <c r="AQ213" s="1">
        <v>21</v>
      </c>
      <c r="AR213" s="1">
        <v>1173</v>
      </c>
      <c r="AS213" s="1">
        <v>27</v>
      </c>
      <c r="AT213" s="1">
        <v>1154.5999999999999</v>
      </c>
      <c r="AU213" s="1">
        <v>9.6999999999999993</v>
      </c>
      <c r="AV213" s="1">
        <v>17.760000000000002</v>
      </c>
      <c r="AW213" s="1">
        <v>0.27999999999999997</v>
      </c>
      <c r="AX213" s="1">
        <v>3.992</v>
      </c>
      <c r="AY213" s="1">
        <v>6.7000000000000004E-2</v>
      </c>
      <c r="AZ213" s="1">
        <v>19555.29</v>
      </c>
      <c r="BA213" s="1">
        <v>242.19</v>
      </c>
      <c r="BB213" s="1">
        <v>10209.240000000002</v>
      </c>
      <c r="BC213" s="1">
        <v>149.04</v>
      </c>
      <c r="BD213" s="1">
        <v>131652</v>
      </c>
      <c r="BE213" s="1">
        <v>1552.5</v>
      </c>
      <c r="BF213" s="1">
        <v>2.9807999999999999</v>
      </c>
      <c r="BG213" s="1">
        <v>4.7816999999999998</v>
      </c>
      <c r="BH213" s="1">
        <f t="shared" si="60"/>
        <v>44166.666666666672</v>
      </c>
      <c r="BI213" s="1">
        <f t="shared" si="61"/>
        <v>70852.6087778082</v>
      </c>
    </row>
    <row r="214" spans="1:61" x14ac:dyDescent="0.2">
      <c r="A214" t="s">
        <v>683</v>
      </c>
      <c r="B214" t="s">
        <v>38</v>
      </c>
      <c r="C214" t="s">
        <v>684</v>
      </c>
      <c r="D214" t="s">
        <v>685</v>
      </c>
      <c r="E214">
        <v>82676</v>
      </c>
      <c r="F214">
        <v>48611</v>
      </c>
      <c r="G214" t="s">
        <v>685</v>
      </c>
      <c r="H214" s="1">
        <v>353</v>
      </c>
      <c r="I214" s="1">
        <v>174</v>
      </c>
      <c r="J214" s="10">
        <v>4.26</v>
      </c>
      <c r="K214" s="10">
        <f t="shared" ca="1" si="54"/>
        <v>0.31186381643275002</v>
      </c>
      <c r="L214" s="7">
        <v>0.27800000000000002</v>
      </c>
      <c r="M214" s="7">
        <f t="shared" ca="1" si="55"/>
        <v>2.075845851695159E-2</v>
      </c>
      <c r="N214" s="7">
        <v>0.99563000000000001</v>
      </c>
      <c r="O214" s="8">
        <v>3.5971220000000002</v>
      </c>
      <c r="P214" s="8">
        <f t="shared" ca="1" si="56"/>
        <v>0.26859971138255828</v>
      </c>
      <c r="Q214" s="9">
        <v>0.10968</v>
      </c>
      <c r="R214" s="9">
        <f t="shared" ca="1" si="57"/>
        <v>2.2614997147910498E-3</v>
      </c>
      <c r="S214" s="8">
        <f t="shared" si="58"/>
        <v>0.35422481819091522</v>
      </c>
      <c r="T214" s="11">
        <v>0.1024</v>
      </c>
      <c r="U214" s="11">
        <f t="shared" ca="1" si="59"/>
        <v>7.0060191264369239E-3</v>
      </c>
      <c r="V214" s="6" t="e">
        <f ca="1">IF(agePb6U8(1/O214)&lt;1400,age7corr(1/O214,Q214,$W$2),agePb76(Q214))</f>
        <v>#NAME?</v>
      </c>
      <c r="W214" s="6" t="e">
        <f ca="1">IF(agePb6U8(1/O214)&lt;1400,ageer7corr(V214,1/O214,P214/O214*(1/O214),Q214,R214,$W$2,0.05),ageerPb76(Q214,R214))</f>
        <v>#NAME?</v>
      </c>
      <c r="X214" s="4" t="e">
        <f ca="1">agePb6U8(L214)/agePb7u5(J214)</f>
        <v>#NAME?</v>
      </c>
      <c r="Z214" s="1">
        <v>4.26</v>
      </c>
      <c r="AA214" s="1">
        <v>0.3</v>
      </c>
      <c r="AB214" s="1">
        <v>0.27800000000000002</v>
      </c>
      <c r="AC214" s="1">
        <v>0.02</v>
      </c>
      <c r="AD214" s="1">
        <v>0.99563000000000001</v>
      </c>
      <c r="AE214" s="1">
        <v>3.5971220000000002</v>
      </c>
      <c r="AF214" s="1">
        <v>0.25878580000000001</v>
      </c>
      <c r="AG214" s="1">
        <v>0.10968</v>
      </c>
      <c r="AH214" s="1">
        <v>5.5000000000000003E-4</v>
      </c>
      <c r="AI214" s="1">
        <v>-0.72792999999999997</v>
      </c>
      <c r="AJ214" s="1">
        <v>0.1024</v>
      </c>
      <c r="AK214" s="1">
        <v>6.7000000000000002E-3</v>
      </c>
      <c r="AL214" s="1">
        <v>6.35</v>
      </c>
      <c r="AM214" s="1">
        <v>0.5</v>
      </c>
      <c r="AN214" s="1">
        <v>1677</v>
      </c>
      <c r="AO214" s="1">
        <v>61</v>
      </c>
      <c r="AP214" s="1">
        <v>1603</v>
      </c>
      <c r="AQ214" s="1">
        <v>94</v>
      </c>
      <c r="AR214" s="1">
        <v>1970</v>
      </c>
      <c r="AS214" s="1">
        <v>120</v>
      </c>
      <c r="AT214" s="1">
        <v>1794</v>
      </c>
      <c r="AU214" s="1">
        <v>9.1999999999999993</v>
      </c>
      <c r="AV214" s="1">
        <v>76.5</v>
      </c>
      <c r="AW214" s="1">
        <v>6</v>
      </c>
      <c r="AX214" s="1">
        <v>13.700000000000001</v>
      </c>
      <c r="AY214" s="1">
        <v>1.3</v>
      </c>
      <c r="AZ214" s="1">
        <v>108675</v>
      </c>
      <c r="BA214" s="1">
        <v>7452.0000000000009</v>
      </c>
      <c r="BB214" s="1">
        <v>90666</v>
      </c>
      <c r="BC214" s="1">
        <v>3477.6</v>
      </c>
      <c r="BD214" s="1">
        <v>846422.99999999988</v>
      </c>
      <c r="BE214" s="1">
        <v>36018</v>
      </c>
      <c r="BF214" s="1">
        <v>6.8310000000000004</v>
      </c>
      <c r="BG214" s="1">
        <v>7.4519999999999991</v>
      </c>
      <c r="BH214" s="1">
        <f t="shared" si="60"/>
        <v>123909.09090909088</v>
      </c>
      <c r="BI214" s="1">
        <f t="shared" si="61"/>
        <v>135276.35151022577</v>
      </c>
    </row>
    <row r="215" spans="1:61" x14ac:dyDescent="0.2">
      <c r="A215" t="s">
        <v>686</v>
      </c>
      <c r="B215" t="s">
        <v>38</v>
      </c>
      <c r="C215" t="s">
        <v>687</v>
      </c>
      <c r="D215" t="s">
        <v>688</v>
      </c>
      <c r="E215">
        <v>82729</v>
      </c>
      <c r="F215">
        <v>48949</v>
      </c>
      <c r="G215" t="s">
        <v>688</v>
      </c>
      <c r="H215" s="1">
        <v>68.7</v>
      </c>
      <c r="I215" s="1">
        <v>22.24</v>
      </c>
      <c r="J215" s="10">
        <v>2.8410000000000002</v>
      </c>
      <c r="K215" s="10">
        <f t="shared" ca="1" si="54"/>
        <v>0.10728239557355157</v>
      </c>
      <c r="L215" s="7">
        <v>0.23630000000000001</v>
      </c>
      <c r="M215" s="7">
        <f t="shared" ca="1" si="55"/>
        <v>9.2916670194319803E-3</v>
      </c>
      <c r="N215" s="7">
        <v>0.98123000000000005</v>
      </c>
      <c r="O215" s="8">
        <v>4.2319089999999999</v>
      </c>
      <c r="P215" s="8">
        <f t="shared" ca="1" si="56"/>
        <v>0.16640493416804802</v>
      </c>
      <c r="Q215" s="9">
        <v>8.8249999999999995E-2</v>
      </c>
      <c r="R215" s="9">
        <f t="shared" ca="1" si="57"/>
        <v>1.8487090090114236E-3</v>
      </c>
      <c r="S215" s="8">
        <f t="shared" si="58"/>
        <v>0.47631672182519774</v>
      </c>
      <c r="T215" s="11">
        <v>7.6100000000000001E-2</v>
      </c>
      <c r="U215" s="11">
        <f t="shared" ca="1" si="59"/>
        <v>3.2751311424124682E-3</v>
      </c>
      <c r="V215" s="6" t="e">
        <f ca="1">IF(agePb6U8(1/O215)&lt;1400,age7corr(1/O215,Q215,$W$2),agePb76(Q215))</f>
        <v>#NAME?</v>
      </c>
      <c r="W215" s="6" t="e">
        <f ca="1">IF(agePb6U8(1/O215)&lt;1400,ageer7corr(V215,1/O215,P215/O215*(1/O215),Q215,R215,$W$2,0.05),ageerPb76(Q215,R215))</f>
        <v>#NAME?</v>
      </c>
      <c r="X215" s="4" t="e">
        <f ca="1">agePb6U8(L215)/agePb7u5(J215)</f>
        <v>#NAME?</v>
      </c>
      <c r="Z215" s="1">
        <v>2.8410000000000002</v>
      </c>
      <c r="AA215" s="1">
        <v>9.0999999999999998E-2</v>
      </c>
      <c r="AB215" s="1">
        <v>0.23630000000000001</v>
      </c>
      <c r="AC215" s="1">
        <v>8.0000000000000002E-3</v>
      </c>
      <c r="AD215" s="1">
        <v>0.98123000000000005</v>
      </c>
      <c r="AE215" s="1">
        <v>4.2319089999999999</v>
      </c>
      <c r="AF215" s="1">
        <v>0.14327239999999999</v>
      </c>
      <c r="AG215" s="1">
        <v>8.8249999999999995E-2</v>
      </c>
      <c r="AH215" s="1">
        <v>5.5000000000000003E-4</v>
      </c>
      <c r="AI215" s="1">
        <v>0.11744</v>
      </c>
      <c r="AJ215" s="1">
        <v>7.6100000000000001E-2</v>
      </c>
      <c r="AK215" s="1">
        <v>2.8999999999999998E-3</v>
      </c>
      <c r="AL215" s="1">
        <v>10.16</v>
      </c>
      <c r="AM215" s="1">
        <v>6.0999999999999999E-2</v>
      </c>
      <c r="AN215" s="1">
        <v>1365</v>
      </c>
      <c r="AO215" s="1">
        <v>24</v>
      </c>
      <c r="AP215" s="1">
        <v>1367</v>
      </c>
      <c r="AQ215" s="1">
        <v>42</v>
      </c>
      <c r="AR215" s="1">
        <v>1482</v>
      </c>
      <c r="AS215" s="1">
        <v>55</v>
      </c>
      <c r="AT215" s="1">
        <v>1388</v>
      </c>
      <c r="AU215" s="1">
        <v>12</v>
      </c>
      <c r="AV215" s="1">
        <v>14.87</v>
      </c>
      <c r="AW215" s="1">
        <v>0.32</v>
      </c>
      <c r="AX215" s="1">
        <v>1.752</v>
      </c>
      <c r="AY215" s="1">
        <v>4.5999999999999999E-2</v>
      </c>
      <c r="AZ215" s="1">
        <v>10811.61</v>
      </c>
      <c r="BA215" s="1">
        <v>211.14000000000001</v>
      </c>
      <c r="BB215" s="1">
        <v>11892.15</v>
      </c>
      <c r="BC215" s="1">
        <v>242.19</v>
      </c>
      <c r="BD215" s="1">
        <v>136806.30000000002</v>
      </c>
      <c r="BE215" s="1">
        <v>2732.3999999999996</v>
      </c>
      <c r="BF215" s="1">
        <v>24.839999999999996</v>
      </c>
      <c r="BG215" s="1">
        <v>6.8310000000000004</v>
      </c>
      <c r="BH215" s="1">
        <f t="shared" si="60"/>
        <v>5507.5000000000018</v>
      </c>
      <c r="BI215" s="1">
        <f t="shared" si="61"/>
        <v>1518.5517990527201</v>
      </c>
    </row>
    <row r="216" spans="1:61" x14ac:dyDescent="0.2">
      <c r="A216" t="s">
        <v>689</v>
      </c>
      <c r="B216" t="s">
        <v>38</v>
      </c>
      <c r="C216" t="s">
        <v>690</v>
      </c>
      <c r="D216" t="s">
        <v>691</v>
      </c>
      <c r="E216">
        <v>82968</v>
      </c>
      <c r="F216">
        <v>49288</v>
      </c>
      <c r="G216" t="s">
        <v>691</v>
      </c>
      <c r="H216" s="1">
        <v>144.9</v>
      </c>
      <c r="I216" s="1">
        <v>32.5</v>
      </c>
      <c r="J216" s="10">
        <v>1.8660000000000001</v>
      </c>
      <c r="K216" s="10">
        <f t="shared" ca="1" si="54"/>
        <v>5.1853470472090872E-2</v>
      </c>
      <c r="L216" s="7">
        <v>0.17810000000000001</v>
      </c>
      <c r="M216" s="7">
        <f t="shared" ca="1" si="55"/>
        <v>4.7883028308577146E-3</v>
      </c>
      <c r="N216" s="7">
        <v>0.94825999999999999</v>
      </c>
      <c r="O216" s="8">
        <v>5.6148230000000003</v>
      </c>
      <c r="P216" s="8">
        <f t="shared" ca="1" si="56"/>
        <v>0.15095720050574468</v>
      </c>
      <c r="Q216" s="9">
        <v>7.5850000000000001E-2</v>
      </c>
      <c r="R216" s="9">
        <f t="shared" ca="1" si="57"/>
        <v>1.5823365634402816E-3</v>
      </c>
      <c r="S216" s="8">
        <f t="shared" si="58"/>
        <v>0.56965926118392596</v>
      </c>
      <c r="T216" s="11">
        <v>6.0100000000000001E-2</v>
      </c>
      <c r="U216" s="11">
        <f t="shared" ca="1" si="59"/>
        <v>1.6293569283616161E-3</v>
      </c>
      <c r="V216" s="6" t="e">
        <f ca="1">IF(agePb6U8(1/O216)&lt;1400,age7corr(1/O216,Q216,$W$2),agePb76(Q216))</f>
        <v>#NAME?</v>
      </c>
      <c r="W216" s="6" t="e">
        <f ca="1">IF(agePb6U8(1/O216)&lt;1400,ageer7corr(V216,1/O216,P216/O216*(1/O216),Q216,R216,$W$2,0.05),ageerPb76(Q216,R216))</f>
        <v>#NAME?</v>
      </c>
      <c r="X216" s="4" t="e">
        <f ca="1">agePb6U8(L216)/agePb7u5(J216)</f>
        <v>#NAME?</v>
      </c>
      <c r="Z216" s="1">
        <v>1.8660000000000001</v>
      </c>
      <c r="AA216" s="1">
        <v>3.5999999999999997E-2</v>
      </c>
      <c r="AB216" s="1">
        <v>0.17810000000000001</v>
      </c>
      <c r="AC216" s="1">
        <v>3.2000000000000002E-3</v>
      </c>
      <c r="AD216" s="1">
        <v>0.94825999999999999</v>
      </c>
      <c r="AE216" s="1">
        <v>5.6148230000000003</v>
      </c>
      <c r="AF216" s="1">
        <v>0.100884</v>
      </c>
      <c r="AG216" s="1">
        <v>7.5850000000000001E-2</v>
      </c>
      <c r="AH216" s="1">
        <v>4.4999999999999999E-4</v>
      </c>
      <c r="AI216" s="1">
        <v>3.9241999999999999E-2</v>
      </c>
      <c r="AJ216" s="1">
        <v>6.0100000000000001E-2</v>
      </c>
      <c r="AK216" s="1">
        <v>1.1000000000000001E-3</v>
      </c>
      <c r="AL216" s="1">
        <v>13.98</v>
      </c>
      <c r="AM216" s="1">
        <v>0.11</v>
      </c>
      <c r="AN216" s="1">
        <v>1069</v>
      </c>
      <c r="AO216" s="1">
        <v>13</v>
      </c>
      <c r="AP216" s="1">
        <v>1057</v>
      </c>
      <c r="AQ216" s="1">
        <v>17</v>
      </c>
      <c r="AR216" s="1">
        <v>1179</v>
      </c>
      <c r="AS216" s="1">
        <v>21</v>
      </c>
      <c r="AT216" s="1">
        <v>1091</v>
      </c>
      <c r="AU216" s="1">
        <v>12</v>
      </c>
      <c r="AV216" s="1">
        <v>31.36</v>
      </c>
      <c r="AW216" s="1">
        <v>0.41</v>
      </c>
      <c r="AX216" s="1">
        <v>2.5590000000000002</v>
      </c>
      <c r="AY216" s="1">
        <v>8.7999999999999995E-2</v>
      </c>
      <c r="AZ216" s="1">
        <v>12631.14</v>
      </c>
      <c r="BA216" s="1">
        <v>186.3</v>
      </c>
      <c r="BB216" s="1">
        <v>16456.5</v>
      </c>
      <c r="BC216" s="1">
        <v>229.77</v>
      </c>
      <c r="BD216" s="1">
        <v>219585.6</v>
      </c>
      <c r="BE216" s="1">
        <v>3415.5</v>
      </c>
      <c r="BF216" s="1">
        <v>-1.4282999999999999</v>
      </c>
      <c r="BG216" s="1">
        <v>5.8373999999999997</v>
      </c>
      <c r="BH216" s="1">
        <f t="shared" si="60"/>
        <v>-153739.13043478262</v>
      </c>
      <c r="BI216" s="1">
        <f t="shared" si="61"/>
        <v>-628329.69222016947</v>
      </c>
    </row>
    <row r="217" spans="1:61" x14ac:dyDescent="0.2">
      <c r="A217" t="s">
        <v>692</v>
      </c>
      <c r="B217" t="s">
        <v>38</v>
      </c>
      <c r="C217" t="s">
        <v>693</v>
      </c>
      <c r="D217" t="s">
        <v>694</v>
      </c>
      <c r="E217">
        <v>82921</v>
      </c>
      <c r="F217">
        <v>49450</v>
      </c>
      <c r="G217" t="s">
        <v>694</v>
      </c>
      <c r="H217" s="1">
        <v>151.80000000000001</v>
      </c>
      <c r="I217" s="1">
        <v>94.9</v>
      </c>
      <c r="J217" s="10">
        <v>2.7930000000000001</v>
      </c>
      <c r="K217" s="10">
        <f t="shared" ca="1" si="54"/>
        <v>0.11367207044828559</v>
      </c>
      <c r="L217" s="7">
        <v>0.2321</v>
      </c>
      <c r="M217" s="7">
        <f t="shared" ca="1" si="55"/>
        <v>8.4828158060870334E-3</v>
      </c>
      <c r="N217" s="7">
        <v>0.99348000000000003</v>
      </c>
      <c r="O217" s="8">
        <v>4.3084879999999997</v>
      </c>
      <c r="P217" s="8">
        <f t="shared" ca="1" si="56"/>
        <v>0.15746710012982901</v>
      </c>
      <c r="Q217" s="9">
        <v>8.8080000000000006E-2</v>
      </c>
      <c r="R217" s="9">
        <f t="shared" ca="1" si="57"/>
        <v>1.8206687123142422E-3</v>
      </c>
      <c r="S217" s="8">
        <f t="shared" si="58"/>
        <v>0.38907008877467242</v>
      </c>
      <c r="T217" s="11">
        <v>7.6799999999999993E-2</v>
      </c>
      <c r="U217" s="11">
        <f t="shared" ca="1" si="59"/>
        <v>2.5217644616418876E-3</v>
      </c>
      <c r="V217" s="6" t="e">
        <f ca="1">IF(agePb6U8(1/O217)&lt;1400,age7corr(1/O217,Q217,$W$2),agePb76(Q217))</f>
        <v>#NAME?</v>
      </c>
      <c r="W217" s="6" t="e">
        <f ca="1">IF(agePb6U8(1/O217)&lt;1400,ageer7corr(V217,1/O217,P217/O217*(1/O217),Q217,R217,$W$2,0.05),ageerPb76(Q217,R217))</f>
        <v>#NAME?</v>
      </c>
      <c r="X217" s="4" t="e">
        <f ca="1">agePb6U8(L217)/agePb7u5(J217)</f>
        <v>#NAME?</v>
      </c>
      <c r="Z217" s="1">
        <v>2.7930000000000001</v>
      </c>
      <c r="AA217" s="1">
        <v>9.9000000000000005E-2</v>
      </c>
      <c r="AB217" s="1">
        <v>0.2321</v>
      </c>
      <c r="AC217" s="1">
        <v>7.1000000000000004E-3</v>
      </c>
      <c r="AD217" s="1">
        <v>0.99348000000000003</v>
      </c>
      <c r="AE217" s="1">
        <v>4.3084879999999997</v>
      </c>
      <c r="AF217" s="1">
        <v>0.13179779999999999</v>
      </c>
      <c r="AG217" s="1">
        <v>8.8080000000000006E-2</v>
      </c>
      <c r="AH217" s="1">
        <v>4.6000000000000001E-4</v>
      </c>
      <c r="AI217" s="1">
        <v>-0.45193</v>
      </c>
      <c r="AJ217" s="1">
        <v>7.6799999999999993E-2</v>
      </c>
      <c r="AK217" s="1">
        <v>2E-3</v>
      </c>
      <c r="AL217" s="1">
        <v>5.0839999999999996</v>
      </c>
      <c r="AM217" s="1">
        <v>1.9E-2</v>
      </c>
      <c r="AN217" s="1">
        <v>1358</v>
      </c>
      <c r="AO217" s="1">
        <v>25</v>
      </c>
      <c r="AP217" s="1">
        <v>1345</v>
      </c>
      <c r="AQ217" s="1">
        <v>37</v>
      </c>
      <c r="AR217" s="1">
        <v>1495</v>
      </c>
      <c r="AS217" s="1">
        <v>37</v>
      </c>
      <c r="AT217" s="1">
        <v>1384</v>
      </c>
      <c r="AU217" s="1">
        <v>10</v>
      </c>
      <c r="AV217" s="1">
        <v>32.840000000000003</v>
      </c>
      <c r="AW217" s="1">
        <v>0.67</v>
      </c>
      <c r="AX217" s="1">
        <v>7.4799999999999995</v>
      </c>
      <c r="AY217" s="1">
        <v>0.28999999999999998</v>
      </c>
      <c r="AZ217" s="1">
        <v>46637.1</v>
      </c>
      <c r="BA217" s="1">
        <v>807.3</v>
      </c>
      <c r="BB217" s="1">
        <v>25790.13</v>
      </c>
      <c r="BC217" s="1">
        <v>453.33</v>
      </c>
      <c r="BD217" s="1">
        <v>295223.40000000002</v>
      </c>
      <c r="BE217" s="1">
        <v>4471.2000000000007</v>
      </c>
      <c r="BF217" s="1">
        <v>-1.1799000000000002</v>
      </c>
      <c r="BG217" s="1">
        <v>3.8502000000000001</v>
      </c>
      <c r="BH217" s="1">
        <f t="shared" si="60"/>
        <v>-250210.52631578947</v>
      </c>
      <c r="BI217" s="1">
        <f t="shared" si="61"/>
        <v>-816485.24819907139</v>
      </c>
    </row>
    <row r="218" spans="1:61" x14ac:dyDescent="0.2">
      <c r="A218" t="s">
        <v>701</v>
      </c>
      <c r="B218" t="s">
        <v>38</v>
      </c>
      <c r="C218" t="s">
        <v>702</v>
      </c>
      <c r="D218" t="s">
        <v>703</v>
      </c>
      <c r="E218">
        <v>82979</v>
      </c>
      <c r="F218">
        <v>49780</v>
      </c>
      <c r="G218" t="s">
        <v>703</v>
      </c>
      <c r="H218" s="1">
        <v>183.4</v>
      </c>
      <c r="I218" s="1">
        <v>133.80000000000001</v>
      </c>
      <c r="J218" s="10">
        <v>4.47</v>
      </c>
      <c r="K218" s="10">
        <f t="shared" ca="1" si="54"/>
        <v>0.14174752202419624</v>
      </c>
      <c r="L218" s="7">
        <v>0.2878</v>
      </c>
      <c r="M218" s="7">
        <f t="shared" ca="1" si="55"/>
        <v>9.6938916849735844E-3</v>
      </c>
      <c r="N218" s="7">
        <v>0.99621000000000004</v>
      </c>
      <c r="O218" s="8">
        <v>3.4746350000000001</v>
      </c>
      <c r="P218" s="8">
        <f t="shared" ca="1" si="56"/>
        <v>0.11703522156727009</v>
      </c>
      <c r="Q218" s="9">
        <v>0.112</v>
      </c>
      <c r="R218" s="9">
        <f t="shared" ca="1" si="57"/>
        <v>2.2574321695235941E-3</v>
      </c>
      <c r="S218" s="8">
        <f t="shared" si="58"/>
        <v>0.43844390703378999</v>
      </c>
      <c r="T218" s="11">
        <v>8.9200000000000002E-2</v>
      </c>
      <c r="U218" s="11">
        <f t="shared" ca="1" si="59"/>
        <v>3.9284419303331946E-3</v>
      </c>
      <c r="V218" s="6" t="e">
        <f ca="1">IF(agePb6U8(1/O218)&lt;1400,age7corr(1/O218,Q218,$W$2),agePb76(Q218))</f>
        <v>#NAME?</v>
      </c>
      <c r="W218" s="6" t="e">
        <f ca="1">IF(agePb6U8(1/O218)&lt;1400,ageer7corr(V218,1/O218,P218/O218*(1/O218),Q218,R218,$W$2,0.05),ageerPb76(Q218,R218))</f>
        <v>#NAME?</v>
      </c>
      <c r="X218" s="4" t="e">
        <f ca="1">agePb6U8(L218)/agePb7u5(J218)</f>
        <v>#NAME?</v>
      </c>
      <c r="Z218" s="1">
        <v>4.47</v>
      </c>
      <c r="AA218" s="1">
        <v>0.11</v>
      </c>
      <c r="AB218" s="1">
        <v>0.2878</v>
      </c>
      <c r="AC218" s="1">
        <v>7.7999999999999996E-3</v>
      </c>
      <c r="AD218" s="1">
        <v>0.99621000000000004</v>
      </c>
      <c r="AE218" s="1">
        <v>3.4746350000000001</v>
      </c>
      <c r="AF218" s="1">
        <v>9.4170100000000007E-2</v>
      </c>
      <c r="AG218" s="1">
        <v>0.112</v>
      </c>
      <c r="AH218" s="1">
        <v>2.7999999999999998E-4</v>
      </c>
      <c r="AI218" s="1">
        <v>-0.22109999999999999</v>
      </c>
      <c r="AJ218" s="1">
        <v>8.9200000000000002E-2</v>
      </c>
      <c r="AK218" s="1">
        <v>3.5000000000000001E-3</v>
      </c>
      <c r="AL218" s="1">
        <v>4.7549999999999999</v>
      </c>
      <c r="AM218" s="1">
        <v>4.5999999999999999E-2</v>
      </c>
      <c r="AN218" s="1">
        <v>1724</v>
      </c>
      <c r="AO218" s="1">
        <v>21</v>
      </c>
      <c r="AP218" s="1">
        <v>1630</v>
      </c>
      <c r="AQ218" s="1">
        <v>39</v>
      </c>
      <c r="AR218" s="1">
        <v>1726</v>
      </c>
      <c r="AS218" s="1">
        <v>65</v>
      </c>
      <c r="AT218" s="1">
        <v>1832.1</v>
      </c>
      <c r="AU218" s="1">
        <v>4.5</v>
      </c>
      <c r="AV218" s="1">
        <v>39.699999999999996</v>
      </c>
      <c r="AW218" s="1">
        <v>1.1000000000000001</v>
      </c>
      <c r="AX218" s="1">
        <v>10.53</v>
      </c>
      <c r="AY218" s="1">
        <v>0.43</v>
      </c>
      <c r="AZ218" s="1">
        <v>75824.100000000006</v>
      </c>
      <c r="BA218" s="1">
        <v>2173.5</v>
      </c>
      <c r="BB218" s="1">
        <v>49866.3</v>
      </c>
      <c r="BC218" s="1">
        <v>1117.8000000000002</v>
      </c>
      <c r="BD218" s="1">
        <v>448983</v>
      </c>
      <c r="BE218" s="1">
        <v>9936</v>
      </c>
      <c r="BF218" s="1">
        <v>-6.2099999999999991</v>
      </c>
      <c r="BG218" s="1">
        <v>6.8310000000000004</v>
      </c>
      <c r="BH218" s="1">
        <f t="shared" si="60"/>
        <v>-72300.000000000015</v>
      </c>
      <c r="BI218" s="1">
        <f t="shared" si="61"/>
        <v>-79546.092927308535</v>
      </c>
    </row>
    <row r="219" spans="1:61" x14ac:dyDescent="0.2">
      <c r="A219" t="s">
        <v>704</v>
      </c>
      <c r="B219" t="s">
        <v>38</v>
      </c>
      <c r="C219" t="s">
        <v>705</v>
      </c>
      <c r="D219" t="s">
        <v>706</v>
      </c>
      <c r="E219">
        <v>82942</v>
      </c>
      <c r="F219">
        <v>49920</v>
      </c>
      <c r="G219" t="s">
        <v>706</v>
      </c>
      <c r="H219" s="1">
        <v>171.7</v>
      </c>
      <c r="I219" s="1">
        <v>130</v>
      </c>
      <c r="J219" s="10">
        <v>1.8380000000000001</v>
      </c>
      <c r="K219" s="10">
        <f t="shared" ca="1" si="54"/>
        <v>6.951472937442825E-2</v>
      </c>
      <c r="L219" s="7">
        <v>0.1719</v>
      </c>
      <c r="M219" s="7">
        <f t="shared" ca="1" si="55"/>
        <v>6.4015501247744683E-3</v>
      </c>
      <c r="N219" s="7">
        <v>0.98109000000000002</v>
      </c>
      <c r="O219" s="8">
        <v>5.8173360000000001</v>
      </c>
      <c r="P219" s="8">
        <f t="shared" ca="1" si="56"/>
        <v>0.21663736069064449</v>
      </c>
      <c r="Q219" s="9">
        <v>7.7729999999999994E-2</v>
      </c>
      <c r="R219" s="9">
        <f t="shared" ca="1" si="57"/>
        <v>1.6663676545108524E-3</v>
      </c>
      <c r="S219" s="8">
        <f t="shared" si="58"/>
        <v>0.4955334824950216</v>
      </c>
      <c r="T219" s="11">
        <v>6.2399999999999997E-2</v>
      </c>
      <c r="U219" s="11">
        <f t="shared" ca="1" si="59"/>
        <v>2.1903205244895095E-3</v>
      </c>
      <c r="V219" s="6" t="e">
        <f ca="1">IF(agePb6U8(1/O219)&lt;1400,age7corr(1/O219,Q219,$W$2),agePb76(Q219))</f>
        <v>#NAME?</v>
      </c>
      <c r="W219" s="6" t="e">
        <f ca="1">IF(agePb6U8(1/O219)&lt;1400,ageer7corr(V219,1/O219,P219/O219*(1/O219),Q219,R219,$W$2,0.05),ageerPb76(Q219,R219))</f>
        <v>#NAME?</v>
      </c>
      <c r="X219" s="4" t="e">
        <f ca="1">agePb6U8(L219)/agePb7u5(J219)</f>
        <v>#NAME?</v>
      </c>
      <c r="Z219" s="1">
        <v>1.8380000000000001</v>
      </c>
      <c r="AA219" s="1">
        <v>5.8999999999999997E-2</v>
      </c>
      <c r="AB219" s="1">
        <v>0.1719</v>
      </c>
      <c r="AC219" s="1">
        <v>5.4000000000000003E-3</v>
      </c>
      <c r="AD219" s="1">
        <v>0.98109000000000002</v>
      </c>
      <c r="AE219" s="1">
        <v>5.8173360000000001</v>
      </c>
      <c r="AF219" s="1">
        <v>0.1827435</v>
      </c>
      <c r="AG219" s="1">
        <v>7.7729999999999994E-2</v>
      </c>
      <c r="AH219" s="1">
        <v>5.9999999999999995E-4</v>
      </c>
      <c r="AI219" s="1">
        <v>-2.4462999999999999E-2</v>
      </c>
      <c r="AJ219" s="1">
        <v>6.2399999999999997E-2</v>
      </c>
      <c r="AK219" s="1">
        <v>1.8E-3</v>
      </c>
      <c r="AL219" s="1">
        <v>4.03</v>
      </c>
      <c r="AM219" s="1">
        <v>0.33</v>
      </c>
      <c r="AN219" s="1">
        <v>1058</v>
      </c>
      <c r="AO219" s="1">
        <v>21</v>
      </c>
      <c r="AP219" s="1">
        <v>1022</v>
      </c>
      <c r="AQ219" s="1">
        <v>30</v>
      </c>
      <c r="AR219" s="1">
        <v>1223</v>
      </c>
      <c r="AS219" s="1">
        <v>33</v>
      </c>
      <c r="AT219" s="1">
        <v>1140</v>
      </c>
      <c r="AU219" s="1">
        <v>15</v>
      </c>
      <c r="AV219" s="1">
        <v>37.1</v>
      </c>
      <c r="AW219" s="1">
        <v>1.7</v>
      </c>
      <c r="AX219" s="1">
        <v>10.200000000000001</v>
      </c>
      <c r="AY219" s="1">
        <v>1.4</v>
      </c>
      <c r="AZ219" s="1">
        <v>50301</v>
      </c>
      <c r="BA219" s="1">
        <v>5464.7999999999993</v>
      </c>
      <c r="BB219" s="1">
        <v>19126.8</v>
      </c>
      <c r="BC219" s="1">
        <v>683.09999999999991</v>
      </c>
      <c r="BD219" s="1">
        <v>245916</v>
      </c>
      <c r="BE219" s="1">
        <v>9936</v>
      </c>
      <c r="BF219" s="1">
        <v>37.881</v>
      </c>
      <c r="BG219" s="1">
        <v>9.9359999999999999</v>
      </c>
      <c r="BH219" s="1">
        <f t="shared" si="60"/>
        <v>6491.8032786885242</v>
      </c>
      <c r="BI219" s="1">
        <f t="shared" si="61"/>
        <v>1722.8516537381292</v>
      </c>
    </row>
    <row r="220" spans="1:61" x14ac:dyDescent="0.2">
      <c r="A220" t="s">
        <v>419</v>
      </c>
      <c r="B220" t="s">
        <v>38</v>
      </c>
      <c r="C220" t="s">
        <v>420</v>
      </c>
      <c r="D220" t="s">
        <v>421</v>
      </c>
      <c r="E220">
        <v>83875</v>
      </c>
      <c r="F220">
        <v>49305</v>
      </c>
      <c r="G220" t="s">
        <v>421</v>
      </c>
      <c r="H220" s="1">
        <v>390</v>
      </c>
      <c r="I220" s="1">
        <v>105.6</v>
      </c>
      <c r="J220" s="10">
        <v>1.806</v>
      </c>
      <c r="K220" s="10">
        <f t="shared" ca="1" si="54"/>
        <v>8.4146624412391013E-2</v>
      </c>
      <c r="L220" s="7">
        <v>0.17330000000000001</v>
      </c>
      <c r="M220" s="7">
        <f t="shared" ca="1" si="55"/>
        <v>7.8110918570965483E-3</v>
      </c>
      <c r="N220" s="7">
        <v>0.99682000000000004</v>
      </c>
      <c r="O220" s="8">
        <v>5.77034</v>
      </c>
      <c r="P220" s="8">
        <f t="shared" ca="1" si="56"/>
        <v>0.26008458304766929</v>
      </c>
      <c r="Q220" s="9">
        <v>7.5469999999999995E-2</v>
      </c>
      <c r="R220" s="9">
        <f t="shared" ca="1" si="57"/>
        <v>1.5517372071327026E-3</v>
      </c>
      <c r="S220" s="8">
        <f t="shared" si="58"/>
        <v>0.49925596676880829</v>
      </c>
      <c r="T220" s="11">
        <v>5.9299999999999999E-2</v>
      </c>
      <c r="U220" s="11">
        <f t="shared" ca="1" si="59"/>
        <v>2.6770498687921371E-3</v>
      </c>
      <c r="V220" s="6" t="e">
        <f ca="1">IF(agePb6U8(1/O220)&lt;1400,age7corr(1/O220,Q220,$W$2),agePb76(Q220))</f>
        <v>#NAME?</v>
      </c>
      <c r="W220" s="6" t="e">
        <f ca="1">IF(agePb6U8(1/O220)&lt;1400,ageer7corr(V220,1/O220,P220/O220*(1/O220),Q220,R220,$W$2,0.05),ageerPb76(Q220,R220))</f>
        <v>#NAME?</v>
      </c>
      <c r="X220" s="4" t="e">
        <f ca="1">agePb6U8(L220)/agePb7u5(J220)</f>
        <v>#NAME?</v>
      </c>
      <c r="Z220" s="1">
        <v>1.806</v>
      </c>
      <c r="AA220" s="1">
        <v>7.5999999999999998E-2</v>
      </c>
      <c r="AB220" s="1">
        <v>0.17330000000000001</v>
      </c>
      <c r="AC220" s="1">
        <v>7.0000000000000001E-3</v>
      </c>
      <c r="AD220" s="1">
        <v>0.99682000000000004</v>
      </c>
      <c r="AE220" s="1">
        <v>5.77034</v>
      </c>
      <c r="AF220" s="1">
        <v>0.2330778</v>
      </c>
      <c r="AG220" s="1">
        <v>7.5469999999999995E-2</v>
      </c>
      <c r="AH220" s="1">
        <v>3.6000000000000002E-4</v>
      </c>
      <c r="AI220" s="1">
        <v>-0.47574</v>
      </c>
      <c r="AJ220" s="1">
        <v>5.9299999999999999E-2</v>
      </c>
      <c r="AK220" s="1">
        <v>2.3999999999999998E-3</v>
      </c>
      <c r="AL220" s="1">
        <v>11.49</v>
      </c>
      <c r="AM220" s="1">
        <v>0.1</v>
      </c>
      <c r="AN220" s="1">
        <v>1046</v>
      </c>
      <c r="AO220" s="1">
        <v>27</v>
      </c>
      <c r="AP220" s="1">
        <v>1030</v>
      </c>
      <c r="AQ220" s="1">
        <v>38</v>
      </c>
      <c r="AR220" s="1">
        <v>1164</v>
      </c>
      <c r="AS220" s="1">
        <v>46</v>
      </c>
      <c r="AT220" s="1">
        <v>1080.8</v>
      </c>
      <c r="AU220" s="1">
        <v>9.5</v>
      </c>
      <c r="AV220" s="1">
        <v>85.1</v>
      </c>
      <c r="AW220" s="1">
        <v>2.2999999999999998</v>
      </c>
      <c r="AX220" s="1">
        <v>8.35</v>
      </c>
      <c r="AY220" s="1">
        <v>0.27999999999999997</v>
      </c>
      <c r="AZ220" s="1">
        <v>40116.6</v>
      </c>
      <c r="BA220" s="1">
        <v>1366.1999999999998</v>
      </c>
      <c r="BB220" s="1">
        <v>42849</v>
      </c>
      <c r="BC220" s="1">
        <v>1366.1999999999998</v>
      </c>
      <c r="BD220" s="1">
        <v>570078.00000000012</v>
      </c>
      <c r="BE220" s="1">
        <v>16767</v>
      </c>
      <c r="BF220" s="1">
        <v>3.9744000000000006</v>
      </c>
      <c r="BG220" s="1">
        <v>4.7196000000000007</v>
      </c>
      <c r="BH220" s="1">
        <f t="shared" si="60"/>
        <v>143437.5</v>
      </c>
      <c r="BI220" s="1">
        <f t="shared" si="61"/>
        <v>170384.26782221848</v>
      </c>
    </row>
    <row r="221" spans="1:61" x14ac:dyDescent="0.2">
      <c r="A221" t="s">
        <v>707</v>
      </c>
      <c r="B221" t="s">
        <v>38</v>
      </c>
      <c r="C221" t="s">
        <v>708</v>
      </c>
      <c r="D221" t="s">
        <v>709</v>
      </c>
      <c r="E221">
        <v>82983</v>
      </c>
      <c r="F221">
        <v>50155</v>
      </c>
      <c r="G221" t="s">
        <v>709</v>
      </c>
      <c r="H221" s="1">
        <v>587.70000000000005</v>
      </c>
      <c r="I221" s="1">
        <v>268.2</v>
      </c>
      <c r="J221" s="10">
        <v>2.6190000000000002</v>
      </c>
      <c r="K221" s="10">
        <f t="shared" ca="1" si="54"/>
        <v>8.0403136754731153E-2</v>
      </c>
      <c r="L221" s="7">
        <v>0.2147</v>
      </c>
      <c r="M221" s="7">
        <f t="shared" ca="1" si="55"/>
        <v>6.5152464266518733E-3</v>
      </c>
      <c r="N221" s="7">
        <v>0.99644999999999995</v>
      </c>
      <c r="O221" s="8">
        <v>4.6576620000000002</v>
      </c>
      <c r="P221" s="8">
        <f t="shared" ca="1" si="56"/>
        <v>0.14134055448662849</v>
      </c>
      <c r="Q221" s="9">
        <v>8.8660000000000003E-2</v>
      </c>
      <c r="R221" s="9">
        <f t="shared" ca="1" si="57"/>
        <v>1.7855918458595178E-3</v>
      </c>
      <c r="S221" s="8">
        <f t="shared" si="58"/>
        <v>0.51838648816950761</v>
      </c>
      <c r="T221" s="11">
        <v>7.3599999999999999E-2</v>
      </c>
      <c r="U221" s="11">
        <f t="shared" ca="1" si="59"/>
        <v>2.483301028872658E-3</v>
      </c>
      <c r="V221" s="6" t="e">
        <f ca="1">IF(agePb6U8(1/O221)&lt;1400,age7corr(1/O221,Q221,$W$2),agePb76(Q221))</f>
        <v>#NAME?</v>
      </c>
      <c r="W221" s="6" t="e">
        <f ca="1">IF(agePb6U8(1/O221)&lt;1400,ageer7corr(V221,1/O221,P221/O221*(1/O221),Q221,R221,$W$2,0.05),ageerPb76(Q221,R221))</f>
        <v>#NAME?</v>
      </c>
      <c r="X221" s="4" t="e">
        <f ca="1">agePb6U8(L221)/agePb7u5(J221)</f>
        <v>#NAME?</v>
      </c>
      <c r="Z221" s="1">
        <v>2.6190000000000002</v>
      </c>
      <c r="AA221" s="1">
        <v>6.0999999999999999E-2</v>
      </c>
      <c r="AB221" s="1">
        <v>0.2147</v>
      </c>
      <c r="AC221" s="1">
        <v>4.8999999999999998E-3</v>
      </c>
      <c r="AD221" s="1">
        <v>0.99644999999999995</v>
      </c>
      <c r="AE221" s="1">
        <v>4.6576620000000002</v>
      </c>
      <c r="AF221" s="1">
        <v>0.1062997</v>
      </c>
      <c r="AG221" s="1">
        <v>8.8660000000000003E-2</v>
      </c>
      <c r="AH221" s="1">
        <v>2.1000000000000001E-4</v>
      </c>
      <c r="AI221" s="1">
        <v>0.11771</v>
      </c>
      <c r="AJ221" s="1">
        <v>7.3599999999999999E-2</v>
      </c>
      <c r="AK221" s="1">
        <v>2E-3</v>
      </c>
      <c r="AL221" s="1">
        <v>6.79</v>
      </c>
      <c r="AM221" s="1">
        <v>4.9000000000000002E-2</v>
      </c>
      <c r="AN221" s="1">
        <v>1305</v>
      </c>
      <c r="AO221" s="1">
        <v>17</v>
      </c>
      <c r="AP221" s="1">
        <v>1253</v>
      </c>
      <c r="AQ221" s="1">
        <v>26</v>
      </c>
      <c r="AR221" s="1">
        <v>1436</v>
      </c>
      <c r="AS221" s="1">
        <v>37</v>
      </c>
      <c r="AT221" s="1">
        <v>1396.9</v>
      </c>
      <c r="AU221" s="1">
        <v>4.5</v>
      </c>
      <c r="AV221" s="1">
        <v>127.1</v>
      </c>
      <c r="AW221" s="1">
        <v>2.1</v>
      </c>
      <c r="AX221" s="1">
        <v>21.12</v>
      </c>
      <c r="AY221" s="1">
        <v>0.76999999999999991</v>
      </c>
      <c r="AZ221" s="1">
        <v>127988.09999999999</v>
      </c>
      <c r="BA221" s="1">
        <v>2608.1999999999998</v>
      </c>
      <c r="BB221" s="1">
        <v>94826.7</v>
      </c>
      <c r="BC221" s="1">
        <v>1366.1999999999998</v>
      </c>
      <c r="BD221" s="1">
        <v>1083645</v>
      </c>
      <c r="BE221" s="1">
        <v>17388</v>
      </c>
      <c r="BF221" s="1">
        <v>14.345099999999999</v>
      </c>
      <c r="BG221" s="1">
        <v>4.7816999999999998</v>
      </c>
      <c r="BH221" s="1">
        <f t="shared" si="60"/>
        <v>75541.125541125555</v>
      </c>
      <c r="BI221" s="1">
        <f t="shared" si="61"/>
        <v>25209.532563245375</v>
      </c>
    </row>
    <row r="222" spans="1:61" x14ac:dyDescent="0.2">
      <c r="A222" t="s">
        <v>710</v>
      </c>
      <c r="B222" t="s">
        <v>38</v>
      </c>
      <c r="C222" t="s">
        <v>711</v>
      </c>
      <c r="D222" t="s">
        <v>712</v>
      </c>
      <c r="E222">
        <v>82968</v>
      </c>
      <c r="F222">
        <v>50408</v>
      </c>
      <c r="G222" t="s">
        <v>712</v>
      </c>
      <c r="H222" s="1">
        <v>329.7</v>
      </c>
      <c r="I222" s="1">
        <v>23.1</v>
      </c>
      <c r="J222" s="10">
        <v>1.8180000000000001</v>
      </c>
      <c r="K222" s="10">
        <f t="shared" ref="K222:K230" ca="1" si="62">SQRT(K$2^2+(AA222/Z222)^2)*J222</f>
        <v>6.7609537788687779E-2</v>
      </c>
      <c r="L222" s="7">
        <v>0.1716</v>
      </c>
      <c r="M222" s="7">
        <f t="shared" ref="M222:M230" ca="1" si="63">SQRT(M$2^2+(AC222/AB222)^2)*L222</f>
        <v>6.3141605934597519E-3</v>
      </c>
      <c r="N222" s="7">
        <v>0.99511000000000005</v>
      </c>
      <c r="O222" s="8">
        <v>5.8275059999999996</v>
      </c>
      <c r="P222" s="8">
        <f t="shared" ref="P222:P230" ca="1" si="64">SQRT(P$2^2+(AF222/AE222)^2)*O222</f>
        <v>0.21442781218495049</v>
      </c>
      <c r="Q222" s="9">
        <v>7.6929999999999998E-2</v>
      </c>
      <c r="R222" s="9">
        <f t="shared" ref="R222:R230" ca="1" si="65">SQRT(R$2^2+(AH222/AG222)^2)*Q222</f>
        <v>1.562110738712208E-3</v>
      </c>
      <c r="S222" s="8">
        <f t="shared" ref="S222:S230" si="66">(((BE222/BD222)^2+(AW222/AV222)^2)+((BE222/BD222)^2+(BC222/BB222)^2)-((BC222/BB222)^2+(AW222/AV222)^2))/(2*SQRT((BE222/BD222)^2+(AW222/AV222)^2)*SQRT((BE222/BD222)^2+(BC222/BB222)^2))</f>
        <v>0.41957162786690694</v>
      </c>
      <c r="T222" s="11">
        <v>6.2700000000000006E-2</v>
      </c>
      <c r="U222" s="11">
        <f t="shared" ref="U222:U230" ca="1" si="67">SQRT(U$2^2+(AK222/AJ222)^2)*T222</f>
        <v>2.886609776190748E-3</v>
      </c>
      <c r="V222" s="6" t="e">
        <f ca="1">IF(agePb6U8(1/O222)&lt;1400,age7corr(1/O222,Q222,$W$2),agePb76(Q222))</f>
        <v>#NAME?</v>
      </c>
      <c r="W222" s="6" t="e">
        <f ca="1">IF(agePb6U8(1/O222)&lt;1400,ageer7corr(V222,1/O222,P222/O222*(1/O222),Q222,R222,$W$2,0.05),ageerPb76(Q222,R222))</f>
        <v>#NAME?</v>
      </c>
      <c r="X222" s="4" t="e">
        <f ca="1">agePb6U8(L222)/agePb7u5(J222)</f>
        <v>#NAME?</v>
      </c>
      <c r="Z222" s="1">
        <v>1.8180000000000001</v>
      </c>
      <c r="AA222" s="1">
        <v>5.7000000000000002E-2</v>
      </c>
      <c r="AB222" s="1">
        <v>0.1716</v>
      </c>
      <c r="AC222" s="1">
        <v>5.3E-3</v>
      </c>
      <c r="AD222" s="1">
        <v>0.99511000000000005</v>
      </c>
      <c r="AE222" s="1">
        <v>5.8275059999999996</v>
      </c>
      <c r="AF222" s="1">
        <v>0.17998710000000001</v>
      </c>
      <c r="AG222" s="1">
        <v>7.6929999999999998E-2</v>
      </c>
      <c r="AH222" s="1">
        <v>2.7E-4</v>
      </c>
      <c r="AI222" s="1">
        <v>-0.12519</v>
      </c>
      <c r="AJ222" s="1">
        <v>6.2700000000000006E-2</v>
      </c>
      <c r="AK222" s="1">
        <v>2.5999999999999999E-3</v>
      </c>
      <c r="AL222" s="1">
        <v>42.9</v>
      </c>
      <c r="AM222" s="1">
        <v>1.1000000000000001</v>
      </c>
      <c r="AN222" s="1">
        <v>1051</v>
      </c>
      <c r="AO222" s="1">
        <v>21</v>
      </c>
      <c r="AP222" s="1">
        <v>1021</v>
      </c>
      <c r="AQ222" s="1">
        <v>29</v>
      </c>
      <c r="AR222" s="1">
        <v>1229</v>
      </c>
      <c r="AS222" s="1">
        <v>50</v>
      </c>
      <c r="AT222" s="1">
        <v>1119.3</v>
      </c>
      <c r="AU222" s="1">
        <v>7</v>
      </c>
      <c r="AV222" s="1">
        <v>71.3</v>
      </c>
      <c r="AW222" s="1">
        <v>1.5</v>
      </c>
      <c r="AX222" s="1">
        <v>1.82</v>
      </c>
      <c r="AY222" s="1">
        <v>0.1</v>
      </c>
      <c r="AZ222" s="1">
        <v>9035.5500000000011</v>
      </c>
      <c r="BA222" s="1">
        <v>329.13</v>
      </c>
      <c r="BB222" s="1">
        <v>36452.699999999997</v>
      </c>
      <c r="BC222" s="1">
        <v>683.09999999999991</v>
      </c>
      <c r="BD222" s="1">
        <v>477548.99999999994</v>
      </c>
      <c r="BE222" s="1">
        <v>8072.9999999999982</v>
      </c>
      <c r="BF222" s="1">
        <v>49.679999999999993</v>
      </c>
      <c r="BG222" s="1">
        <v>6.8310000000000004</v>
      </c>
      <c r="BH222" s="1">
        <f t="shared" ref="BH222:BH230" si="68">BD222/BF222</f>
        <v>9612.5</v>
      </c>
      <c r="BI222" s="1">
        <f t="shared" ref="BI222:BI230" si="69">SQRT((BG222/BF222)^2+(BE222/BD222)^2)*BH222</f>
        <v>1331.6706440038254</v>
      </c>
    </row>
    <row r="223" spans="1:61" x14ac:dyDescent="0.2">
      <c r="A223" t="s">
        <v>713</v>
      </c>
      <c r="B223" t="s">
        <v>38</v>
      </c>
      <c r="C223" t="s">
        <v>714</v>
      </c>
      <c r="D223" t="s">
        <v>715</v>
      </c>
      <c r="E223">
        <v>82983</v>
      </c>
      <c r="F223">
        <v>50719</v>
      </c>
      <c r="G223" t="s">
        <v>715</v>
      </c>
      <c r="H223" s="1">
        <v>225.1</v>
      </c>
      <c r="I223" s="1">
        <v>103.5</v>
      </c>
      <c r="J223" s="10">
        <v>2.1579999999999999</v>
      </c>
      <c r="K223" s="10">
        <f t="shared" ca="1" si="62"/>
        <v>6.3810544583164305E-2</v>
      </c>
      <c r="L223" s="7">
        <v>0.19409999999999999</v>
      </c>
      <c r="M223" s="7">
        <f t="shared" ca="1" si="63"/>
        <v>5.943056789228923E-3</v>
      </c>
      <c r="N223" s="7">
        <v>0.98621999999999999</v>
      </c>
      <c r="O223" s="8">
        <v>5.1519839999999997</v>
      </c>
      <c r="P223" s="8">
        <f t="shared" ca="1" si="64"/>
        <v>0.15774616851366755</v>
      </c>
      <c r="Q223" s="9">
        <v>8.0909999999999996E-2</v>
      </c>
      <c r="R223" s="9">
        <f t="shared" ca="1" si="65"/>
        <v>1.6669046883370385E-3</v>
      </c>
      <c r="S223" s="8">
        <f t="shared" si="66"/>
        <v>0.48372525775392633</v>
      </c>
      <c r="T223" s="11">
        <v>6.6000000000000003E-2</v>
      </c>
      <c r="U223" s="11">
        <f t="shared" ca="1" si="67"/>
        <v>1.7839282496782208E-3</v>
      </c>
      <c r="V223" s="6" t="e">
        <f ca="1">IF(agePb6U8(1/O223)&lt;1400,age7corr(1/O223,Q223,$W$2),agePb76(Q223))</f>
        <v>#NAME?</v>
      </c>
      <c r="W223" s="6" t="e">
        <f ca="1">IF(agePb6U8(1/O223)&lt;1400,ageer7corr(V223,1/O223,P223/O223*(1/O223),Q223,R223,$W$2,0.05),ageerPb76(Q223,R223))</f>
        <v>#NAME?</v>
      </c>
      <c r="X223" s="4" t="e">
        <f ca="1">agePb6U8(L223)/agePb7u5(J223)</f>
        <v>#NAME?</v>
      </c>
      <c r="Z223" s="1">
        <v>2.1579999999999999</v>
      </c>
      <c r="AA223" s="1">
        <v>4.7E-2</v>
      </c>
      <c r="AB223" s="1">
        <v>0.19409999999999999</v>
      </c>
      <c r="AC223" s="1">
        <v>4.4999999999999997E-3</v>
      </c>
      <c r="AD223" s="1">
        <v>0.98621999999999999</v>
      </c>
      <c r="AE223" s="1">
        <v>5.1519839999999997</v>
      </c>
      <c r="AF223" s="1">
        <v>0.1194432</v>
      </c>
      <c r="AG223" s="1">
        <v>8.0909999999999996E-2</v>
      </c>
      <c r="AH223" s="1">
        <v>4.0000000000000002E-4</v>
      </c>
      <c r="AI223" s="1">
        <v>6.0561999999999998E-2</v>
      </c>
      <c r="AJ223" s="1">
        <v>6.6000000000000003E-2</v>
      </c>
      <c r="AK223" s="1">
        <v>1.1999999999999999E-3</v>
      </c>
      <c r="AL223" s="1">
        <v>6.7089999999999996</v>
      </c>
      <c r="AM223" s="1">
        <v>3.1E-2</v>
      </c>
      <c r="AN223" s="1">
        <v>1167</v>
      </c>
      <c r="AO223" s="1">
        <v>15</v>
      </c>
      <c r="AP223" s="1">
        <v>1143</v>
      </c>
      <c r="AQ223" s="1">
        <v>24</v>
      </c>
      <c r="AR223" s="1">
        <v>1292</v>
      </c>
      <c r="AS223" s="1">
        <v>23</v>
      </c>
      <c r="AT223" s="1">
        <v>1219.0999999999999</v>
      </c>
      <c r="AU223" s="1">
        <v>9.6</v>
      </c>
      <c r="AV223" s="1">
        <v>48.7</v>
      </c>
      <c r="AW223" s="1">
        <v>1</v>
      </c>
      <c r="AX223" s="1">
        <v>8.1499999999999986</v>
      </c>
      <c r="AY223" s="1">
        <v>0.15</v>
      </c>
      <c r="AZ223" s="1">
        <v>44463.6</v>
      </c>
      <c r="BA223" s="1">
        <v>931.50000000000011</v>
      </c>
      <c r="BB223" s="1">
        <v>29870.1</v>
      </c>
      <c r="BC223" s="1">
        <v>621</v>
      </c>
      <c r="BD223" s="1">
        <v>372600</v>
      </c>
      <c r="BE223" s="1">
        <v>7452.0000000000009</v>
      </c>
      <c r="BF223" s="1">
        <v>6.2100000000000002E-3</v>
      </c>
      <c r="BG223" s="1">
        <v>3.9123000000000001</v>
      </c>
      <c r="BH223" s="1">
        <f t="shared" si="68"/>
        <v>60000000</v>
      </c>
      <c r="BI223" s="1">
        <f t="shared" si="69"/>
        <v>37800000019.047623</v>
      </c>
    </row>
    <row r="224" spans="1:61" x14ac:dyDescent="0.2">
      <c r="A224" t="s">
        <v>716</v>
      </c>
      <c r="B224" t="s">
        <v>38</v>
      </c>
      <c r="C224" t="s">
        <v>717</v>
      </c>
      <c r="D224" t="s">
        <v>718</v>
      </c>
      <c r="E224">
        <v>82965</v>
      </c>
      <c r="F224">
        <v>50919</v>
      </c>
      <c r="G224" t="s">
        <v>718</v>
      </c>
      <c r="H224" s="1">
        <v>104</v>
      </c>
      <c r="I224" s="1">
        <v>29.59</v>
      </c>
      <c r="J224" s="10">
        <v>2.476</v>
      </c>
      <c r="K224" s="10">
        <f t="shared" ca="1" si="62"/>
        <v>6.7588685443645075E-2</v>
      </c>
      <c r="L224" s="7">
        <v>0.2135</v>
      </c>
      <c r="M224" s="7">
        <f t="shared" ca="1" si="63"/>
        <v>5.782983658977431E-3</v>
      </c>
      <c r="N224" s="7">
        <v>0.98260999999999998</v>
      </c>
      <c r="O224" s="8">
        <v>4.6838410000000001</v>
      </c>
      <c r="P224" s="8">
        <f t="shared" ca="1" si="64"/>
        <v>0.1268692050099503</v>
      </c>
      <c r="Q224" s="9">
        <v>8.4589999999999999E-2</v>
      </c>
      <c r="R224" s="9">
        <f t="shared" ca="1" si="65"/>
        <v>1.7506248141734996E-3</v>
      </c>
      <c r="S224" s="8">
        <f t="shared" si="66"/>
        <v>0.53231471987419321</v>
      </c>
      <c r="T224" s="11">
        <v>7.3300000000000004E-2</v>
      </c>
      <c r="U224" s="11">
        <f t="shared" ca="1" si="67"/>
        <v>1.959376431418935E-3</v>
      </c>
      <c r="V224" s="6" t="e">
        <f ca="1">IF(agePb6U8(1/O224)&lt;1400,age7corr(1/O224,Q224,$W$2),agePb76(Q224))</f>
        <v>#NAME?</v>
      </c>
      <c r="W224" s="6" t="e">
        <f ca="1">IF(agePb6U8(1/O224)&lt;1400,ageer7corr(V224,1/O224,P224/O224*(1/O224),Q224,R224,$W$2,0.05),ageerPb76(Q224,R224))</f>
        <v>#NAME?</v>
      </c>
      <c r="X224" s="4" t="e">
        <f ca="1">agePb6U8(L224)/agePb7u5(J224)</f>
        <v>#NAME?</v>
      </c>
      <c r="Z224" s="1">
        <v>2.476</v>
      </c>
      <c r="AA224" s="1">
        <v>4.5999999999999999E-2</v>
      </c>
      <c r="AB224" s="1">
        <v>0.2135</v>
      </c>
      <c r="AC224" s="1">
        <v>3.8999999999999998E-3</v>
      </c>
      <c r="AD224" s="1">
        <v>0.98260999999999998</v>
      </c>
      <c r="AE224" s="1">
        <v>4.6838410000000001</v>
      </c>
      <c r="AF224" s="1">
        <v>8.5559620000000003E-2</v>
      </c>
      <c r="AG224" s="1">
        <v>8.4589999999999999E-2</v>
      </c>
      <c r="AH224" s="1">
        <v>4.4999999999999999E-4</v>
      </c>
      <c r="AI224" s="1">
        <v>-0.14274999999999999</v>
      </c>
      <c r="AJ224" s="1">
        <v>7.3300000000000004E-2</v>
      </c>
      <c r="AK224" s="1">
        <v>1.2999999999999999E-3</v>
      </c>
      <c r="AL224" s="1">
        <v>10.97</v>
      </c>
      <c r="AM224" s="1">
        <v>5.2999999999999999E-2</v>
      </c>
      <c r="AN224" s="1">
        <v>1265</v>
      </c>
      <c r="AO224" s="1">
        <v>13</v>
      </c>
      <c r="AP224" s="1">
        <v>1247</v>
      </c>
      <c r="AQ224" s="1">
        <v>20</v>
      </c>
      <c r="AR224" s="1">
        <v>1430</v>
      </c>
      <c r="AS224" s="1">
        <v>25</v>
      </c>
      <c r="AT224" s="1">
        <v>1306</v>
      </c>
      <c r="AU224" s="1">
        <v>10</v>
      </c>
      <c r="AV224" s="1">
        <v>22.48</v>
      </c>
      <c r="AW224" s="1">
        <v>0.42000000000000004</v>
      </c>
      <c r="AX224" s="1">
        <v>2.3289999999999997</v>
      </c>
      <c r="AY224" s="1">
        <v>4.9000000000000002E-2</v>
      </c>
      <c r="AZ224" s="1">
        <v>13947.660000000002</v>
      </c>
      <c r="BA224" s="1">
        <v>229.77</v>
      </c>
      <c r="BB224" s="1">
        <v>15910.019999999999</v>
      </c>
      <c r="BC224" s="1">
        <v>235.98</v>
      </c>
      <c r="BD224" s="1">
        <v>190957.5</v>
      </c>
      <c r="BE224" s="1">
        <v>3415.5</v>
      </c>
      <c r="BF224" s="1">
        <v>-6.2099999999999991</v>
      </c>
      <c r="BG224" s="1">
        <v>6.8310000000000004</v>
      </c>
      <c r="BH224" s="1">
        <f t="shared" si="68"/>
        <v>-30750.000000000004</v>
      </c>
      <c r="BI224" s="1">
        <f t="shared" si="69"/>
        <v>-33829.471249193375</v>
      </c>
    </row>
    <row r="225" spans="1:61" x14ac:dyDescent="0.2">
      <c r="A225" t="s">
        <v>719</v>
      </c>
      <c r="B225" t="s">
        <v>38</v>
      </c>
      <c r="C225" t="s">
        <v>720</v>
      </c>
      <c r="D225" t="s">
        <v>721</v>
      </c>
      <c r="E225">
        <v>83123</v>
      </c>
      <c r="F225">
        <v>51215</v>
      </c>
      <c r="G225" t="s">
        <v>721</v>
      </c>
      <c r="H225" s="1">
        <v>242.6</v>
      </c>
      <c r="I225" s="1">
        <v>57.8</v>
      </c>
      <c r="J225" s="10">
        <v>2.1389999999999998</v>
      </c>
      <c r="K225" s="10">
        <f t="shared" ca="1" si="62"/>
        <v>6.3554137552168849E-2</v>
      </c>
      <c r="L225" s="7">
        <v>0.1938</v>
      </c>
      <c r="M225" s="7">
        <f t="shared" ca="1" si="63"/>
        <v>6.0920748518054181E-3</v>
      </c>
      <c r="N225" s="7">
        <v>0.98833000000000004</v>
      </c>
      <c r="O225" s="8">
        <v>5.1599589999999997</v>
      </c>
      <c r="P225" s="8">
        <f t="shared" ca="1" si="64"/>
        <v>0.16220254276540302</v>
      </c>
      <c r="Q225" s="9">
        <v>8.0259999999999998E-2</v>
      </c>
      <c r="R225" s="9">
        <f t="shared" ca="1" si="65"/>
        <v>1.6472908182831589E-3</v>
      </c>
      <c r="S225" s="8">
        <f t="shared" si="66"/>
        <v>0.54980556081638876</v>
      </c>
      <c r="T225" s="11">
        <v>6.7100000000000007E-2</v>
      </c>
      <c r="U225" s="11">
        <f t="shared" ca="1" si="67"/>
        <v>2.0882921251587387E-3</v>
      </c>
      <c r="V225" s="6" t="e">
        <f ca="1">IF(agePb6U8(1/O225)&lt;1400,age7corr(1/O225,Q225,$W$2),agePb76(Q225))</f>
        <v>#NAME?</v>
      </c>
      <c r="W225" s="6" t="e">
        <f ca="1">IF(agePb6U8(1/O225)&lt;1400,ageer7corr(V225,1/O225,P225/O225*(1/O225),Q225,R225,$W$2,0.05),ageerPb76(Q225,R225))</f>
        <v>#NAME?</v>
      </c>
      <c r="X225" s="4" t="e">
        <f ca="1">agePb6U8(L225)/agePb7u5(J225)</f>
        <v>#NAME?</v>
      </c>
      <c r="Z225" s="1">
        <v>2.1389999999999998</v>
      </c>
      <c r="AA225" s="1">
        <v>4.7E-2</v>
      </c>
      <c r="AB225" s="1">
        <v>0.1938</v>
      </c>
      <c r="AC225" s="1">
        <v>4.7000000000000002E-3</v>
      </c>
      <c r="AD225" s="1">
        <v>0.98833000000000004</v>
      </c>
      <c r="AE225" s="1">
        <v>5.1599589999999997</v>
      </c>
      <c r="AF225" s="1">
        <v>0.12513830000000001</v>
      </c>
      <c r="AG225" s="1">
        <v>8.0259999999999998E-2</v>
      </c>
      <c r="AH225" s="1">
        <v>3.6999999999999999E-4</v>
      </c>
      <c r="AI225" s="1">
        <v>0.30007</v>
      </c>
      <c r="AJ225" s="1">
        <v>6.7100000000000007E-2</v>
      </c>
      <c r="AK225" s="1">
        <v>1.6000000000000001E-3</v>
      </c>
      <c r="AL225" s="1">
        <v>12.794</v>
      </c>
      <c r="AM225" s="1">
        <v>4.4999999999999998E-2</v>
      </c>
      <c r="AN225" s="1">
        <v>1161</v>
      </c>
      <c r="AO225" s="1">
        <v>15</v>
      </c>
      <c r="AP225" s="1">
        <v>1142</v>
      </c>
      <c r="AQ225" s="1">
        <v>25</v>
      </c>
      <c r="AR225" s="1">
        <v>1312</v>
      </c>
      <c r="AS225" s="1">
        <v>31</v>
      </c>
      <c r="AT225" s="1">
        <v>1203.3</v>
      </c>
      <c r="AU225" s="1">
        <v>9</v>
      </c>
      <c r="AV225" s="1">
        <v>52.43</v>
      </c>
      <c r="AW225" s="1">
        <v>0.75</v>
      </c>
      <c r="AX225" s="1">
        <v>4.55</v>
      </c>
      <c r="AY225" s="1">
        <v>9.2999999999999999E-2</v>
      </c>
      <c r="AZ225" s="1">
        <v>24690.959999999999</v>
      </c>
      <c r="BA225" s="1">
        <v>397.43999999999994</v>
      </c>
      <c r="BB225" s="1">
        <v>31298.400000000001</v>
      </c>
      <c r="BC225" s="1">
        <v>447.12</v>
      </c>
      <c r="BD225" s="1">
        <v>393093</v>
      </c>
      <c r="BE225" s="1">
        <v>6210</v>
      </c>
      <c r="BF225" s="1">
        <v>6.2099999999999991</v>
      </c>
      <c r="BG225" s="1">
        <v>6.8310000000000004</v>
      </c>
      <c r="BH225" s="1">
        <f t="shared" si="68"/>
        <v>63300.000000000007</v>
      </c>
      <c r="BI225" s="1">
        <f t="shared" si="69"/>
        <v>69637.180442634257</v>
      </c>
    </row>
    <row r="226" spans="1:61" x14ac:dyDescent="0.2">
      <c r="A226" t="s">
        <v>722</v>
      </c>
      <c r="B226" t="s">
        <v>38</v>
      </c>
      <c r="C226" t="s">
        <v>723</v>
      </c>
      <c r="D226" t="s">
        <v>724</v>
      </c>
      <c r="E226">
        <v>83018</v>
      </c>
      <c r="F226">
        <v>51453</v>
      </c>
      <c r="G226" t="s">
        <v>724</v>
      </c>
      <c r="H226" s="1">
        <v>37.450000000000003</v>
      </c>
      <c r="I226" s="1">
        <v>23.83</v>
      </c>
      <c r="J226" s="10">
        <v>2.532</v>
      </c>
      <c r="K226" s="10">
        <f t="shared" ca="1" si="62"/>
        <v>8.6396814756100823E-2</v>
      </c>
      <c r="L226" s="7">
        <v>0.2152</v>
      </c>
      <c r="M226" s="7">
        <f t="shared" ca="1" si="63"/>
        <v>7.1424376791120849E-3</v>
      </c>
      <c r="N226" s="7">
        <v>0.95694000000000001</v>
      </c>
      <c r="O226" s="8">
        <v>4.6468400000000001</v>
      </c>
      <c r="P226" s="8">
        <f t="shared" ca="1" si="64"/>
        <v>0.15422753360823743</v>
      </c>
      <c r="Q226" s="9">
        <v>8.4290000000000004E-2</v>
      </c>
      <c r="R226" s="9">
        <f t="shared" ca="1" si="65"/>
        <v>1.9157300540525014E-3</v>
      </c>
      <c r="S226" s="8">
        <f t="shared" si="66"/>
        <v>0.5954361719917356</v>
      </c>
      <c r="T226" s="11">
        <v>7.7100000000000002E-2</v>
      </c>
      <c r="U226" s="11">
        <f t="shared" ca="1" si="67"/>
        <v>2.8526766378263067E-3</v>
      </c>
      <c r="V226" s="6" t="e">
        <f ca="1">IF(agePb6U8(1/O226)&lt;1400,age7corr(1/O226,Q226,$W$2),agePb76(Q226))</f>
        <v>#NAME?</v>
      </c>
      <c r="W226" s="6" t="e">
        <f ca="1">IF(agePb6U8(1/O226)&lt;1400,ageer7corr(V226,1/O226,P226/O226*(1/O226),Q226,R226,$W$2,0.05),ageerPb76(Q226,R226))</f>
        <v>#NAME?</v>
      </c>
      <c r="X226" s="4" t="e">
        <f ca="1">agePb6U8(L226)/agePb7u5(J226)</f>
        <v>#NAME?</v>
      </c>
      <c r="Z226" s="1">
        <v>2.532</v>
      </c>
      <c r="AA226" s="1">
        <v>7.0000000000000007E-2</v>
      </c>
      <c r="AB226" s="1">
        <v>0.2152</v>
      </c>
      <c r="AC226" s="1">
        <v>5.7000000000000002E-3</v>
      </c>
      <c r="AD226" s="1">
        <v>0.95694000000000001</v>
      </c>
      <c r="AE226" s="1">
        <v>4.6468400000000001</v>
      </c>
      <c r="AF226" s="1">
        <v>0.1230808</v>
      </c>
      <c r="AG226" s="1">
        <v>8.4290000000000004E-2</v>
      </c>
      <c r="AH226" s="1">
        <v>9.1E-4</v>
      </c>
      <c r="AI226" s="1">
        <v>-1.9671000000000001E-2</v>
      </c>
      <c r="AJ226" s="1">
        <v>7.7100000000000002E-2</v>
      </c>
      <c r="AK226" s="1">
        <v>2.3999999999999998E-3</v>
      </c>
      <c r="AL226" s="1">
        <v>4.6029999999999998</v>
      </c>
      <c r="AM226" s="1">
        <v>2.7E-2</v>
      </c>
      <c r="AN226" s="1">
        <v>1280</v>
      </c>
      <c r="AO226" s="1">
        <v>20</v>
      </c>
      <c r="AP226" s="1">
        <v>1256</v>
      </c>
      <c r="AQ226" s="1">
        <v>30</v>
      </c>
      <c r="AR226" s="1">
        <v>1501</v>
      </c>
      <c r="AS226" s="1">
        <v>44</v>
      </c>
      <c r="AT226" s="1">
        <v>1299</v>
      </c>
      <c r="AU226" s="1">
        <v>21</v>
      </c>
      <c r="AV226" s="1">
        <v>8.0950000000000006</v>
      </c>
      <c r="AW226" s="1">
        <v>9.6000000000000002E-2</v>
      </c>
      <c r="AX226" s="1">
        <v>1.875</v>
      </c>
      <c r="AY226" s="1">
        <v>0.05</v>
      </c>
      <c r="AZ226" s="1">
        <v>12010.140000000001</v>
      </c>
      <c r="BA226" s="1">
        <v>279.45000000000005</v>
      </c>
      <c r="BB226" s="1">
        <v>5713.2</v>
      </c>
      <c r="BC226" s="1">
        <v>117.99</v>
      </c>
      <c r="BD226" s="1">
        <v>68744.7</v>
      </c>
      <c r="BE226" s="1">
        <v>1366.1999999999998</v>
      </c>
      <c r="BF226" s="1">
        <v>0.621</v>
      </c>
      <c r="BG226" s="1">
        <v>6.2099999999999991</v>
      </c>
      <c r="BH226" s="1">
        <f t="shared" si="68"/>
        <v>110700</v>
      </c>
      <c r="BI226" s="1">
        <f t="shared" si="69"/>
        <v>1107002.186086369</v>
      </c>
    </row>
    <row r="227" spans="1:61" x14ac:dyDescent="0.2">
      <c r="A227" t="s">
        <v>725</v>
      </c>
      <c r="B227" t="s">
        <v>38</v>
      </c>
      <c r="C227" t="s">
        <v>726</v>
      </c>
      <c r="D227" t="s">
        <v>727</v>
      </c>
      <c r="E227">
        <v>83070</v>
      </c>
      <c r="F227">
        <v>51752</v>
      </c>
      <c r="G227" t="s">
        <v>727</v>
      </c>
      <c r="H227" s="1">
        <v>63.1</v>
      </c>
      <c r="I227" s="1">
        <v>30.62</v>
      </c>
      <c r="J227" s="10">
        <v>1.899</v>
      </c>
      <c r="K227" s="10">
        <f t="shared" ca="1" si="62"/>
        <v>6.0427480503492781E-2</v>
      </c>
      <c r="L227" s="7">
        <v>0.18110000000000001</v>
      </c>
      <c r="M227" s="7">
        <f t="shared" ca="1" si="63"/>
        <v>5.7765806494846066E-3</v>
      </c>
      <c r="N227" s="7">
        <v>0.92954000000000003</v>
      </c>
      <c r="O227" s="8">
        <v>5.5218109999999996</v>
      </c>
      <c r="P227" s="8">
        <f t="shared" ca="1" si="64"/>
        <v>0.1761302491173177</v>
      </c>
      <c r="Q227" s="9">
        <v>7.6410000000000006E-2</v>
      </c>
      <c r="R227" s="9">
        <f t="shared" ca="1" si="65"/>
        <v>1.6417658907408206E-3</v>
      </c>
      <c r="S227" s="8">
        <f t="shared" si="66"/>
        <v>0.51098342306736555</v>
      </c>
      <c r="T227" s="11">
        <v>6.3399999999999998E-2</v>
      </c>
      <c r="U227" s="11">
        <f t="shared" ca="1" si="67"/>
        <v>2.2017774637778449E-3</v>
      </c>
      <c r="V227" s="6" t="e">
        <f ca="1">IF(agePb6U8(1/O227)&lt;1400,age7corr(1/O227,Q227,$W$2),agePb76(Q227))</f>
        <v>#NAME?</v>
      </c>
      <c r="W227" s="6" t="e">
        <f ca="1">IF(agePb6U8(1/O227)&lt;1400,ageer7corr(V227,1/O227,P227/O227*(1/O227),Q227,R227,$W$2,0.05),ageerPb76(Q227,R227))</f>
        <v>#NAME?</v>
      </c>
      <c r="X227" s="4" t="e">
        <f ca="1">agePb6U8(L227)/agePb7u5(J227)</f>
        <v>#NAME?</v>
      </c>
      <c r="Z227" s="1">
        <v>1.899</v>
      </c>
      <c r="AA227" s="1">
        <v>4.7E-2</v>
      </c>
      <c r="AB227" s="1">
        <v>0.18110000000000001</v>
      </c>
      <c r="AC227" s="1">
        <v>4.4999999999999997E-3</v>
      </c>
      <c r="AD227" s="1">
        <v>0.92954000000000003</v>
      </c>
      <c r="AE227" s="1">
        <v>5.5218109999999996</v>
      </c>
      <c r="AF227" s="1">
        <v>0.13720679999999999</v>
      </c>
      <c r="AG227" s="1">
        <v>7.6410000000000006E-2</v>
      </c>
      <c r="AH227" s="1">
        <v>5.9999999999999995E-4</v>
      </c>
      <c r="AI227" s="1">
        <v>0.11914</v>
      </c>
      <c r="AJ227" s="1">
        <v>6.3399999999999998E-2</v>
      </c>
      <c r="AK227" s="1">
        <v>1.8E-3</v>
      </c>
      <c r="AL227" s="1">
        <v>6.1619999999999999</v>
      </c>
      <c r="AM227" s="1">
        <v>6.0999999999999999E-2</v>
      </c>
      <c r="AN227" s="1">
        <v>1080</v>
      </c>
      <c r="AO227" s="1">
        <v>17</v>
      </c>
      <c r="AP227" s="1">
        <v>1073</v>
      </c>
      <c r="AQ227" s="1">
        <v>25</v>
      </c>
      <c r="AR227" s="1">
        <v>1241</v>
      </c>
      <c r="AS227" s="1">
        <v>34</v>
      </c>
      <c r="AT227" s="1">
        <v>1105</v>
      </c>
      <c r="AU227" s="1">
        <v>16</v>
      </c>
      <c r="AV227" s="1">
        <v>13.639999999999999</v>
      </c>
      <c r="AW227" s="1">
        <v>0.28999999999999998</v>
      </c>
      <c r="AX227" s="1">
        <v>2.4099999999999997</v>
      </c>
      <c r="AY227" s="1">
        <v>5.0999999999999997E-2</v>
      </c>
      <c r="AZ227" s="1">
        <v>12482.1</v>
      </c>
      <c r="BA227" s="1">
        <v>235.98</v>
      </c>
      <c r="BB227" s="1">
        <v>7240.86</v>
      </c>
      <c r="BC227" s="1">
        <v>149.04</v>
      </c>
      <c r="BD227" s="1">
        <v>95820.3</v>
      </c>
      <c r="BE227" s="1">
        <v>2049.3000000000002</v>
      </c>
      <c r="BF227" s="1">
        <v>-0.12420000000000002</v>
      </c>
      <c r="BG227" s="1">
        <v>6.8310000000000004</v>
      </c>
      <c r="BH227" s="1">
        <f t="shared" si="68"/>
        <v>-771499.99999999988</v>
      </c>
      <c r="BI227" s="1">
        <f t="shared" si="69"/>
        <v>-42432503.208036155</v>
      </c>
    </row>
    <row r="228" spans="1:61" x14ac:dyDescent="0.2">
      <c r="A228" t="s">
        <v>728</v>
      </c>
      <c r="B228" t="s">
        <v>38</v>
      </c>
      <c r="C228" t="s">
        <v>729</v>
      </c>
      <c r="D228" t="s">
        <v>730</v>
      </c>
      <c r="E228">
        <v>83070</v>
      </c>
      <c r="F228">
        <v>51910</v>
      </c>
      <c r="G228" t="s">
        <v>730</v>
      </c>
      <c r="H228" s="1">
        <v>160</v>
      </c>
      <c r="I228" s="1">
        <v>67.7</v>
      </c>
      <c r="J228" s="10">
        <v>1.8919999999999999</v>
      </c>
      <c r="K228" s="10">
        <f t="shared" ca="1" si="62"/>
        <v>5.9563962259070714E-2</v>
      </c>
      <c r="L228" s="7">
        <v>0.18079999999999999</v>
      </c>
      <c r="M228" s="7">
        <f t="shared" ca="1" si="63"/>
        <v>5.5421526503697093E-3</v>
      </c>
      <c r="N228" s="7">
        <v>0.97479000000000005</v>
      </c>
      <c r="O228" s="8">
        <v>5.5309730000000004</v>
      </c>
      <c r="P228" s="8">
        <f t="shared" ca="1" si="64"/>
        <v>0.16954368214619972</v>
      </c>
      <c r="Q228" s="9">
        <v>7.6189999999999994E-2</v>
      </c>
      <c r="R228" s="9">
        <f t="shared" ca="1" si="65"/>
        <v>1.606880966344427E-3</v>
      </c>
      <c r="S228" s="8">
        <f t="shared" si="66"/>
        <v>0.4592275543943799</v>
      </c>
      <c r="T228" s="11">
        <v>6.4699999999999994E-2</v>
      </c>
      <c r="U228" s="11">
        <f t="shared" ca="1" si="67"/>
        <v>2.2987901165613181E-3</v>
      </c>
      <c r="V228" s="6" t="e">
        <f ca="1">IF(agePb6U8(1/O228)&lt;1400,age7corr(1/O228,Q228,$W$2),agePb76(Q228))</f>
        <v>#NAME?</v>
      </c>
      <c r="W228" s="6" t="e">
        <f ca="1">IF(agePb6U8(1/O228)&lt;1400,ageer7corr(V228,1/O228,P228/O228*(1/O228),Q228,R228,$W$2,0.05),ageerPb76(Q228,R228))</f>
        <v>#NAME?</v>
      </c>
      <c r="X228" s="4" t="e">
        <f ca="1">agePb6U8(L228)/agePb7u5(J228)</f>
        <v>#NAME?</v>
      </c>
      <c r="Z228" s="1">
        <v>1.8919999999999999</v>
      </c>
      <c r="AA228" s="1">
        <v>4.5999999999999999E-2</v>
      </c>
      <c r="AB228" s="1">
        <v>0.18079999999999999</v>
      </c>
      <c r="AC228" s="1">
        <v>4.1999999999999997E-3</v>
      </c>
      <c r="AD228" s="1">
        <v>0.97479000000000005</v>
      </c>
      <c r="AE228" s="1">
        <v>5.5309730000000004</v>
      </c>
      <c r="AF228" s="1">
        <v>0.12848499999999999</v>
      </c>
      <c r="AG228" s="1">
        <v>7.6189999999999994E-2</v>
      </c>
      <c r="AH228" s="1">
        <v>5.1000000000000004E-4</v>
      </c>
      <c r="AI228" s="1">
        <v>0.15870999999999999</v>
      </c>
      <c r="AJ228" s="1">
        <v>6.4699999999999994E-2</v>
      </c>
      <c r="AK228" s="1">
        <v>1.9E-3</v>
      </c>
      <c r="AL228" s="1">
        <v>7.01</v>
      </c>
      <c r="AM228" s="1">
        <v>2.5999999999999999E-2</v>
      </c>
      <c r="AN228" s="1">
        <v>1078</v>
      </c>
      <c r="AO228" s="1">
        <v>16</v>
      </c>
      <c r="AP228" s="1">
        <v>1071</v>
      </c>
      <c r="AQ228" s="1">
        <v>23</v>
      </c>
      <c r="AR228" s="1">
        <v>1267</v>
      </c>
      <c r="AS228" s="1">
        <v>35</v>
      </c>
      <c r="AT228" s="1">
        <v>1100</v>
      </c>
      <c r="AU228" s="1">
        <v>13</v>
      </c>
      <c r="AV228" s="1">
        <v>34.58</v>
      </c>
      <c r="AW228" s="1">
        <v>0.66</v>
      </c>
      <c r="AX228" s="1">
        <v>5.33</v>
      </c>
      <c r="AY228" s="1">
        <v>0.12000000000000001</v>
      </c>
      <c r="AZ228" s="1">
        <v>27994.680000000004</v>
      </c>
      <c r="BA228" s="1">
        <v>571.31999999999994</v>
      </c>
      <c r="BB228" s="1">
        <v>18269.82</v>
      </c>
      <c r="BC228" s="1">
        <v>366.39</v>
      </c>
      <c r="BD228" s="1">
        <v>244487.7</v>
      </c>
      <c r="BE228" s="1">
        <v>4409.1000000000004</v>
      </c>
      <c r="BF228" s="1">
        <v>8.6940000000000008</v>
      </c>
      <c r="BG228" s="1">
        <v>7.4519999999999991</v>
      </c>
      <c r="BH228" s="1">
        <f t="shared" si="68"/>
        <v>28121.428571428569</v>
      </c>
      <c r="BI228" s="1">
        <f t="shared" si="69"/>
        <v>24109.416111369297</v>
      </c>
    </row>
    <row r="229" spans="1:61" s="23" customFormat="1" x14ac:dyDescent="0.2">
      <c r="A229" s="23" t="s">
        <v>737</v>
      </c>
      <c r="B229" s="23" t="s">
        <v>38</v>
      </c>
      <c r="C229" s="23" t="s">
        <v>738</v>
      </c>
      <c r="D229" s="23" t="s">
        <v>739</v>
      </c>
      <c r="E229" s="23">
        <v>83131</v>
      </c>
      <c r="F229" s="23">
        <v>52170</v>
      </c>
      <c r="G229" s="23" t="s">
        <v>739</v>
      </c>
      <c r="H229" s="24">
        <v>73.599999999999994</v>
      </c>
      <c r="I229" s="24">
        <v>89.8</v>
      </c>
      <c r="J229" s="25">
        <v>6.31</v>
      </c>
      <c r="K229" s="25">
        <f t="shared" ca="1" si="62"/>
        <v>0.37205703863789485</v>
      </c>
      <c r="L229" s="26">
        <v>0.26790000000000003</v>
      </c>
      <c r="M229" s="26">
        <f t="shared" ca="1" si="63"/>
        <v>9.1360912867593444E-3</v>
      </c>
      <c r="N229" s="26">
        <v>0.74406000000000005</v>
      </c>
      <c r="O229" s="26">
        <v>3.7327360000000001</v>
      </c>
      <c r="P229" s="26">
        <f t="shared" ca="1" si="64"/>
        <v>0.12729610434667041</v>
      </c>
      <c r="Q229" s="25">
        <v>0.16869999999999999</v>
      </c>
      <c r="R229" s="25">
        <f t="shared" ca="1" si="65"/>
        <v>7.4124136419927347E-3</v>
      </c>
      <c r="S229" s="26">
        <f t="shared" si="66"/>
        <v>0.29977440265511529</v>
      </c>
      <c r="T229" s="25">
        <v>0.13400000000000001</v>
      </c>
      <c r="U229" s="25">
        <f t="shared" ca="1" si="67"/>
        <v>6.298603019717945E-3</v>
      </c>
      <c r="V229" s="24" t="e">
        <f ca="1">IF(agePb6U8(1/O229)&lt;1400,age7corr(1/O229,Q229,$W$2),agePb76(Q229))</f>
        <v>#NAME?</v>
      </c>
      <c r="W229" s="24" t="e">
        <f ca="1">IF(agePb6U8(1/O229)&lt;1400,ageer7corr(V229,1/O229,P229/O229*(1/O229),Q229,R229,$W$2,0.05),ageerPb76(Q229,R229))</f>
        <v>#NAME?</v>
      </c>
      <c r="X229" s="26" t="e">
        <f ca="1">agePb6U8(L229)/agePb7u5(J229)</f>
        <v>#NAME?</v>
      </c>
      <c r="Y229" s="24"/>
      <c r="Z229" s="24">
        <v>6.31</v>
      </c>
      <c r="AA229" s="24">
        <v>0.35</v>
      </c>
      <c r="AB229" s="24">
        <v>0.26790000000000003</v>
      </c>
      <c r="AC229" s="24">
        <v>7.4000000000000003E-3</v>
      </c>
      <c r="AD229" s="24">
        <v>0.74406000000000005</v>
      </c>
      <c r="AE229" s="24">
        <v>3.7327360000000001</v>
      </c>
      <c r="AF229" s="24">
        <v>0.10310660000000001</v>
      </c>
      <c r="AG229" s="24">
        <v>0.16869999999999999</v>
      </c>
      <c r="AH229" s="24">
        <v>6.6E-3</v>
      </c>
      <c r="AI229" s="24">
        <v>-0.23111999999999999</v>
      </c>
      <c r="AJ229" s="24">
        <v>0.13400000000000001</v>
      </c>
      <c r="AK229" s="24">
        <v>5.7000000000000002E-3</v>
      </c>
      <c r="AL229" s="24">
        <v>1.7569999999999999</v>
      </c>
      <c r="AM229" s="24">
        <v>4.7E-2</v>
      </c>
      <c r="AN229" s="24">
        <v>2025</v>
      </c>
      <c r="AO229" s="24">
        <v>52</v>
      </c>
      <c r="AP229" s="24">
        <v>1530</v>
      </c>
      <c r="AQ229" s="24">
        <v>37</v>
      </c>
      <c r="AR229" s="24">
        <v>2540</v>
      </c>
      <c r="AS229" s="24">
        <v>100</v>
      </c>
      <c r="AT229" s="24">
        <v>2552</v>
      </c>
      <c r="AU229" s="24">
        <v>68</v>
      </c>
      <c r="AV229" s="24">
        <v>15.9</v>
      </c>
      <c r="AW229" s="24">
        <v>0.44</v>
      </c>
      <c r="AX229" s="24">
        <v>7.0629999999999997</v>
      </c>
      <c r="AY229" s="24">
        <v>8.6000000000000007E-2</v>
      </c>
      <c r="AZ229" s="24">
        <v>77873.399999999994</v>
      </c>
      <c r="BA229" s="24">
        <v>3663.8999999999996</v>
      </c>
      <c r="BB229" s="24">
        <v>28628.1</v>
      </c>
      <c r="BC229" s="24">
        <v>1676.7</v>
      </c>
      <c r="BD229" s="24">
        <v>169284.6</v>
      </c>
      <c r="BE229" s="24">
        <v>4657.5</v>
      </c>
      <c r="BF229" s="24">
        <v>1037.07</v>
      </c>
      <c r="BG229" s="24">
        <v>105.57000000000001</v>
      </c>
      <c r="BH229" s="24">
        <f t="shared" si="68"/>
        <v>163.23353293413174</v>
      </c>
      <c r="BI229" s="24">
        <f t="shared" si="69"/>
        <v>17.212792104344523</v>
      </c>
    </row>
    <row r="230" spans="1:61" x14ac:dyDescent="0.2">
      <c r="A230" t="s">
        <v>740</v>
      </c>
      <c r="B230" t="s">
        <v>38</v>
      </c>
      <c r="C230" t="s">
        <v>741</v>
      </c>
      <c r="D230" t="s">
        <v>742</v>
      </c>
      <c r="E230">
        <v>82991</v>
      </c>
      <c r="F230">
        <v>52361</v>
      </c>
      <c r="G230" t="s">
        <v>742</v>
      </c>
      <c r="H230" s="1">
        <v>82.5</v>
      </c>
      <c r="I230" s="1">
        <v>24.7</v>
      </c>
      <c r="J230" s="10">
        <v>2.1890000000000001</v>
      </c>
      <c r="K230" s="10">
        <f t="shared" ca="1" si="62"/>
        <v>7.6718240334355953E-2</v>
      </c>
      <c r="L230" s="7">
        <v>0.19939999999999999</v>
      </c>
      <c r="M230" s="7">
        <f t="shared" ca="1" si="63"/>
        <v>6.712983241450852E-3</v>
      </c>
      <c r="N230" s="7">
        <v>0.98643000000000003</v>
      </c>
      <c r="O230" s="8">
        <v>5.0150449999999998</v>
      </c>
      <c r="P230" s="8">
        <f t="shared" ca="1" si="64"/>
        <v>0.16883610884079273</v>
      </c>
      <c r="Q230" s="9">
        <v>7.9869999999999997E-2</v>
      </c>
      <c r="R230" s="9">
        <f t="shared" ca="1" si="65"/>
        <v>1.6799067712227366E-3</v>
      </c>
      <c r="S230" s="8">
        <f t="shared" si="66"/>
        <v>0.47001233445396029</v>
      </c>
      <c r="T230" s="11">
        <v>7.9399999999999998E-2</v>
      </c>
      <c r="U230" s="11">
        <f t="shared" ca="1" si="67"/>
        <v>3.0465954769217391E-3</v>
      </c>
      <c r="V230" s="6" t="e">
        <f ca="1">IF(agePb6U8(1/O230)&lt;1400,age7corr(1/O230,Q230,$W$2),agePb76(Q230))</f>
        <v>#NAME?</v>
      </c>
      <c r="W230" s="6" t="e">
        <f ca="1">IF(agePb6U8(1/O230)&lt;1400,ageer7corr(V230,1/O230,P230/O230*(1/O230),Q230,R230,$W$2,0.05),ageerPb76(Q230,R230))</f>
        <v>#NAME?</v>
      </c>
      <c r="X230" s="4" t="e">
        <f ca="1">agePb6U8(L230)/agePb7u5(J230)</f>
        <v>#NAME?</v>
      </c>
      <c r="Z230" s="1">
        <v>2.1890000000000001</v>
      </c>
      <c r="AA230" s="1">
        <v>6.3E-2</v>
      </c>
      <c r="AB230" s="1">
        <v>0.19939999999999999</v>
      </c>
      <c r="AC230" s="1">
        <v>5.4000000000000003E-3</v>
      </c>
      <c r="AD230" s="1">
        <v>0.98643000000000003</v>
      </c>
      <c r="AE230" s="1">
        <v>5.0150449999999998</v>
      </c>
      <c r="AF230" s="1">
        <v>0.13581370000000001</v>
      </c>
      <c r="AG230" s="1">
        <v>7.9869999999999997E-2</v>
      </c>
      <c r="AH230" s="1">
        <v>5.1999999999999995E-4</v>
      </c>
      <c r="AI230" s="1">
        <v>-0.30127999999999999</v>
      </c>
      <c r="AJ230" s="1">
        <v>7.9399999999999998E-2</v>
      </c>
      <c r="AK230" s="1">
        <v>2.5999999999999999E-3</v>
      </c>
      <c r="AL230" s="1">
        <v>8.8520000000000003</v>
      </c>
      <c r="AM230" s="1">
        <v>3.7999999999999999E-2</v>
      </c>
      <c r="AN230" s="1">
        <v>1177</v>
      </c>
      <c r="AO230" s="1">
        <v>20</v>
      </c>
      <c r="AP230" s="1">
        <v>1172</v>
      </c>
      <c r="AQ230" s="1">
        <v>29</v>
      </c>
      <c r="AR230" s="1">
        <v>1544</v>
      </c>
      <c r="AS230" s="1">
        <v>48</v>
      </c>
      <c r="AT230" s="1">
        <v>1196</v>
      </c>
      <c r="AU230" s="1">
        <v>12</v>
      </c>
      <c r="AV230" s="1">
        <v>17.829999999999998</v>
      </c>
      <c r="AW230" s="1">
        <v>0.34</v>
      </c>
      <c r="AX230" s="1">
        <v>1.9400000000000002</v>
      </c>
      <c r="AY230" s="1">
        <v>7.8E-2</v>
      </c>
      <c r="AZ230" s="1">
        <v>12463.47</v>
      </c>
      <c r="BA230" s="1">
        <v>235.98</v>
      </c>
      <c r="BB230" s="1">
        <v>10948.230000000001</v>
      </c>
      <c r="BC230" s="1">
        <v>229.77</v>
      </c>
      <c r="BD230" s="1">
        <v>138296.69999999998</v>
      </c>
      <c r="BE230" s="1">
        <v>2608.1999999999998</v>
      </c>
      <c r="BF230" s="1">
        <v>5.7752999999999997</v>
      </c>
      <c r="BG230" s="1">
        <v>5.8995000000000006</v>
      </c>
      <c r="BH230" s="1">
        <f t="shared" si="68"/>
        <v>23946.236559139783</v>
      </c>
      <c r="BI230" s="1">
        <f t="shared" si="69"/>
        <v>24465.377964707026</v>
      </c>
    </row>
    <row r="231" spans="1:61" x14ac:dyDescent="0.2">
      <c r="X231" s="4"/>
    </row>
    <row r="232" spans="1:61" x14ac:dyDescent="0.2">
      <c r="X232" s="4"/>
    </row>
    <row r="233" spans="1:61" s="23" customFormat="1" x14ac:dyDescent="0.2">
      <c r="A233" s="23" t="s">
        <v>764</v>
      </c>
      <c r="B233" s="23" t="s">
        <v>38</v>
      </c>
      <c r="C233" s="23" t="s">
        <v>765</v>
      </c>
      <c r="D233" s="23" t="s">
        <v>766</v>
      </c>
      <c r="E233" s="23">
        <v>78545</v>
      </c>
      <c r="F233" s="23">
        <v>39579</v>
      </c>
      <c r="G233" s="23" t="s">
        <v>766</v>
      </c>
      <c r="H233" s="24">
        <v>193.9</v>
      </c>
      <c r="I233" s="24">
        <v>122.6</v>
      </c>
      <c r="J233" s="25">
        <v>0.27700000000000002</v>
      </c>
      <c r="K233" s="25">
        <f t="shared" ref="K233:K264" ca="1" si="70">SQRT(K$2^2+(AA233/Z233)^2)*J233</f>
        <v>2.3657802095714636E-2</v>
      </c>
      <c r="L233" s="26">
        <v>2.64E-2</v>
      </c>
      <c r="M233" s="26">
        <f t="shared" ref="M233:M264" ca="1" si="71">SQRT(M$2^2+(AC233/AB233)^2)*L233</f>
        <v>1.1308333210513387E-3</v>
      </c>
      <c r="N233" s="26">
        <v>0.42975999999999998</v>
      </c>
      <c r="O233" s="26">
        <v>37.878790000000002</v>
      </c>
      <c r="P233" s="26">
        <f t="shared" ref="P233:P264" ca="1" si="72">SQRT(P$2^2+(AF233/AE233)^2)*O233</f>
        <v>1.6225229556325667</v>
      </c>
      <c r="Q233" s="25">
        <v>7.5399999999999995E-2</v>
      </c>
      <c r="R233" s="25">
        <f t="shared" ref="R233:R264" ca="1" si="73">SQRT(R$2^2+(AH233/AG233)^2)*Q233</f>
        <v>5.7994882532858005E-3</v>
      </c>
      <c r="S233" s="26">
        <f t="shared" ref="S233:S264" si="74">(((BE233/BD233)^2+(AW233/AV233)^2)+((BE233/BD233)^2+(BC233/BB233)^2)-((BC233/BB233)^2+(AW233/AV233)^2))/(2*SQRT((BE233/BD233)^2+(AW233/AV233)^2)*SQRT((BE233/BD233)^2+(BC233/BB233)^2))</f>
        <v>0.24447258310524017</v>
      </c>
      <c r="T233" s="25">
        <v>1.146E-2</v>
      </c>
      <c r="U233" s="25">
        <f t="shared" ref="U233:U264" ca="1" si="75">SQRT(U$2^2+(AK233/AJ233)^2)*T233</f>
        <v>8.90018336889752E-4</v>
      </c>
      <c r="V233" s="24" t="e">
        <f ca="1">IF(agePb6U8(1/O233)&lt;1400,age7corr(1/O233,Q233,$W$2),agePb76(Q233))</f>
        <v>#NAME?</v>
      </c>
      <c r="W233" s="24" t="e">
        <f ca="1">IF(agePb6U8(1/O233)&lt;1400,ageer7corr(V233,1/O233,P233/O233*(1/O233),Q233,R233,$W$2,0.05),ageerPb76(Q233,R233))</f>
        <v>#NAME?</v>
      </c>
      <c r="X233" s="26" t="e">
        <f ca="1">agePb6U8(L233)/agePb7u5(J233)</f>
        <v>#NAME?</v>
      </c>
      <c r="Y233" s="24"/>
      <c r="Z233" s="24">
        <v>0.27700000000000002</v>
      </c>
      <c r="AA233" s="24">
        <v>2.3E-2</v>
      </c>
      <c r="AB233" s="24">
        <v>2.64E-2</v>
      </c>
      <c r="AC233" s="24">
        <v>1E-3</v>
      </c>
      <c r="AD233" s="24">
        <v>0.42975999999999998</v>
      </c>
      <c r="AE233" s="24">
        <v>37.878790000000002</v>
      </c>
      <c r="AF233" s="24">
        <v>1.4348030000000001</v>
      </c>
      <c r="AG233" s="24">
        <v>7.5399999999999995E-2</v>
      </c>
      <c r="AH233" s="24">
        <v>5.5999999999999999E-3</v>
      </c>
      <c r="AI233" s="24">
        <v>0.11434999999999999</v>
      </c>
      <c r="AJ233" s="24">
        <v>1.146E-2</v>
      </c>
      <c r="AK233" s="24">
        <v>8.5999999999999998E-4</v>
      </c>
      <c r="AL233" s="24">
        <v>3.99</v>
      </c>
      <c r="AM233" s="24">
        <v>0.19</v>
      </c>
      <c r="AN233" s="24">
        <v>248</v>
      </c>
      <c r="AO233" s="24">
        <v>18</v>
      </c>
      <c r="AP233" s="24">
        <v>168.2</v>
      </c>
      <c r="AQ233" s="24">
        <v>6.3</v>
      </c>
      <c r="AR233" s="24">
        <v>230</v>
      </c>
      <c r="AS233" s="24">
        <v>17</v>
      </c>
      <c r="AT233" s="24">
        <v>1040</v>
      </c>
      <c r="AU233" s="24">
        <v>160</v>
      </c>
      <c r="AV233" s="24">
        <v>41.8</v>
      </c>
      <c r="AW233" s="24">
        <v>1.4</v>
      </c>
      <c r="AX233" s="24">
        <v>9.65</v>
      </c>
      <c r="AY233" s="24">
        <v>0.25999999999999995</v>
      </c>
      <c r="AZ233" s="24">
        <v>8836.8299999999981</v>
      </c>
      <c r="BA233" s="24">
        <v>372.6</v>
      </c>
      <c r="BB233" s="24">
        <v>3235.41</v>
      </c>
      <c r="BC233" s="24">
        <v>223.56</v>
      </c>
      <c r="BD233" s="24">
        <v>43904.7</v>
      </c>
      <c r="BE233" s="24">
        <v>1242</v>
      </c>
      <c r="BF233" s="24">
        <v>83.835000000000008</v>
      </c>
      <c r="BG233" s="24">
        <v>16.766999999999999</v>
      </c>
      <c r="BH233" s="24">
        <f t="shared" ref="BH233:BH264" si="76">BD233/BF233</f>
        <v>523.70370370370358</v>
      </c>
      <c r="BI233" s="24">
        <f t="shared" ref="BI233:BI264" si="77">SQRT((BG233/BF233)^2+(BE233/BD233)^2)*BH233</f>
        <v>105.78327613056952</v>
      </c>
    </row>
    <row r="234" spans="1:61" x14ac:dyDescent="0.2">
      <c r="A234" t="s">
        <v>797</v>
      </c>
      <c r="B234" t="s">
        <v>38</v>
      </c>
      <c r="C234" t="s">
        <v>798</v>
      </c>
      <c r="D234" t="s">
        <v>799</v>
      </c>
      <c r="E234">
        <v>78737</v>
      </c>
      <c r="F234">
        <v>42536</v>
      </c>
      <c r="G234" t="s">
        <v>799</v>
      </c>
      <c r="H234" s="1">
        <v>318</v>
      </c>
      <c r="I234" s="1">
        <v>167.9</v>
      </c>
      <c r="J234" s="10">
        <v>0.20349999999999999</v>
      </c>
      <c r="K234" s="10">
        <f t="shared" ca="1" si="70"/>
        <v>8.798005455783714E-3</v>
      </c>
      <c r="L234" s="7">
        <v>2.4629999999999999E-2</v>
      </c>
      <c r="M234" s="7">
        <f t="shared" ca="1" si="71"/>
        <v>9.3099664875873739E-4</v>
      </c>
      <c r="N234" s="7">
        <v>0.88488</v>
      </c>
      <c r="O234" s="8">
        <v>40.60089</v>
      </c>
      <c r="P234" s="8">
        <f t="shared" ca="1" si="72"/>
        <v>1.5346853827937634</v>
      </c>
      <c r="Q234" s="9">
        <v>5.9249999999999997E-2</v>
      </c>
      <c r="R234" s="9">
        <f t="shared" ca="1" si="73"/>
        <v>1.4641806582522527E-3</v>
      </c>
      <c r="S234" s="8">
        <f t="shared" si="74"/>
        <v>0.43169378666600722</v>
      </c>
      <c r="T234" s="11">
        <v>9.8300000000000002E-3</v>
      </c>
      <c r="U234" s="11">
        <f t="shared" ca="1" si="75"/>
        <v>3.2596251318211422E-4</v>
      </c>
      <c r="V234" s="6" t="e">
        <f ca="1">IF(agePb6U8(1/O234)&lt;1400,age7corr(1/O234,Q234,$W$2),agePb76(Q234))</f>
        <v>#NAME?</v>
      </c>
      <c r="W234" s="6" t="e">
        <f ca="1">IF(agePb6U8(1/O234)&lt;1400,ageer7corr(V234,1/O234,P234/O234*(1/O234),Q234,R234,$W$2,0.05),ageerPb76(Q234,R234))</f>
        <v>#NAME?</v>
      </c>
      <c r="X234" s="4" t="e">
        <f ca="1">agePb6U8(L234)/agePb7u5(J234)</f>
        <v>#NAME?</v>
      </c>
      <c r="Z234" s="1">
        <v>0.20349999999999999</v>
      </c>
      <c r="AA234" s="1">
        <v>7.7999999999999996E-3</v>
      </c>
      <c r="AB234" s="1">
        <v>2.4629999999999999E-2</v>
      </c>
      <c r="AC234" s="1">
        <v>7.9000000000000001E-4</v>
      </c>
      <c r="AD234" s="1">
        <v>0.88488</v>
      </c>
      <c r="AE234" s="1">
        <v>40.60089</v>
      </c>
      <c r="AF234" s="1">
        <v>1.302262</v>
      </c>
      <c r="AG234" s="1">
        <v>5.9249999999999997E-2</v>
      </c>
      <c r="AH234" s="1">
        <v>8.5999999999999998E-4</v>
      </c>
      <c r="AI234" s="1">
        <v>0.12820999999999999</v>
      </c>
      <c r="AJ234" s="1">
        <v>9.8300000000000002E-3</v>
      </c>
      <c r="AK234" s="1">
        <v>2.5999999999999998E-4</v>
      </c>
      <c r="AL234" s="1">
        <v>5.165</v>
      </c>
      <c r="AM234" s="1">
        <v>7.4999999999999997E-2</v>
      </c>
      <c r="AN234" s="1">
        <v>188</v>
      </c>
      <c r="AO234" s="1">
        <v>6.6</v>
      </c>
      <c r="AP234" s="1">
        <v>156.80000000000001</v>
      </c>
      <c r="AQ234" s="1">
        <v>5</v>
      </c>
      <c r="AR234" s="1">
        <v>197.7</v>
      </c>
      <c r="AS234" s="1">
        <v>5.0999999999999996</v>
      </c>
      <c r="AT234" s="1">
        <v>575</v>
      </c>
      <c r="AU234" s="1">
        <v>32</v>
      </c>
      <c r="AV234" s="1">
        <v>68.5</v>
      </c>
      <c r="AW234" s="1">
        <v>3.8</v>
      </c>
      <c r="AX234" s="1">
        <v>13.2</v>
      </c>
      <c r="AY234" s="1">
        <v>0.51999999999999991</v>
      </c>
      <c r="AZ234" s="1">
        <v>10339.650000000001</v>
      </c>
      <c r="BA234" s="1">
        <v>546.48</v>
      </c>
      <c r="BB234" s="1">
        <v>3912.3</v>
      </c>
      <c r="BC234" s="1">
        <v>229.77</v>
      </c>
      <c r="BD234" s="1">
        <v>66136.5</v>
      </c>
      <c r="BE234" s="1">
        <v>3291.2999999999997</v>
      </c>
      <c r="BF234" s="1">
        <v>59.615999999999993</v>
      </c>
      <c r="BG234" s="1">
        <v>8.6940000000000008</v>
      </c>
      <c r="BH234" s="1">
        <f t="shared" si="76"/>
        <v>1109.3750000000002</v>
      </c>
      <c r="BI234" s="1">
        <f t="shared" si="77"/>
        <v>170.94436386867437</v>
      </c>
    </row>
    <row r="235" spans="1:61" x14ac:dyDescent="0.2">
      <c r="A235" t="s">
        <v>800</v>
      </c>
      <c r="B235" t="s">
        <v>38</v>
      </c>
      <c r="C235" t="s">
        <v>801</v>
      </c>
      <c r="D235" t="s">
        <v>802</v>
      </c>
      <c r="E235">
        <v>78820</v>
      </c>
      <c r="F235">
        <v>42631</v>
      </c>
      <c r="G235" t="s">
        <v>802</v>
      </c>
      <c r="H235" s="1">
        <v>482.4</v>
      </c>
      <c r="I235" s="1">
        <v>207.1</v>
      </c>
      <c r="J235" s="10">
        <v>0.18149999999999999</v>
      </c>
      <c r="K235" s="10">
        <f t="shared" ca="1" si="70"/>
        <v>5.5512971457128829E-3</v>
      </c>
      <c r="L235" s="7">
        <v>2.5530000000000001E-2</v>
      </c>
      <c r="M235" s="7">
        <f t="shared" ca="1" si="71"/>
        <v>7.4317720632430598E-4</v>
      </c>
      <c r="N235" s="7">
        <v>0.77432999999999996</v>
      </c>
      <c r="O235" s="8">
        <v>39.169600000000003</v>
      </c>
      <c r="P235" s="8">
        <f t="shared" ca="1" si="72"/>
        <v>1.1402254670741618</v>
      </c>
      <c r="Q235" s="9">
        <v>5.169E-2</v>
      </c>
      <c r="R235" s="9">
        <f t="shared" ca="1" si="73"/>
        <v>1.1084865538201173E-3</v>
      </c>
      <c r="S235" s="8">
        <f t="shared" si="74"/>
        <v>0.59281966024836785</v>
      </c>
      <c r="T235" s="11">
        <v>8.7600000000000004E-3</v>
      </c>
      <c r="U235" s="11">
        <f t="shared" ca="1" si="75"/>
        <v>2.5844736408019332E-4</v>
      </c>
      <c r="V235" s="6" t="e">
        <f ca="1">IF(agePb6U8(1/O235)&lt;1400,age7corr(1/O235,Q235,$W$2),agePb76(Q235))</f>
        <v>#NAME?</v>
      </c>
      <c r="W235" s="6" t="e">
        <f ca="1">IF(agePb6U8(1/O235)&lt;1400,ageer7corr(V235,1/O235,P235/O235*(1/O235),Q235,R235,$W$2,0.05),ageerPb76(Q235,R235))</f>
        <v>#NAME?</v>
      </c>
      <c r="X235" s="4" t="e">
        <f ca="1">agePb6U8(L235)/agePb7u5(J235)</f>
        <v>#NAME?</v>
      </c>
      <c r="Z235" s="1">
        <v>0.18149999999999999</v>
      </c>
      <c r="AA235" s="1">
        <v>4.1999999999999997E-3</v>
      </c>
      <c r="AB235" s="1">
        <v>2.5530000000000001E-2</v>
      </c>
      <c r="AC235" s="1">
        <v>5.4000000000000001E-4</v>
      </c>
      <c r="AD235" s="1">
        <v>0.77432999999999996</v>
      </c>
      <c r="AE235" s="1">
        <v>39.169600000000003</v>
      </c>
      <c r="AF235" s="1">
        <v>0.82849930000000005</v>
      </c>
      <c r="AG235" s="1">
        <v>5.169E-2</v>
      </c>
      <c r="AH235" s="1">
        <v>4.0000000000000002E-4</v>
      </c>
      <c r="AI235" s="1">
        <v>0.11087</v>
      </c>
      <c r="AJ235" s="1">
        <v>8.7600000000000004E-3</v>
      </c>
      <c r="AK235" s="1">
        <v>1.9000000000000001E-4</v>
      </c>
      <c r="AL235" s="1">
        <v>7.2039999999999997</v>
      </c>
      <c r="AM235" s="1">
        <v>6.0999999999999999E-2</v>
      </c>
      <c r="AN235" s="1">
        <v>169.3</v>
      </c>
      <c r="AO235" s="1">
        <v>3.6</v>
      </c>
      <c r="AP235" s="1">
        <v>162.5</v>
      </c>
      <c r="AQ235" s="1">
        <v>3.4</v>
      </c>
      <c r="AR235" s="1">
        <v>176.3</v>
      </c>
      <c r="AS235" s="1">
        <v>3.8</v>
      </c>
      <c r="AT235" s="1">
        <v>271</v>
      </c>
      <c r="AU235" s="1">
        <v>17</v>
      </c>
      <c r="AV235" s="1">
        <v>104</v>
      </c>
      <c r="AW235" s="1">
        <v>1.5</v>
      </c>
      <c r="AX235" s="1">
        <v>16.279999999999998</v>
      </c>
      <c r="AY235" s="1">
        <v>0.59000000000000008</v>
      </c>
      <c r="AZ235" s="1">
        <v>11575.44</v>
      </c>
      <c r="BA235" s="1">
        <v>254.60999999999996</v>
      </c>
      <c r="BB235" s="1">
        <v>5328.18</v>
      </c>
      <c r="BC235" s="1">
        <v>93.15</v>
      </c>
      <c r="BD235" s="1">
        <v>103148.1</v>
      </c>
      <c r="BE235" s="1">
        <v>1987.2</v>
      </c>
      <c r="BF235" s="1">
        <v>27.945</v>
      </c>
      <c r="BG235" s="1">
        <v>6.2099999999999991</v>
      </c>
      <c r="BH235" s="1">
        <f t="shared" si="76"/>
        <v>3691.1111111111113</v>
      </c>
      <c r="BI235" s="1">
        <f t="shared" si="77"/>
        <v>823.32362371146485</v>
      </c>
    </row>
    <row r="236" spans="1:61" x14ac:dyDescent="0.2">
      <c r="A236" t="s">
        <v>809</v>
      </c>
      <c r="B236" t="s">
        <v>38</v>
      </c>
      <c r="C236" t="s">
        <v>810</v>
      </c>
      <c r="D236" t="s">
        <v>811</v>
      </c>
      <c r="E236">
        <v>78843</v>
      </c>
      <c r="F236">
        <v>43059</v>
      </c>
      <c r="G236" t="s">
        <v>811</v>
      </c>
      <c r="H236" s="1">
        <v>348</v>
      </c>
      <c r="I236" s="1">
        <v>219</v>
      </c>
      <c r="J236" s="10">
        <v>0.17230000000000001</v>
      </c>
      <c r="K236" s="10">
        <f t="shared" ca="1" si="70"/>
        <v>8.5273041460944728E-3</v>
      </c>
      <c r="L236" s="7">
        <v>2.4469999999999999E-2</v>
      </c>
      <c r="M236" s="7">
        <f t="shared" ca="1" si="71"/>
        <v>1.0864678366155165E-3</v>
      </c>
      <c r="N236" s="7">
        <v>0.96194999999999997</v>
      </c>
      <c r="O236" s="8">
        <v>40.866370000000003</v>
      </c>
      <c r="P236" s="8">
        <f t="shared" ca="1" si="72"/>
        <v>1.8144663128740528</v>
      </c>
      <c r="Q236" s="9">
        <v>5.0479999999999997E-2</v>
      </c>
      <c r="R236" s="9">
        <f t="shared" ca="1" si="73"/>
        <v>1.1953627733872257E-3</v>
      </c>
      <c r="S236" s="8">
        <f t="shared" si="74"/>
        <v>0.48020365085213734</v>
      </c>
      <c r="T236" s="11">
        <v>8.4100000000000008E-3</v>
      </c>
      <c r="U236" s="11">
        <f t="shared" ca="1" si="75"/>
        <v>4.2472489919947006E-4</v>
      </c>
      <c r="V236" s="6" t="e">
        <f ca="1">IF(agePb6U8(1/O236)&lt;1400,age7corr(1/O236,Q236,$W$2),agePb76(Q236))</f>
        <v>#NAME?</v>
      </c>
      <c r="W236" s="6" t="e">
        <f ca="1">IF(agePb6U8(1/O236)&lt;1400,ageer7corr(V236,1/O236,P236/O236*(1/O236),Q236,R236,$W$2,0.05),ageerPb76(Q236,R236))</f>
        <v>#NAME?</v>
      </c>
      <c r="X236" s="4" t="e">
        <f ca="1">agePb6U8(L236)/agePb7u5(J236)</f>
        <v>#NAME?</v>
      </c>
      <c r="Z236" s="1">
        <v>0.17230000000000001</v>
      </c>
      <c r="AA236" s="1">
        <v>7.7999999999999996E-3</v>
      </c>
      <c r="AB236" s="1">
        <v>2.4469999999999999E-2</v>
      </c>
      <c r="AC236" s="1">
        <v>9.7000000000000005E-4</v>
      </c>
      <c r="AD236" s="1">
        <v>0.96194999999999997</v>
      </c>
      <c r="AE236" s="1">
        <v>40.866370000000003</v>
      </c>
      <c r="AF236" s="1">
        <v>1.619958</v>
      </c>
      <c r="AG236" s="1">
        <v>5.0479999999999997E-2</v>
      </c>
      <c r="AH236" s="1">
        <v>6.4000000000000005E-4</v>
      </c>
      <c r="AI236" s="1">
        <v>2.8194E-2</v>
      </c>
      <c r="AJ236" s="1">
        <v>8.4100000000000008E-3</v>
      </c>
      <c r="AK236" s="1">
        <v>3.8999999999999999E-4</v>
      </c>
      <c r="AL236" s="1">
        <v>4.8499999999999996</v>
      </c>
      <c r="AM236" s="1">
        <v>0.11</v>
      </c>
      <c r="AN236" s="1">
        <v>161.30000000000001</v>
      </c>
      <c r="AO236" s="1">
        <v>6.7</v>
      </c>
      <c r="AP236" s="1">
        <v>155.80000000000001</v>
      </c>
      <c r="AQ236" s="1">
        <v>6.1</v>
      </c>
      <c r="AR236" s="1">
        <v>169.2</v>
      </c>
      <c r="AS236" s="1">
        <v>7.8</v>
      </c>
      <c r="AT236" s="1">
        <v>223</v>
      </c>
      <c r="AU236" s="1">
        <v>31</v>
      </c>
      <c r="AV236" s="1">
        <v>75</v>
      </c>
      <c r="AW236" s="1">
        <v>15</v>
      </c>
      <c r="AX236" s="1">
        <v>17.3</v>
      </c>
      <c r="AY236" s="1">
        <v>3.1</v>
      </c>
      <c r="AZ236" s="1">
        <v>11178.000000000002</v>
      </c>
      <c r="BA236" s="1">
        <v>1987.2</v>
      </c>
      <c r="BB236" s="1">
        <v>3415.5</v>
      </c>
      <c r="BC236" s="1">
        <v>621</v>
      </c>
      <c r="BD236" s="1">
        <v>67689</v>
      </c>
      <c r="BE236" s="1">
        <v>12420</v>
      </c>
      <c r="BF236" s="1">
        <v>9.9359999999999999</v>
      </c>
      <c r="BG236" s="1">
        <v>6.8310000000000004</v>
      </c>
      <c r="BH236" s="1">
        <f t="shared" si="76"/>
        <v>6812.5</v>
      </c>
      <c r="BI236" s="1">
        <f t="shared" si="77"/>
        <v>4847.5303418378999</v>
      </c>
    </row>
    <row r="237" spans="1:61" x14ac:dyDescent="0.2">
      <c r="A237" t="s">
        <v>812</v>
      </c>
      <c r="B237" t="s">
        <v>38</v>
      </c>
      <c r="C237" t="s">
        <v>813</v>
      </c>
      <c r="D237" t="s">
        <v>814</v>
      </c>
      <c r="E237">
        <v>78907</v>
      </c>
      <c r="F237">
        <v>43248</v>
      </c>
      <c r="G237" t="s">
        <v>814</v>
      </c>
      <c r="H237" s="1">
        <v>36.82</v>
      </c>
      <c r="I237" s="1">
        <v>53.9</v>
      </c>
      <c r="J237" s="10">
        <v>1.849</v>
      </c>
      <c r="K237" s="10">
        <f t="shared" ca="1" si="70"/>
        <v>6.4626004054095756E-2</v>
      </c>
      <c r="L237" s="7">
        <v>0.1774</v>
      </c>
      <c r="M237" s="7">
        <f t="shared" ca="1" si="71"/>
        <v>5.4220202876787546E-3</v>
      </c>
      <c r="N237" s="7">
        <v>0.92496999999999996</v>
      </c>
      <c r="O237" s="8">
        <v>5.6369790000000002</v>
      </c>
      <c r="P237" s="8">
        <f t="shared" ca="1" si="72"/>
        <v>0.1722875884405676</v>
      </c>
      <c r="Q237" s="9">
        <v>7.4980000000000005E-2</v>
      </c>
      <c r="R237" s="9">
        <f t="shared" ca="1" si="73"/>
        <v>1.7237459673629409E-3</v>
      </c>
      <c r="S237" s="8">
        <f t="shared" si="74"/>
        <v>0.36434752038714502</v>
      </c>
      <c r="T237" s="11">
        <v>5.7299999999999997E-2</v>
      </c>
      <c r="U237" s="11">
        <f t="shared" ca="1" si="75"/>
        <v>1.5884948851035057E-3</v>
      </c>
      <c r="V237" s="6" t="e">
        <f ca="1">IF(agePb6U8(1/O237)&lt;1400,age7corr(1/O237,Q237,$W$2),agePb76(Q237))</f>
        <v>#NAME?</v>
      </c>
      <c r="W237" s="6" t="e">
        <f ca="1">IF(agePb6U8(1/O237)&lt;1400,ageer7corr(V237,1/O237,P237/O237*(1/O237),Q237,R237,$W$2,0.05),ageerPb76(Q237,R237))</f>
        <v>#NAME?</v>
      </c>
      <c r="X237" s="4" t="e">
        <f ca="1">agePb6U8(L237)/agePb7u5(J237)</f>
        <v>#NAME?</v>
      </c>
      <c r="Z237" s="1">
        <v>1.849</v>
      </c>
      <c r="AA237" s="1">
        <v>5.2999999999999999E-2</v>
      </c>
      <c r="AB237" s="1">
        <v>0.1774</v>
      </c>
      <c r="AC237" s="1">
        <v>4.1000000000000003E-3</v>
      </c>
      <c r="AD237" s="1">
        <v>0.92496999999999996</v>
      </c>
      <c r="AE237" s="1">
        <v>5.6369790000000002</v>
      </c>
      <c r="AF237" s="1">
        <v>0.1302797</v>
      </c>
      <c r="AG237" s="1">
        <v>7.4980000000000005E-2</v>
      </c>
      <c r="AH237" s="1">
        <v>8.4999999999999995E-4</v>
      </c>
      <c r="AI237" s="1">
        <v>-0.20616000000000001</v>
      </c>
      <c r="AJ237" s="1">
        <v>5.7299999999999997E-2</v>
      </c>
      <c r="AK237" s="1">
        <v>1.1000000000000001E-3</v>
      </c>
      <c r="AL237" s="1">
        <v>2.2246000000000001</v>
      </c>
      <c r="AM237" s="1">
        <v>8.3999999999999995E-3</v>
      </c>
      <c r="AN237" s="1">
        <v>1062</v>
      </c>
      <c r="AO237" s="1">
        <v>19</v>
      </c>
      <c r="AP237" s="1">
        <v>1053</v>
      </c>
      <c r="AQ237" s="1">
        <v>22</v>
      </c>
      <c r="AR237" s="1">
        <v>1125</v>
      </c>
      <c r="AS237" s="1">
        <v>21</v>
      </c>
      <c r="AT237" s="1">
        <v>1067</v>
      </c>
      <c r="AU237" s="1">
        <v>23</v>
      </c>
      <c r="AV237" s="1">
        <v>7.93</v>
      </c>
      <c r="AW237" s="1">
        <v>0.13999999999999999</v>
      </c>
      <c r="AX237" s="1">
        <v>4.2350000000000003</v>
      </c>
      <c r="AY237" s="1">
        <v>9.8000000000000004E-2</v>
      </c>
      <c r="AZ237" s="1">
        <v>19865.79</v>
      </c>
      <c r="BA237" s="1">
        <v>322.91999999999996</v>
      </c>
      <c r="BB237" s="1">
        <v>4067.55</v>
      </c>
      <c r="BC237" s="1">
        <v>86.94</v>
      </c>
      <c r="BD237" s="1">
        <v>54710.099999999991</v>
      </c>
      <c r="BE237" s="1">
        <v>807.3</v>
      </c>
      <c r="BF237" s="1">
        <v>7.8246000000000002</v>
      </c>
      <c r="BG237" s="1">
        <v>4.4712000000000005</v>
      </c>
      <c r="BH237" s="1">
        <f t="shared" si="76"/>
        <v>6992.0634920634911</v>
      </c>
      <c r="BI237" s="1">
        <f t="shared" si="77"/>
        <v>3996.7967658068105</v>
      </c>
    </row>
    <row r="238" spans="1:61" x14ac:dyDescent="0.2">
      <c r="A238" t="s">
        <v>815</v>
      </c>
      <c r="B238" t="s">
        <v>38</v>
      </c>
      <c r="C238" t="s">
        <v>816</v>
      </c>
      <c r="D238" t="s">
        <v>817</v>
      </c>
      <c r="E238">
        <v>78931</v>
      </c>
      <c r="F238">
        <v>43463</v>
      </c>
      <c r="G238" t="s">
        <v>817</v>
      </c>
      <c r="H238" s="1">
        <v>193.5</v>
      </c>
      <c r="I238" s="1">
        <v>294.5</v>
      </c>
      <c r="J238" s="10">
        <v>0.17419999999999999</v>
      </c>
      <c r="K238" s="10">
        <f t="shared" ca="1" si="70"/>
        <v>6.6804383089734461E-3</v>
      </c>
      <c r="L238" s="7">
        <v>2.572E-2</v>
      </c>
      <c r="M238" s="7">
        <f t="shared" ca="1" si="71"/>
        <v>8.9303267577396054E-4</v>
      </c>
      <c r="N238" s="7">
        <v>0.90691999999999995</v>
      </c>
      <c r="O238" s="8">
        <v>38.880249999999997</v>
      </c>
      <c r="P238" s="8">
        <f t="shared" ca="1" si="72"/>
        <v>1.3499741999419839</v>
      </c>
      <c r="Q238" s="9">
        <v>4.8730000000000002E-2</v>
      </c>
      <c r="R238" s="9">
        <f t="shared" ca="1" si="73"/>
        <v>1.2608906217432187E-3</v>
      </c>
      <c r="S238" s="8">
        <f t="shared" si="74"/>
        <v>0.38352199505174916</v>
      </c>
      <c r="T238" s="11">
        <v>8.5500000000000003E-3</v>
      </c>
      <c r="U238" s="11">
        <f t="shared" ca="1" si="75"/>
        <v>2.9468797057226483E-4</v>
      </c>
      <c r="V238" s="6" t="e">
        <f ca="1">IF(agePb6U8(1/O238)&lt;1400,age7corr(1/O238,Q238,$W$2),agePb76(Q238))</f>
        <v>#NAME?</v>
      </c>
      <c r="W238" s="6" t="e">
        <f ca="1">IF(agePb6U8(1/O238)&lt;1400,ageer7corr(V238,1/O238,P238/O238*(1/O238),Q238,R238,$W$2,0.05),ageerPb76(Q238,R238))</f>
        <v>#NAME?</v>
      </c>
      <c r="X238" s="4" t="e">
        <f ca="1">agePb6U8(L238)/agePb7u5(J238)</f>
        <v>#NAME?</v>
      </c>
      <c r="Z238" s="1">
        <v>0.17419999999999999</v>
      </c>
      <c r="AA238" s="1">
        <v>5.7000000000000002E-3</v>
      </c>
      <c r="AB238" s="1">
        <v>2.572E-2</v>
      </c>
      <c r="AC238" s="1">
        <v>7.2999999999999996E-4</v>
      </c>
      <c r="AD238" s="1">
        <v>0.90691999999999995</v>
      </c>
      <c r="AE238" s="1">
        <v>38.880249999999997</v>
      </c>
      <c r="AF238" s="1">
        <v>1.1035219999999999</v>
      </c>
      <c r="AG238" s="1">
        <v>4.8730000000000002E-2</v>
      </c>
      <c r="AH238" s="1">
        <v>8.0000000000000004E-4</v>
      </c>
      <c r="AI238" s="1">
        <v>-0.12575</v>
      </c>
      <c r="AJ238" s="1">
        <v>8.5500000000000003E-3</v>
      </c>
      <c r="AK238" s="1">
        <v>2.4000000000000001E-4</v>
      </c>
      <c r="AL238" s="1">
        <v>2.1179999999999999</v>
      </c>
      <c r="AM238" s="1">
        <v>0.01</v>
      </c>
      <c r="AN238" s="1">
        <v>163</v>
      </c>
      <c r="AO238" s="1">
        <v>4.9000000000000004</v>
      </c>
      <c r="AP238" s="1">
        <v>163.69999999999999</v>
      </c>
      <c r="AQ238" s="1">
        <v>4.5999999999999996</v>
      </c>
      <c r="AR238" s="1">
        <v>172.1</v>
      </c>
      <c r="AS238" s="1">
        <v>4.9000000000000004</v>
      </c>
      <c r="AT238" s="1">
        <v>133</v>
      </c>
      <c r="AU238" s="1">
        <v>38</v>
      </c>
      <c r="AV238" s="1">
        <v>41.7</v>
      </c>
      <c r="AW238" s="1">
        <v>1.2</v>
      </c>
      <c r="AX238" s="1">
        <v>23.14</v>
      </c>
      <c r="AY238" s="1">
        <v>0.32</v>
      </c>
      <c r="AZ238" s="1">
        <v>15941.07</v>
      </c>
      <c r="BA238" s="1">
        <v>298.08</v>
      </c>
      <c r="BB238" s="1">
        <v>2035.6380000000001</v>
      </c>
      <c r="BC238" s="1">
        <v>47.817000000000007</v>
      </c>
      <c r="BD238" s="1">
        <v>42228</v>
      </c>
      <c r="BE238" s="1">
        <v>869.4</v>
      </c>
      <c r="BF238" s="1">
        <v>2.8565999999999998</v>
      </c>
      <c r="BG238" s="1">
        <v>4.5332999999999997</v>
      </c>
      <c r="BH238" s="1">
        <f t="shared" si="76"/>
        <v>14782.608695652176</v>
      </c>
      <c r="BI238" s="1">
        <f t="shared" si="77"/>
        <v>23461.331409163387</v>
      </c>
    </row>
    <row r="239" spans="1:61" x14ac:dyDescent="0.2">
      <c r="A239" t="s">
        <v>818</v>
      </c>
      <c r="B239" t="s">
        <v>38</v>
      </c>
      <c r="C239" t="s">
        <v>819</v>
      </c>
      <c r="D239" t="s">
        <v>820</v>
      </c>
      <c r="E239">
        <v>78961</v>
      </c>
      <c r="F239">
        <v>44439</v>
      </c>
      <c r="G239" t="s">
        <v>820</v>
      </c>
      <c r="H239" s="1">
        <v>306</v>
      </c>
      <c r="I239" s="1">
        <v>183</v>
      </c>
      <c r="J239" s="10">
        <v>0.21829999999999999</v>
      </c>
      <c r="K239" s="10">
        <f t="shared" ca="1" si="70"/>
        <v>7.7473838164892799E-3</v>
      </c>
      <c r="L239" s="7">
        <v>3.0800000000000001E-2</v>
      </c>
      <c r="M239" s="7">
        <f t="shared" ca="1" si="71"/>
        <v>1.1071838149106048E-3</v>
      </c>
      <c r="N239" s="7">
        <v>0.94650000000000001</v>
      </c>
      <c r="O239" s="8">
        <v>32.467529999999996</v>
      </c>
      <c r="P239" s="8">
        <f t="shared" ca="1" si="72"/>
        <v>1.1671274455040117</v>
      </c>
      <c r="Q239" s="9">
        <v>5.1610000000000003E-2</v>
      </c>
      <c r="R239" s="9">
        <f t="shared" ca="1" si="73"/>
        <v>1.2305839426873732E-3</v>
      </c>
      <c r="S239" s="8">
        <f t="shared" si="74"/>
        <v>0.43731090548949431</v>
      </c>
      <c r="T239" s="11">
        <v>1.055E-2</v>
      </c>
      <c r="U239" s="11">
        <f t="shared" ca="1" si="75"/>
        <v>6.3601965378437791E-4</v>
      </c>
      <c r="V239" s="6" t="e">
        <f ca="1">IF(agePb6U8(1/O239)&lt;1400,age7corr(1/O239,Q239,$W$2),agePb76(Q239))</f>
        <v>#NAME?</v>
      </c>
      <c r="W239" s="6" t="e">
        <f ca="1">IF(agePb6U8(1/O239)&lt;1400,ageer7corr(V239,1/O239,P239/O239*(1/O239),Q239,R239,$W$2,0.05),ageerPb76(Q239,R239))</f>
        <v>#NAME?</v>
      </c>
      <c r="X239" s="4" t="e">
        <f ca="1">agePb6U8(L239)/agePb7u5(J239)</f>
        <v>#NAME?</v>
      </c>
      <c r="Z239" s="1">
        <v>0.21829999999999999</v>
      </c>
      <c r="AA239" s="1">
        <v>6.4000000000000003E-3</v>
      </c>
      <c r="AB239" s="1">
        <v>3.0800000000000001E-2</v>
      </c>
      <c r="AC239" s="1">
        <v>9.2000000000000003E-4</v>
      </c>
      <c r="AD239" s="1">
        <v>0.94650000000000001</v>
      </c>
      <c r="AE239" s="1">
        <v>32.467529999999996</v>
      </c>
      <c r="AF239" s="1">
        <v>0.96980940000000004</v>
      </c>
      <c r="AG239" s="1">
        <v>5.1610000000000003E-2</v>
      </c>
      <c r="AH239" s="1">
        <v>6.7000000000000002E-4</v>
      </c>
      <c r="AI239" s="1">
        <v>4.6123999999999998E-2</v>
      </c>
      <c r="AJ239" s="1">
        <v>1.055E-2</v>
      </c>
      <c r="AK239" s="1">
        <v>5.9999999999999995E-4</v>
      </c>
      <c r="AL239" s="1">
        <v>5.1760000000000002</v>
      </c>
      <c r="AM239" s="1">
        <v>4.5999999999999999E-2</v>
      </c>
      <c r="AN239" s="1">
        <v>200.4</v>
      </c>
      <c r="AO239" s="1">
        <v>5.3</v>
      </c>
      <c r="AP239" s="1">
        <v>195.5</v>
      </c>
      <c r="AQ239" s="1">
        <v>5.8</v>
      </c>
      <c r="AR239" s="1">
        <v>212</v>
      </c>
      <c r="AS239" s="1">
        <v>12</v>
      </c>
      <c r="AT239" s="1">
        <v>267</v>
      </c>
      <c r="AU239" s="1">
        <v>30</v>
      </c>
      <c r="AV239" s="1">
        <v>65.8</v>
      </c>
      <c r="AW239" s="1">
        <v>3.6</v>
      </c>
      <c r="AX239" s="1">
        <v>14.4</v>
      </c>
      <c r="AY239" s="1">
        <v>1.2</v>
      </c>
      <c r="AZ239" s="1">
        <v>12233.699999999999</v>
      </c>
      <c r="BA239" s="1">
        <v>621</v>
      </c>
      <c r="BB239" s="1">
        <v>4030.29</v>
      </c>
      <c r="BC239" s="1">
        <v>211.14000000000001</v>
      </c>
      <c r="BD239" s="1">
        <v>78929.099999999991</v>
      </c>
      <c r="BE239" s="1">
        <v>3726.0000000000005</v>
      </c>
      <c r="BF239" s="1">
        <v>16.766999999999999</v>
      </c>
      <c r="BG239" s="1">
        <v>7.4519999999999991</v>
      </c>
      <c r="BH239" s="1">
        <f t="shared" si="76"/>
        <v>4707.4074074074069</v>
      </c>
      <c r="BI239" s="1">
        <f t="shared" si="77"/>
        <v>2103.9497012864949</v>
      </c>
    </row>
    <row r="240" spans="1:61" x14ac:dyDescent="0.2">
      <c r="A240" t="s">
        <v>821</v>
      </c>
      <c r="B240" t="s">
        <v>38</v>
      </c>
      <c r="C240" t="s">
        <v>822</v>
      </c>
      <c r="D240" t="s">
        <v>823</v>
      </c>
      <c r="E240">
        <v>79005</v>
      </c>
      <c r="F240">
        <v>44502</v>
      </c>
      <c r="G240" t="s">
        <v>823</v>
      </c>
      <c r="H240" s="1">
        <v>211.7</v>
      </c>
      <c r="I240" s="1">
        <v>186.1</v>
      </c>
      <c r="J240" s="10">
        <v>0.6</v>
      </c>
      <c r="K240" s="10">
        <f t="shared" ca="1" si="70"/>
        <v>2.0808652046684813E-2</v>
      </c>
      <c r="L240" s="7">
        <v>7.3200000000000001E-2</v>
      </c>
      <c r="M240" s="7">
        <f t="shared" ca="1" si="71"/>
        <v>2.5599406243114308E-3</v>
      </c>
      <c r="N240" s="7">
        <v>0.94894000000000001</v>
      </c>
      <c r="O240" s="8">
        <v>13.661199999999999</v>
      </c>
      <c r="P240" s="8">
        <f t="shared" ca="1" si="72"/>
        <v>0.47775768484043246</v>
      </c>
      <c r="Q240" s="9">
        <v>0.06</v>
      </c>
      <c r="R240" s="9">
        <f t="shared" ca="1" si="73"/>
        <v>1.3284953895290716E-3</v>
      </c>
      <c r="S240" s="8">
        <f t="shared" si="74"/>
        <v>0.38999849160806316</v>
      </c>
      <c r="T240" s="11">
        <v>2.6849999999999999E-2</v>
      </c>
      <c r="U240" s="11">
        <f t="shared" ca="1" si="75"/>
        <v>9.1431340359856921E-4</v>
      </c>
      <c r="V240" s="6" t="e">
        <f ca="1">IF(agePb6U8(1/O240)&lt;1400,age7corr(1/O240,Q240,$W$2),agePb76(Q240))</f>
        <v>#NAME?</v>
      </c>
      <c r="W240" s="6" t="e">
        <f ca="1">IF(agePb6U8(1/O240)&lt;1400,ageer7corr(V240,1/O240,P240/O240*(1/O240),Q240,R240,$W$2,0.05),ageerPb76(Q240,R240))</f>
        <v>#NAME?</v>
      </c>
      <c r="X240" s="4" t="e">
        <f ca="1">agePb6U8(L240)/agePb7u5(J240)</f>
        <v>#NAME?</v>
      </c>
      <c r="Z240" s="1">
        <v>0.6</v>
      </c>
      <c r="AA240" s="1">
        <v>1.7000000000000001E-2</v>
      </c>
      <c r="AB240" s="1">
        <v>7.3200000000000001E-2</v>
      </c>
      <c r="AC240" s="1">
        <v>2.0999999999999999E-3</v>
      </c>
      <c r="AD240" s="1">
        <v>0.94894000000000001</v>
      </c>
      <c r="AE240" s="1">
        <v>13.661199999999999</v>
      </c>
      <c r="AF240" s="1">
        <v>0.39191969999999998</v>
      </c>
      <c r="AG240" s="1">
        <v>0.06</v>
      </c>
      <c r="AH240" s="1">
        <v>5.6999999999999998E-4</v>
      </c>
      <c r="AI240" s="1">
        <v>-8.7785000000000002E-2</v>
      </c>
      <c r="AJ240" s="1">
        <v>2.6849999999999999E-2</v>
      </c>
      <c r="AK240" s="1">
        <v>7.3999999999999999E-4</v>
      </c>
      <c r="AL240" s="1">
        <v>3.28</v>
      </c>
      <c r="AM240" s="1">
        <v>1.7000000000000001E-2</v>
      </c>
      <c r="AN240" s="1">
        <v>480</v>
      </c>
      <c r="AO240" s="1">
        <v>12</v>
      </c>
      <c r="AP240" s="1">
        <v>456</v>
      </c>
      <c r="AQ240" s="1">
        <v>13</v>
      </c>
      <c r="AR240" s="1">
        <v>536</v>
      </c>
      <c r="AS240" s="1">
        <v>14</v>
      </c>
      <c r="AT240" s="1">
        <v>603</v>
      </c>
      <c r="AU240" s="1">
        <v>21</v>
      </c>
      <c r="AV240" s="1">
        <v>45.6</v>
      </c>
      <c r="AW240" s="1">
        <v>1.2</v>
      </c>
      <c r="AX240" s="1">
        <v>14.63</v>
      </c>
      <c r="AY240" s="1">
        <v>0.25</v>
      </c>
      <c r="AZ240" s="1">
        <v>32167.8</v>
      </c>
      <c r="BA240" s="1">
        <v>745.2</v>
      </c>
      <c r="BB240" s="1">
        <v>7774.92</v>
      </c>
      <c r="BC240" s="1">
        <v>192.51</v>
      </c>
      <c r="BD240" s="1">
        <v>130782.59999999999</v>
      </c>
      <c r="BE240" s="1">
        <v>2670.3</v>
      </c>
      <c r="BF240" s="1">
        <v>44.711999999999996</v>
      </c>
      <c r="BG240" s="1">
        <v>7.4519999999999991</v>
      </c>
      <c r="BH240" s="1">
        <f t="shared" si="76"/>
        <v>2925</v>
      </c>
      <c r="BI240" s="1">
        <f t="shared" si="77"/>
        <v>491.14457528019233</v>
      </c>
    </row>
    <row r="241" spans="1:61" s="23" customFormat="1" x14ac:dyDescent="0.2">
      <c r="A241" s="23" t="s">
        <v>824</v>
      </c>
      <c r="B241" s="23" t="s">
        <v>38</v>
      </c>
      <c r="C241" s="23" t="s">
        <v>825</v>
      </c>
      <c r="D241" s="23" t="s">
        <v>826</v>
      </c>
      <c r="E241" s="23">
        <v>78974</v>
      </c>
      <c r="F241" s="23">
        <v>44751</v>
      </c>
      <c r="G241" s="23" t="s">
        <v>826</v>
      </c>
      <c r="H241" s="24">
        <v>140.9</v>
      </c>
      <c r="I241" s="24">
        <v>58.2</v>
      </c>
      <c r="J241" s="25">
        <v>3.35</v>
      </c>
      <c r="K241" s="25">
        <f t="shared" ca="1" si="70"/>
        <v>0.19206509313251069</v>
      </c>
      <c r="L241" s="26">
        <v>0.23699999999999999</v>
      </c>
      <c r="M241" s="26">
        <f t="shared" ca="1" si="71"/>
        <v>9.8197555977732973E-3</v>
      </c>
      <c r="N241" s="26">
        <v>0.54437000000000002</v>
      </c>
      <c r="O241" s="26">
        <v>4.2194089999999997</v>
      </c>
      <c r="P241" s="26">
        <f t="shared" ca="1" si="72"/>
        <v>0.17482520782791133</v>
      </c>
      <c r="Q241" s="25">
        <v>0.1016</v>
      </c>
      <c r="R241" s="25">
        <f t="shared" ca="1" si="73"/>
        <v>4.0471006906179141E-3</v>
      </c>
      <c r="S241" s="26">
        <f t="shared" si="74"/>
        <v>0.22574513335961474</v>
      </c>
      <c r="T241" s="25">
        <v>0.10249999999999999</v>
      </c>
      <c r="U241" s="25">
        <f t="shared" ca="1" si="75"/>
        <v>6.3405441406869812E-3</v>
      </c>
      <c r="V241" s="24" t="e">
        <f ca="1">IF(agePb6U8(1/O241)&lt;1400,age7corr(1/O241,Q241,$W$2),agePb76(Q241))</f>
        <v>#NAME?</v>
      </c>
      <c r="W241" s="24" t="e">
        <f ca="1">IF(agePb6U8(1/O241)&lt;1400,ageer7corr(V241,1/O241,P241/O241*(1/O241),Q241,R241,$W$2,0.05),ageerPb76(Q241,R241))</f>
        <v>#NAME?</v>
      </c>
      <c r="X241" s="26" t="e">
        <f ca="1">agePb6U8(L241)/agePb7u5(J241)</f>
        <v>#NAME?</v>
      </c>
      <c r="Y241" s="24"/>
      <c r="Z241" s="24">
        <v>3.35</v>
      </c>
      <c r="AA241" s="24">
        <v>0.18</v>
      </c>
      <c r="AB241" s="24">
        <v>0.23699999999999999</v>
      </c>
      <c r="AC241" s="24">
        <v>8.6E-3</v>
      </c>
      <c r="AD241" s="24">
        <v>0.54437000000000002</v>
      </c>
      <c r="AE241" s="24">
        <v>4.2194089999999997</v>
      </c>
      <c r="AF241" s="24">
        <v>0.15310940000000001</v>
      </c>
      <c r="AG241" s="24">
        <v>0.1016</v>
      </c>
      <c r="AH241" s="24">
        <v>3.5000000000000001E-3</v>
      </c>
      <c r="AI241" s="24">
        <v>6.6460000000000005E-2</v>
      </c>
      <c r="AJ241" s="24">
        <v>0.10249999999999999</v>
      </c>
      <c r="AK241" s="24">
        <v>6.0000000000000001E-3</v>
      </c>
      <c r="AL241" s="24">
        <v>6.17</v>
      </c>
      <c r="AM241" s="24">
        <v>0.28999999999999998</v>
      </c>
      <c r="AN241" s="24">
        <v>1489</v>
      </c>
      <c r="AO241" s="24">
        <v>42</v>
      </c>
      <c r="AP241" s="24">
        <v>1370</v>
      </c>
      <c r="AQ241" s="24">
        <v>45</v>
      </c>
      <c r="AR241" s="24">
        <v>1970</v>
      </c>
      <c r="AS241" s="24">
        <v>110</v>
      </c>
      <c r="AT241" s="24">
        <v>1647</v>
      </c>
      <c r="AU241" s="24">
        <v>63</v>
      </c>
      <c r="AV241" s="24">
        <v>30.349999999999998</v>
      </c>
      <c r="AW241" s="24">
        <v>0.94</v>
      </c>
      <c r="AX241" s="24">
        <v>4.58</v>
      </c>
      <c r="AY241" s="24">
        <v>0.19</v>
      </c>
      <c r="AZ241" s="24">
        <v>37135.799999999996</v>
      </c>
      <c r="BA241" s="24">
        <v>2049.3000000000002</v>
      </c>
      <c r="BB241" s="24">
        <v>28255.5</v>
      </c>
      <c r="BC241" s="24">
        <v>1179.8999999999999</v>
      </c>
      <c r="BD241" s="24">
        <v>283176</v>
      </c>
      <c r="BE241" s="24">
        <v>5526.9</v>
      </c>
      <c r="BF241" s="24">
        <v>223.56</v>
      </c>
      <c r="BG241" s="24">
        <v>74.52</v>
      </c>
      <c r="BH241" s="24">
        <f t="shared" si="76"/>
        <v>1266.6666666666667</v>
      </c>
      <c r="BI241" s="24">
        <f t="shared" si="77"/>
        <v>422.94537851816818</v>
      </c>
    </row>
    <row r="242" spans="1:61" s="23" customFormat="1" x14ac:dyDescent="0.2">
      <c r="A242" s="23" t="s">
        <v>827</v>
      </c>
      <c r="B242" s="23" t="s">
        <v>38</v>
      </c>
      <c r="C242" s="23" t="s">
        <v>828</v>
      </c>
      <c r="D242" s="23" t="s">
        <v>829</v>
      </c>
      <c r="E242" s="23">
        <v>79137</v>
      </c>
      <c r="F242" s="23">
        <v>45744</v>
      </c>
      <c r="G242" s="23" t="s">
        <v>829</v>
      </c>
      <c r="H242" s="24">
        <v>67.599999999999994</v>
      </c>
      <c r="I242" s="24">
        <v>71.099999999999994</v>
      </c>
      <c r="J242" s="25">
        <v>3.07</v>
      </c>
      <c r="K242" s="25">
        <f t="shared" ca="1" si="70"/>
        <v>0.15287236506314672</v>
      </c>
      <c r="L242" s="26">
        <v>0.1847</v>
      </c>
      <c r="M242" s="26">
        <f t="shared" ca="1" si="71"/>
        <v>9.8211830244629914E-3</v>
      </c>
      <c r="N242" s="26">
        <v>-0.26356000000000002</v>
      </c>
      <c r="O242" s="26">
        <v>5.4141849999999998</v>
      </c>
      <c r="P242" s="26">
        <f t="shared" ca="1" si="72"/>
        <v>0.28789222955699934</v>
      </c>
      <c r="Q242" s="25">
        <v>0.12130000000000001</v>
      </c>
      <c r="R242" s="25">
        <f t="shared" ca="1" si="73"/>
        <v>9.1282789177369022E-3</v>
      </c>
      <c r="S242" s="26">
        <f t="shared" si="74"/>
        <v>0.15940754165345261</v>
      </c>
      <c r="T242" s="25">
        <v>7.8399999999999997E-2</v>
      </c>
      <c r="U242" s="25">
        <f t="shared" ca="1" si="75"/>
        <v>3.2967596212038269E-3</v>
      </c>
      <c r="V242" s="24" t="e">
        <f ca="1">IF(agePb6U8(1/O242)&lt;1400,age7corr(1/O242,Q242,$W$2),agePb76(Q242))</f>
        <v>#NAME?</v>
      </c>
      <c r="W242" s="24" t="e">
        <f ca="1">IF(agePb6U8(1/O242)&lt;1400,ageer7corr(V242,1/O242,P242/O242*(1/O242),Q242,R242,$W$2,0.05),ageerPb76(Q242,R242))</f>
        <v>#NAME?</v>
      </c>
      <c r="X242" s="26" t="e">
        <f ca="1">agePb6U8(L242)/agePb7u5(J242)</f>
        <v>#NAME?</v>
      </c>
      <c r="Y242" s="24"/>
      <c r="Z242" s="24">
        <v>3.07</v>
      </c>
      <c r="AA242" s="24">
        <v>0.14000000000000001</v>
      </c>
      <c r="AB242" s="24">
        <v>0.1847</v>
      </c>
      <c r="AC242" s="24">
        <v>9.1000000000000004E-3</v>
      </c>
      <c r="AD242" s="24">
        <v>-0.26356000000000002</v>
      </c>
      <c r="AE242" s="24">
        <v>5.4141849999999998</v>
      </c>
      <c r="AF242" s="24">
        <v>0.26675189999999999</v>
      </c>
      <c r="AG242" s="24">
        <v>0.12130000000000001</v>
      </c>
      <c r="AH242" s="24">
        <v>8.8000000000000005E-3</v>
      </c>
      <c r="AI242" s="24">
        <v>0.83779000000000003</v>
      </c>
      <c r="AJ242" s="24">
        <v>7.8399999999999997E-2</v>
      </c>
      <c r="AK242" s="24">
        <v>2.8999999999999998E-3</v>
      </c>
      <c r="AL242" s="24">
        <v>2.39</v>
      </c>
      <c r="AM242" s="24">
        <v>0.1</v>
      </c>
      <c r="AN242" s="24">
        <v>1421</v>
      </c>
      <c r="AO242" s="24">
        <v>36</v>
      </c>
      <c r="AP242" s="24">
        <v>1091</v>
      </c>
      <c r="AQ242" s="24">
        <v>50</v>
      </c>
      <c r="AR242" s="24">
        <v>1525</v>
      </c>
      <c r="AS242" s="24">
        <v>55</v>
      </c>
      <c r="AT242" s="24">
        <v>1950</v>
      </c>
      <c r="AU242" s="24">
        <v>120</v>
      </c>
      <c r="AV242" s="24">
        <v>14.5</v>
      </c>
      <c r="AW242" s="24">
        <v>1.3</v>
      </c>
      <c r="AX242" s="24">
        <v>5.5900000000000007</v>
      </c>
      <c r="AY242" s="24">
        <v>0.37</v>
      </c>
      <c r="AZ242" s="24">
        <v>35769.600000000006</v>
      </c>
      <c r="BA242" s="24">
        <v>3291.2999999999997</v>
      </c>
      <c r="BB242" s="24">
        <v>12668.4</v>
      </c>
      <c r="BC242" s="24">
        <v>1490.4</v>
      </c>
      <c r="BD242" s="24">
        <v>103831.20000000001</v>
      </c>
      <c r="BE242" s="24">
        <v>4657.5</v>
      </c>
      <c r="BF242" s="24">
        <v>267.02999999999997</v>
      </c>
      <c r="BG242" s="24">
        <v>86.94</v>
      </c>
      <c r="BH242" s="24">
        <f t="shared" si="76"/>
        <v>388.83720930232568</v>
      </c>
      <c r="BI242" s="24">
        <f t="shared" si="77"/>
        <v>127.79402532064591</v>
      </c>
    </row>
    <row r="243" spans="1:61" s="23" customFormat="1" x14ac:dyDescent="0.2">
      <c r="A243" s="23" t="s">
        <v>830</v>
      </c>
      <c r="B243" s="23" t="s">
        <v>38</v>
      </c>
      <c r="C243" s="23" t="s">
        <v>831</v>
      </c>
      <c r="D243" s="23" t="s">
        <v>832</v>
      </c>
      <c r="E243" s="23">
        <v>79141</v>
      </c>
      <c r="F243" s="23">
        <v>45950</v>
      </c>
      <c r="G243" s="23" t="s">
        <v>832</v>
      </c>
      <c r="H243" s="24">
        <v>174</v>
      </c>
      <c r="I243" s="24">
        <v>141.4</v>
      </c>
      <c r="J243" s="25">
        <v>0.59599999999999997</v>
      </c>
      <c r="K243" s="25">
        <f t="shared" ca="1" si="70"/>
        <v>2.0762620258531917E-2</v>
      </c>
      <c r="L243" s="26">
        <v>7.3700000000000002E-2</v>
      </c>
      <c r="M243" s="26">
        <f t="shared" ca="1" si="71"/>
        <v>2.7317898894314695E-3</v>
      </c>
      <c r="N243" s="26">
        <v>0.91710000000000003</v>
      </c>
      <c r="O243" s="26">
        <v>13.568519999999999</v>
      </c>
      <c r="P243" s="26">
        <f t="shared" ca="1" si="72"/>
        <v>0.50293555698236325</v>
      </c>
      <c r="Q243" s="25">
        <v>5.8470000000000001E-2</v>
      </c>
      <c r="R243" s="25">
        <f t="shared" ca="1" si="73"/>
        <v>1.4575309121936317E-3</v>
      </c>
      <c r="S243" s="26">
        <f t="shared" si="74"/>
        <v>0.41652059248115586</v>
      </c>
      <c r="T243" s="25">
        <v>2.5170000000000001E-2</v>
      </c>
      <c r="U243" s="25">
        <f t="shared" ca="1" si="75"/>
        <v>8.6221317549664014E-4</v>
      </c>
      <c r="V243" s="24" t="e">
        <f ca="1">IF(agePb6U8(1/O243)&lt;1400,age7corr(1/O243,Q243,$W$2),agePb76(Q243))</f>
        <v>#NAME?</v>
      </c>
      <c r="W243" s="24" t="e">
        <f ca="1">IF(agePb6U8(1/O243)&lt;1400,ageer7corr(V243,1/O243,P243/O243*(1/O243),Q243,R243,$W$2,0.05),ageerPb76(Q243,R243))</f>
        <v>#NAME?</v>
      </c>
      <c r="X243" s="26" t="e">
        <f ca="1">agePb6U8(L243)/agePb7u5(J243)</f>
        <v>#NAME?</v>
      </c>
      <c r="Y243" s="24"/>
      <c r="Z243" s="24">
        <v>0.59599999999999997</v>
      </c>
      <c r="AA243" s="24">
        <v>1.7000000000000001E-2</v>
      </c>
      <c r="AB243" s="24">
        <v>7.3700000000000002E-2</v>
      </c>
      <c r="AC243" s="24">
        <v>2.3E-3</v>
      </c>
      <c r="AD243" s="24">
        <v>0.91710000000000003</v>
      </c>
      <c r="AE243" s="24">
        <v>13.568519999999999</v>
      </c>
      <c r="AF243" s="24">
        <v>0.42344100000000001</v>
      </c>
      <c r="AG243" s="24">
        <v>5.8470000000000001E-2</v>
      </c>
      <c r="AH243" s="24">
        <v>8.7000000000000001E-4</v>
      </c>
      <c r="AI243" s="24">
        <v>0.49586999999999998</v>
      </c>
      <c r="AJ243" s="24">
        <v>2.5170000000000001E-2</v>
      </c>
      <c r="AK243" s="24">
        <v>6.9999999999999999E-4</v>
      </c>
      <c r="AL243" s="24">
        <v>3.7919999999999998</v>
      </c>
      <c r="AM243" s="24">
        <v>2.4E-2</v>
      </c>
      <c r="AN243" s="24">
        <v>474</v>
      </c>
      <c r="AO243" s="24">
        <v>11</v>
      </c>
      <c r="AP243" s="24">
        <v>458</v>
      </c>
      <c r="AQ243" s="24">
        <v>14</v>
      </c>
      <c r="AR243" s="24">
        <v>502</v>
      </c>
      <c r="AS243" s="24">
        <v>14</v>
      </c>
      <c r="AT243" s="24">
        <v>546</v>
      </c>
      <c r="AU243" s="24">
        <v>32</v>
      </c>
      <c r="AV243" s="24">
        <v>37.479999999999997</v>
      </c>
      <c r="AW243" s="24">
        <v>0.99</v>
      </c>
      <c r="AX243" s="24">
        <v>11.11</v>
      </c>
      <c r="AY243" s="24">
        <v>0.23</v>
      </c>
      <c r="AZ243" s="24">
        <v>22933.53</v>
      </c>
      <c r="BA243" s="24">
        <v>540.27</v>
      </c>
      <c r="BB243" s="24">
        <v>6222.42</v>
      </c>
      <c r="BC243" s="24">
        <v>173.88</v>
      </c>
      <c r="BD243" s="24">
        <v>108178.2</v>
      </c>
      <c r="BE243" s="24">
        <v>2484</v>
      </c>
      <c r="BF243" s="24">
        <v>15.525</v>
      </c>
      <c r="BG243" s="24">
        <v>6.8310000000000004</v>
      </c>
      <c r="BH243" s="24">
        <f t="shared" si="76"/>
        <v>6968</v>
      </c>
      <c r="BI243" s="24">
        <f t="shared" si="77"/>
        <v>3070.0920908663311</v>
      </c>
    </row>
    <row r="244" spans="1:61" x14ac:dyDescent="0.2">
      <c r="A244" t="s">
        <v>773</v>
      </c>
      <c r="B244" t="s">
        <v>38</v>
      </c>
      <c r="C244" t="s">
        <v>774</v>
      </c>
      <c r="D244" t="s">
        <v>775</v>
      </c>
      <c r="E244">
        <v>78616</v>
      </c>
      <c r="F244">
        <v>39956</v>
      </c>
      <c r="G244" t="s">
        <v>775</v>
      </c>
      <c r="H244" s="1">
        <v>209</v>
      </c>
      <c r="I244" s="1">
        <v>116</v>
      </c>
      <c r="J244" s="10">
        <v>0.17</v>
      </c>
      <c r="K244" s="10">
        <f t="shared" ca="1" si="70"/>
        <v>1.2472369462135093E-2</v>
      </c>
      <c r="L244" s="7">
        <v>2.5000000000000001E-2</v>
      </c>
      <c r="M244" s="7">
        <f t="shared" ca="1" si="71"/>
        <v>1.6763054614240211E-3</v>
      </c>
      <c r="N244" s="7">
        <v>0.97387000000000001</v>
      </c>
      <c r="O244" s="8">
        <v>40</v>
      </c>
      <c r="P244" s="8">
        <f t="shared" ca="1" si="72"/>
        <v>2.6820887382784337</v>
      </c>
      <c r="Q244" s="9">
        <v>4.9169999999999998E-2</v>
      </c>
      <c r="R244" s="9">
        <f t="shared" ca="1" si="73"/>
        <v>1.293319589274051E-3</v>
      </c>
      <c r="S244" s="8">
        <f t="shared" si="74"/>
        <v>0.49225223143686114</v>
      </c>
      <c r="T244" s="11">
        <v>7.7000000000000002E-3</v>
      </c>
      <c r="U244" s="11">
        <f t="shared" ca="1" si="75"/>
        <v>7.2650946311799683E-4</v>
      </c>
      <c r="V244" s="6" t="e">
        <f ca="1">IF(agePb6U8(1/O244)&lt;1400,age7corr(1/O244,Q244,$W$2),agePb76(Q244))</f>
        <v>#NAME?</v>
      </c>
      <c r="W244" s="6" t="e">
        <f ca="1">IF(agePb6U8(1/O244)&lt;1400,ageer7corr(V244,1/O244,P244/O244*(1/O244),Q244,R244,$W$2,0.05),ageerPb76(Q244,R244))</f>
        <v>#NAME?</v>
      </c>
      <c r="X244" s="4" t="e">
        <f ca="1">agePb6U8(L244)/agePb7u5(J244)</f>
        <v>#NAME?</v>
      </c>
      <c r="Z244" s="1">
        <v>0.17</v>
      </c>
      <c r="AA244" s="1">
        <v>1.2E-2</v>
      </c>
      <c r="AB244" s="1">
        <v>2.5000000000000001E-2</v>
      </c>
      <c r="AC244" s="1">
        <v>1.6000000000000001E-3</v>
      </c>
      <c r="AD244" s="1">
        <v>0.97387000000000001</v>
      </c>
      <c r="AE244" s="1">
        <v>40</v>
      </c>
      <c r="AF244" s="1">
        <v>2.56</v>
      </c>
      <c r="AG244" s="1">
        <v>4.9169999999999998E-2</v>
      </c>
      <c r="AH244" s="1">
        <v>8.4000000000000003E-4</v>
      </c>
      <c r="AI244" s="1">
        <v>-0.32253999999999999</v>
      </c>
      <c r="AJ244" s="1">
        <v>7.7000000000000002E-3</v>
      </c>
      <c r="AK244" s="1">
        <v>7.1000000000000002E-4</v>
      </c>
      <c r="AL244" s="1">
        <v>6.32</v>
      </c>
      <c r="AM244" s="1">
        <v>0.34</v>
      </c>
      <c r="AN244" s="1">
        <v>159</v>
      </c>
      <c r="AO244" s="1">
        <v>10</v>
      </c>
      <c r="AP244" s="1">
        <v>159.4</v>
      </c>
      <c r="AQ244" s="1">
        <v>9.8000000000000007</v>
      </c>
      <c r="AR244" s="1">
        <v>155</v>
      </c>
      <c r="AS244" s="1">
        <v>14</v>
      </c>
      <c r="AT244" s="1">
        <v>154</v>
      </c>
      <c r="AU244" s="1">
        <v>40</v>
      </c>
      <c r="AV244" s="1">
        <v>45</v>
      </c>
      <c r="AW244" s="1">
        <v>4.8999999999999995</v>
      </c>
      <c r="AX244" s="1">
        <v>9.1</v>
      </c>
      <c r="AY244" s="1">
        <v>1.4</v>
      </c>
      <c r="AZ244" s="1">
        <v>5651.0999999999995</v>
      </c>
      <c r="BA244" s="1">
        <v>807.3</v>
      </c>
      <c r="BB244" s="1">
        <v>2111.4</v>
      </c>
      <c r="BC244" s="1">
        <v>217.35</v>
      </c>
      <c r="BD244" s="1">
        <v>43470</v>
      </c>
      <c r="BE244" s="1">
        <v>4533.2999999999993</v>
      </c>
      <c r="BF244" s="1">
        <v>3.6638999999999999</v>
      </c>
      <c r="BG244" s="1">
        <v>5.8995000000000006</v>
      </c>
      <c r="BH244" s="1">
        <f t="shared" si="76"/>
        <v>11864.406779661018</v>
      </c>
      <c r="BI244" s="1">
        <f t="shared" si="77"/>
        <v>19143.731570229127</v>
      </c>
    </row>
    <row r="245" spans="1:61" x14ac:dyDescent="0.2">
      <c r="A245" t="s">
        <v>833</v>
      </c>
      <c r="B245" t="s">
        <v>38</v>
      </c>
      <c r="C245" t="s">
        <v>834</v>
      </c>
      <c r="D245" t="s">
        <v>835</v>
      </c>
      <c r="E245">
        <v>78204</v>
      </c>
      <c r="F245">
        <v>39617</v>
      </c>
      <c r="G245" t="s">
        <v>835</v>
      </c>
      <c r="H245" s="1">
        <v>185</v>
      </c>
      <c r="I245" s="1">
        <v>204</v>
      </c>
      <c r="J245" s="10">
        <v>0.16400000000000001</v>
      </c>
      <c r="K245" s="10">
        <f t="shared" ca="1" si="70"/>
        <v>1.1478606187164014E-2</v>
      </c>
      <c r="L245" s="7">
        <v>2.4199999999999999E-2</v>
      </c>
      <c r="M245" s="7">
        <f t="shared" ca="1" si="71"/>
        <v>1.5761522769072792E-3</v>
      </c>
      <c r="N245" s="7">
        <v>0.96806999999999999</v>
      </c>
      <c r="O245" s="8">
        <v>41.322310000000002</v>
      </c>
      <c r="P245" s="8">
        <f t="shared" ca="1" si="72"/>
        <v>2.691332571700205</v>
      </c>
      <c r="Q245" s="9">
        <v>4.9059999999999999E-2</v>
      </c>
      <c r="R245" s="9">
        <f t="shared" ca="1" si="73"/>
        <v>1.2534565967754928E-3</v>
      </c>
      <c r="S245" s="8">
        <f t="shared" si="74"/>
        <v>0.41868299808894527</v>
      </c>
      <c r="T245" s="11">
        <v>7.5799999999999999E-3</v>
      </c>
      <c r="U245" s="11">
        <f t="shared" ca="1" si="75"/>
        <v>6.3826527400446902E-4</v>
      </c>
      <c r="V245" s="6" t="e">
        <f ca="1">IF(agePb6U8(1/O245)&lt;1400,age7corr(1/O245,Q245,$W$2),agePb76(Q245))</f>
        <v>#NAME?</v>
      </c>
      <c r="W245" s="6" t="e">
        <f ca="1">IF(agePb6U8(1/O245)&lt;1400,ageer7corr(V245,1/O245,P245/O245*(1/O245),Q245,R245,$W$2,0.05),ageerPb76(Q245,R245))</f>
        <v>#NAME?</v>
      </c>
      <c r="X245" s="4" t="e">
        <f ca="1">agePb6U8(L245)/agePb7u5(J245)</f>
        <v>#NAME?</v>
      </c>
      <c r="Z245" s="1">
        <v>0.16400000000000001</v>
      </c>
      <c r="AA245" s="1">
        <v>1.0999999999999999E-2</v>
      </c>
      <c r="AB245" s="1">
        <v>2.4199999999999999E-2</v>
      </c>
      <c r="AC245" s="1">
        <v>1.5E-3</v>
      </c>
      <c r="AD245" s="1">
        <v>0.96806999999999999</v>
      </c>
      <c r="AE245" s="1">
        <v>41.322310000000002</v>
      </c>
      <c r="AF245" s="1">
        <v>2.5613000000000001</v>
      </c>
      <c r="AG245" s="1">
        <v>4.9059999999999999E-2</v>
      </c>
      <c r="AH245" s="1">
        <v>7.7999999999999999E-4</v>
      </c>
      <c r="AI245" s="1">
        <v>5.1202999999999999E-2</v>
      </c>
      <c r="AJ245" s="1">
        <v>7.5799999999999999E-3</v>
      </c>
      <c r="AK245" s="1">
        <v>6.2E-4</v>
      </c>
      <c r="AL245" s="1">
        <v>3.1150000000000002</v>
      </c>
      <c r="AM245" s="1">
        <v>6.0999999999999999E-2</v>
      </c>
      <c r="AN245" s="1">
        <v>154.19999999999999</v>
      </c>
      <c r="AO245" s="1">
        <v>9.6</v>
      </c>
      <c r="AP245" s="1">
        <v>154.30000000000001</v>
      </c>
      <c r="AQ245" s="1">
        <v>9.6999999999999993</v>
      </c>
      <c r="AR245" s="1">
        <v>153</v>
      </c>
      <c r="AS245" s="1">
        <v>12</v>
      </c>
      <c r="AT245" s="1">
        <v>149</v>
      </c>
      <c r="AU245" s="1">
        <v>37</v>
      </c>
      <c r="AV245" s="1">
        <v>39.800000000000004</v>
      </c>
      <c r="AW245" s="1">
        <v>4.5999999999999996</v>
      </c>
      <c r="AX245" s="1">
        <v>16</v>
      </c>
      <c r="AY245" s="1">
        <v>1.9</v>
      </c>
      <c r="AZ245" s="1">
        <v>9998.1</v>
      </c>
      <c r="BA245" s="1">
        <v>869.4</v>
      </c>
      <c r="BB245" s="1">
        <v>1831.9499999999998</v>
      </c>
      <c r="BC245" s="1">
        <v>124.2</v>
      </c>
      <c r="BD245" s="1">
        <v>38502</v>
      </c>
      <c r="BE245" s="1">
        <v>2980.8</v>
      </c>
      <c r="BF245" s="1">
        <v>3.2292000000000001</v>
      </c>
      <c r="BG245" s="1">
        <v>6.0858000000000008</v>
      </c>
      <c r="BH245" s="1">
        <f t="shared" si="76"/>
        <v>11923.076923076922</v>
      </c>
      <c r="BI245" s="1">
        <f t="shared" si="77"/>
        <v>22489.366051062072</v>
      </c>
    </row>
    <row r="246" spans="1:61" x14ac:dyDescent="0.2">
      <c r="A246" t="s">
        <v>836</v>
      </c>
      <c r="B246" t="s">
        <v>38</v>
      </c>
      <c r="C246" t="s">
        <v>837</v>
      </c>
      <c r="D246" t="s">
        <v>838</v>
      </c>
      <c r="E246">
        <v>78206</v>
      </c>
      <c r="F246">
        <v>39774</v>
      </c>
      <c r="G246" t="s">
        <v>838</v>
      </c>
      <c r="H246" s="1">
        <v>147</v>
      </c>
      <c r="I246" s="1">
        <v>180</v>
      </c>
      <c r="J246" s="10">
        <v>0.17199999999999999</v>
      </c>
      <c r="K246" s="10">
        <f t="shared" ca="1" si="70"/>
        <v>1.1525345981791609E-2</v>
      </c>
      <c r="L246" s="7">
        <v>2.5100000000000001E-2</v>
      </c>
      <c r="M246" s="7">
        <f t="shared" ca="1" si="71"/>
        <v>1.6769030979755511E-3</v>
      </c>
      <c r="N246" s="7">
        <v>0.98087999999999997</v>
      </c>
      <c r="O246" s="8">
        <v>39.84064</v>
      </c>
      <c r="P246" s="8">
        <f t="shared" ca="1" si="72"/>
        <v>2.6617084976397849</v>
      </c>
      <c r="Q246" s="9">
        <v>4.965E-2</v>
      </c>
      <c r="R246" s="9">
        <f t="shared" ca="1" si="73"/>
        <v>1.1303313673432229E-3</v>
      </c>
      <c r="S246" s="8">
        <f t="shared" si="74"/>
        <v>0.28897507668140543</v>
      </c>
      <c r="T246" s="11">
        <v>8.09E-3</v>
      </c>
      <c r="U246" s="11">
        <f t="shared" ca="1" si="75"/>
        <v>5.1602251888846864E-4</v>
      </c>
      <c r="V246" s="6" t="e">
        <f ca="1">IF(agePb6U8(1/O246)&lt;1400,age7corr(1/O246,Q246,$W$2),agePb76(Q246))</f>
        <v>#NAME?</v>
      </c>
      <c r="W246" s="6" t="e">
        <f ca="1">IF(agePb6U8(1/O246)&lt;1400,ageer7corr(V246,1/O246,P246/O246*(1/O246),Q246,R246,$W$2,0.05),ageerPb76(Q246,R246))</f>
        <v>#NAME?</v>
      </c>
      <c r="X246" s="4" t="e">
        <f ca="1">agePb6U8(L246)/agePb7u5(J246)</f>
        <v>#NAME?</v>
      </c>
      <c r="Z246" s="1">
        <v>0.17199999999999999</v>
      </c>
      <c r="AA246" s="1">
        <v>1.0999999999999999E-2</v>
      </c>
      <c r="AB246" s="1">
        <v>2.5100000000000001E-2</v>
      </c>
      <c r="AC246" s="1">
        <v>1.6000000000000001E-3</v>
      </c>
      <c r="AD246" s="1">
        <v>0.98087999999999997</v>
      </c>
      <c r="AE246" s="1">
        <v>39.84064</v>
      </c>
      <c r="AF246" s="1">
        <v>2.5396420000000002</v>
      </c>
      <c r="AG246" s="1">
        <v>4.965E-2</v>
      </c>
      <c r="AH246" s="1">
        <v>5.4000000000000001E-4</v>
      </c>
      <c r="AI246" s="1">
        <v>-2.1354999999999999E-2</v>
      </c>
      <c r="AJ246" s="1">
        <v>8.09E-3</v>
      </c>
      <c r="AK246" s="1">
        <v>4.8999999999999998E-4</v>
      </c>
      <c r="AL246" s="1">
        <v>2.72</v>
      </c>
      <c r="AM246" s="1">
        <v>0.17</v>
      </c>
      <c r="AN246" s="1">
        <v>160.80000000000001</v>
      </c>
      <c r="AO246" s="1">
        <v>9.6999999999999993</v>
      </c>
      <c r="AP246" s="1">
        <v>160</v>
      </c>
      <c r="AQ246" s="1">
        <v>10</v>
      </c>
      <c r="AR246" s="1">
        <v>162.80000000000001</v>
      </c>
      <c r="AS246" s="1">
        <v>9.8000000000000007</v>
      </c>
      <c r="AT246" s="1">
        <v>178</v>
      </c>
      <c r="AU246" s="1">
        <v>25</v>
      </c>
      <c r="AV246" s="1">
        <v>31.7</v>
      </c>
      <c r="AW246" s="1">
        <v>3.9</v>
      </c>
      <c r="AX246" s="1">
        <v>14.1</v>
      </c>
      <c r="AY246" s="1">
        <v>1</v>
      </c>
      <c r="AZ246" s="1">
        <v>9395.73</v>
      </c>
      <c r="BA246" s="1">
        <v>509.21999999999991</v>
      </c>
      <c r="BB246" s="1">
        <v>1521.45</v>
      </c>
      <c r="BC246" s="1">
        <v>80.72999999999999</v>
      </c>
      <c r="BD246" s="1">
        <v>30863.700000000004</v>
      </c>
      <c r="BE246" s="1">
        <v>1676.7</v>
      </c>
      <c r="BF246" s="1">
        <v>-2.5461</v>
      </c>
      <c r="BG246" s="1">
        <v>5.4027000000000003</v>
      </c>
      <c r="BH246" s="1">
        <f t="shared" si="76"/>
        <v>-12121.951219512197</v>
      </c>
      <c r="BI246" s="1">
        <f t="shared" si="77"/>
        <v>-25730.617681889929</v>
      </c>
    </row>
    <row r="247" spans="1:61" x14ac:dyDescent="0.2">
      <c r="A247" t="s">
        <v>845</v>
      </c>
      <c r="B247" t="s">
        <v>38</v>
      </c>
      <c r="C247" t="s">
        <v>846</v>
      </c>
      <c r="D247" t="s">
        <v>847</v>
      </c>
      <c r="E247">
        <v>78191</v>
      </c>
      <c r="F247">
        <v>39963</v>
      </c>
      <c r="G247" t="s">
        <v>847</v>
      </c>
      <c r="H247" s="1">
        <v>280</v>
      </c>
      <c r="I247" s="1">
        <v>166</v>
      </c>
      <c r="J247" s="10">
        <v>0.16739999999999999</v>
      </c>
      <c r="K247" s="10">
        <f t="shared" ca="1" si="70"/>
        <v>6.4388744358000955E-3</v>
      </c>
      <c r="L247" s="7">
        <v>2.4910000000000002E-2</v>
      </c>
      <c r="M247" s="7">
        <f t="shared" ca="1" si="71"/>
        <v>7.9536358981286044E-4</v>
      </c>
      <c r="N247" s="7">
        <v>0.91922999999999999</v>
      </c>
      <c r="O247" s="8">
        <v>40.14452</v>
      </c>
      <c r="P247" s="8">
        <f t="shared" ca="1" si="72"/>
        <v>1.2817940805158996</v>
      </c>
      <c r="Q247" s="9">
        <v>4.8320000000000002E-2</v>
      </c>
      <c r="R247" s="9">
        <f t="shared" ca="1" si="73"/>
        <v>1.1169283593856858E-3</v>
      </c>
      <c r="S247" s="8">
        <f t="shared" si="74"/>
        <v>0.52602077026296712</v>
      </c>
      <c r="T247" s="11">
        <v>7.8899999999999994E-3</v>
      </c>
      <c r="U247" s="11">
        <f t="shared" ca="1" si="75"/>
        <v>2.6268010963908172E-4</v>
      </c>
      <c r="V247" s="6" t="e">
        <f ca="1">IF(agePb6U8(1/O247)&lt;1400,age7corr(1/O247,Q247,$W$2),agePb76(Q247))</f>
        <v>#NAME?</v>
      </c>
      <c r="W247" s="6" t="e">
        <f ca="1">IF(agePb6U8(1/O247)&lt;1400,ageer7corr(V247,1/O247,P247/O247*(1/O247),Q247,R247,$W$2,0.05),ageerPb76(Q247,R247))</f>
        <v>#NAME?</v>
      </c>
      <c r="X247" s="4" t="e">
        <f ca="1">agePb6U8(L247)/agePb7u5(J247)</f>
        <v>#NAME?</v>
      </c>
      <c r="Z247" s="1">
        <v>0.16739999999999999</v>
      </c>
      <c r="AA247" s="1">
        <v>5.4999999999999997E-3</v>
      </c>
      <c r="AB247" s="1">
        <v>2.4910000000000002E-2</v>
      </c>
      <c r="AC247" s="1">
        <v>6.2E-4</v>
      </c>
      <c r="AD247" s="1">
        <v>0.91922999999999999</v>
      </c>
      <c r="AE247" s="1">
        <v>40.14452</v>
      </c>
      <c r="AF247" s="1">
        <v>0.99918119999999999</v>
      </c>
      <c r="AG247" s="1">
        <v>4.8320000000000002E-2</v>
      </c>
      <c r="AH247" s="1">
        <v>5.5999999999999995E-4</v>
      </c>
      <c r="AI247" s="1">
        <v>-0.20301</v>
      </c>
      <c r="AJ247" s="1">
        <v>7.8899999999999994E-3</v>
      </c>
      <c r="AK247" s="1">
        <v>2.1000000000000001E-4</v>
      </c>
      <c r="AL247" s="1">
        <v>5.6959999999999997</v>
      </c>
      <c r="AM247" s="1">
        <v>8.3000000000000004E-2</v>
      </c>
      <c r="AN247" s="1">
        <v>157.1</v>
      </c>
      <c r="AO247" s="1">
        <v>4.7</v>
      </c>
      <c r="AP247" s="1">
        <v>158.6</v>
      </c>
      <c r="AQ247" s="1">
        <v>3.9</v>
      </c>
      <c r="AR247" s="1">
        <v>158.80000000000001</v>
      </c>
      <c r="AS247" s="1">
        <v>4.0999999999999996</v>
      </c>
      <c r="AT247" s="1">
        <v>114</v>
      </c>
      <c r="AU247" s="1">
        <v>27</v>
      </c>
      <c r="AV247" s="1">
        <v>60.199999999999996</v>
      </c>
      <c r="AW247" s="1">
        <v>2.4</v>
      </c>
      <c r="AX247" s="1">
        <v>13.03</v>
      </c>
      <c r="AY247" s="1">
        <v>0.92</v>
      </c>
      <c r="AZ247" s="1">
        <v>8395.92</v>
      </c>
      <c r="BA247" s="1">
        <v>484.38</v>
      </c>
      <c r="BB247" s="1">
        <v>2831.7599999999998</v>
      </c>
      <c r="BC247" s="1">
        <v>130.41</v>
      </c>
      <c r="BD247" s="1">
        <v>58995</v>
      </c>
      <c r="BE247" s="1">
        <v>2670.3</v>
      </c>
      <c r="BF247" s="1">
        <v>2.7323999999999997</v>
      </c>
      <c r="BG247" s="1">
        <v>6.1478999999999999</v>
      </c>
      <c r="BH247" s="1">
        <f t="shared" si="76"/>
        <v>21590.909090909092</v>
      </c>
      <c r="BI247" s="1">
        <f t="shared" si="77"/>
        <v>48589.374337952941</v>
      </c>
    </row>
    <row r="248" spans="1:61" x14ac:dyDescent="0.2">
      <c r="A248" t="s">
        <v>848</v>
      </c>
      <c r="B248" t="s">
        <v>38</v>
      </c>
      <c r="C248" t="s">
        <v>849</v>
      </c>
      <c r="D248" t="s">
        <v>850</v>
      </c>
      <c r="E248">
        <v>78249</v>
      </c>
      <c r="F248">
        <v>40158</v>
      </c>
      <c r="G248" t="s">
        <v>850</v>
      </c>
      <c r="H248" s="1">
        <v>245</v>
      </c>
      <c r="I248" s="1">
        <v>128</v>
      </c>
      <c r="J248" s="10">
        <v>0.16</v>
      </c>
      <c r="K248" s="10">
        <f t="shared" ca="1" si="70"/>
        <v>8.4308955633431958E-3</v>
      </c>
      <c r="L248" s="7">
        <v>2.3699999999999999E-2</v>
      </c>
      <c r="M248" s="7">
        <f t="shared" ca="1" si="71"/>
        <v>1.2902232364982425E-3</v>
      </c>
      <c r="N248" s="7">
        <v>0.97275999999999996</v>
      </c>
      <c r="O248" s="8">
        <v>42.194090000000003</v>
      </c>
      <c r="P248" s="8">
        <f t="shared" ca="1" si="72"/>
        <v>2.2970381321326037</v>
      </c>
      <c r="Q248" s="9">
        <v>4.9050000000000003E-2</v>
      </c>
      <c r="R248" s="9">
        <f t="shared" ca="1" si="73"/>
        <v>1.1295844368616275E-3</v>
      </c>
      <c r="S248" s="8">
        <f t="shared" si="74"/>
        <v>0.45982048874120207</v>
      </c>
      <c r="T248" s="11">
        <v>7.4099999999999999E-3</v>
      </c>
      <c r="U248" s="11">
        <f t="shared" ca="1" si="75"/>
        <v>5.6961674834927394E-4</v>
      </c>
      <c r="V248" s="6" t="e">
        <f ca="1">IF(agePb6U8(1/O248)&lt;1400,age7corr(1/O248,Q248,$W$2),agePb76(Q248))</f>
        <v>#NAME?</v>
      </c>
      <c r="W248" s="6" t="e">
        <f ca="1">IF(agePb6U8(1/O248)&lt;1400,ageer7corr(V248,1/O248,P248/O248*(1/O248),Q248,R248,$W$2,0.05),ageerPb76(Q248,R248))</f>
        <v>#NAME?</v>
      </c>
      <c r="X248" s="4" t="e">
        <f ca="1">agePb6U8(L248)/agePb7u5(J248)</f>
        <v>#NAME?</v>
      </c>
      <c r="Z248" s="1">
        <v>0.16</v>
      </c>
      <c r="AA248" s="1">
        <v>7.7999999999999996E-3</v>
      </c>
      <c r="AB248" s="1">
        <v>2.3699999999999999E-2</v>
      </c>
      <c r="AC248" s="1">
        <v>1.1999999999999999E-3</v>
      </c>
      <c r="AD248" s="1">
        <v>0.97275999999999996</v>
      </c>
      <c r="AE248" s="1">
        <v>42.194090000000003</v>
      </c>
      <c r="AF248" s="1">
        <v>2.1364100000000001</v>
      </c>
      <c r="AG248" s="1">
        <v>4.9050000000000003E-2</v>
      </c>
      <c r="AH248" s="1">
        <v>5.5999999999999995E-4</v>
      </c>
      <c r="AI248" s="1">
        <v>0.13155</v>
      </c>
      <c r="AJ248" s="1">
        <v>7.4099999999999999E-3</v>
      </c>
      <c r="AK248" s="1">
        <v>5.5000000000000003E-4</v>
      </c>
      <c r="AL248" s="1">
        <v>6.69</v>
      </c>
      <c r="AM248" s="1">
        <v>0.17</v>
      </c>
      <c r="AN248" s="1">
        <v>150.5</v>
      </c>
      <c r="AO248" s="1">
        <v>6.9</v>
      </c>
      <c r="AP248" s="1">
        <v>151.19999999999999</v>
      </c>
      <c r="AQ248" s="1">
        <v>7.3</v>
      </c>
      <c r="AR248" s="1">
        <v>149</v>
      </c>
      <c r="AS248" s="1">
        <v>11</v>
      </c>
      <c r="AT248" s="1">
        <v>149</v>
      </c>
      <c r="AU248" s="1">
        <v>27</v>
      </c>
      <c r="AV248" s="1">
        <v>52.6</v>
      </c>
      <c r="AW248" s="1">
        <v>2.8</v>
      </c>
      <c r="AX248" s="1">
        <v>10.09</v>
      </c>
      <c r="AY248" s="1">
        <v>0.92</v>
      </c>
      <c r="AZ248" s="1">
        <v>6036.1200000000008</v>
      </c>
      <c r="BA248" s="1">
        <v>409.86</v>
      </c>
      <c r="BB248" s="1">
        <v>2446.7400000000002</v>
      </c>
      <c r="BC248" s="1">
        <v>117.99</v>
      </c>
      <c r="BD248" s="1">
        <v>50425.200000000004</v>
      </c>
      <c r="BE248" s="1">
        <v>2359.7999999999997</v>
      </c>
      <c r="BF248" s="1">
        <v>0.93149999999999988</v>
      </c>
      <c r="BG248" s="1">
        <v>4.5953999999999997</v>
      </c>
      <c r="BH248" s="1">
        <f t="shared" si="76"/>
        <v>54133.333333333343</v>
      </c>
      <c r="BI248" s="1">
        <f t="shared" si="77"/>
        <v>267069.79321777058</v>
      </c>
    </row>
    <row r="249" spans="1:61" x14ac:dyDescent="0.2">
      <c r="A249" t="s">
        <v>851</v>
      </c>
      <c r="B249" t="s">
        <v>38</v>
      </c>
      <c r="C249" t="s">
        <v>852</v>
      </c>
      <c r="D249" t="s">
        <v>853</v>
      </c>
      <c r="E249">
        <v>78235</v>
      </c>
      <c r="F249">
        <v>40454</v>
      </c>
      <c r="G249" t="s">
        <v>853</v>
      </c>
      <c r="H249" s="1">
        <v>994</v>
      </c>
      <c r="I249" s="1">
        <v>817</v>
      </c>
      <c r="J249" s="10">
        <v>0.52300000000000002</v>
      </c>
      <c r="K249" s="10">
        <f t="shared" ca="1" si="70"/>
        <v>1.9960250499430111E-2</v>
      </c>
      <c r="L249" s="7">
        <v>6.7199999999999996E-2</v>
      </c>
      <c r="M249" s="7">
        <f t="shared" ca="1" si="71"/>
        <v>2.3273023009484609E-3</v>
      </c>
      <c r="N249" s="7">
        <v>0.99072000000000005</v>
      </c>
      <c r="O249" s="8">
        <v>14.88095</v>
      </c>
      <c r="P249" s="8">
        <f t="shared" ca="1" si="72"/>
        <v>0.51536416885386971</v>
      </c>
      <c r="Q249" s="9">
        <v>5.6219999999999999E-2</v>
      </c>
      <c r="R249" s="9">
        <f t="shared" ca="1" si="73"/>
        <v>1.1540690447282606E-3</v>
      </c>
      <c r="S249" s="8">
        <f t="shared" si="74"/>
        <v>0.50472904144634556</v>
      </c>
      <c r="T249" s="11">
        <v>2.1520000000000001E-2</v>
      </c>
      <c r="U249" s="11">
        <f t="shared" ca="1" si="75"/>
        <v>8.734095030396682E-4</v>
      </c>
      <c r="V249" s="6" t="e">
        <f ca="1">IF(agePb6U8(1/O249)&lt;1400,age7corr(1/O249,Q249,$W$2),agePb76(Q249))</f>
        <v>#NAME?</v>
      </c>
      <c r="W249" s="6" t="e">
        <f ca="1">IF(agePb6U8(1/O249)&lt;1400,ageer7corr(V249,1/O249,P249/O249*(1/O249),Q249,R249,$W$2,0.05),ageerPb76(Q249,R249))</f>
        <v>#NAME?</v>
      </c>
      <c r="X249" s="4" t="e">
        <f ca="1">agePb6U8(L249)/agePb7u5(J249)</f>
        <v>#NAME?</v>
      </c>
      <c r="Z249" s="1">
        <v>0.52300000000000002</v>
      </c>
      <c r="AA249" s="1">
        <v>1.7000000000000001E-2</v>
      </c>
      <c r="AB249" s="1">
        <v>6.7199999999999996E-2</v>
      </c>
      <c r="AC249" s="1">
        <v>1.9E-3</v>
      </c>
      <c r="AD249" s="1">
        <v>0.99072000000000005</v>
      </c>
      <c r="AE249" s="1">
        <v>14.88095</v>
      </c>
      <c r="AF249" s="1">
        <v>0.42074119999999998</v>
      </c>
      <c r="AG249" s="1">
        <v>5.6219999999999999E-2</v>
      </c>
      <c r="AH249" s="1">
        <v>2.5999999999999998E-4</v>
      </c>
      <c r="AI249" s="1">
        <v>-0.34950999999999999</v>
      </c>
      <c r="AJ249" s="1">
        <v>2.1520000000000001E-2</v>
      </c>
      <c r="AK249" s="1">
        <v>7.6000000000000004E-4</v>
      </c>
      <c r="AL249" s="1">
        <v>4.05</v>
      </c>
      <c r="AM249" s="1">
        <v>7.5999999999999998E-2</v>
      </c>
      <c r="AN249" s="1">
        <v>427</v>
      </c>
      <c r="AO249" s="1">
        <v>11</v>
      </c>
      <c r="AP249" s="1">
        <v>419</v>
      </c>
      <c r="AQ249" s="1">
        <v>12</v>
      </c>
      <c r="AR249" s="1">
        <v>430</v>
      </c>
      <c r="AS249" s="1">
        <v>15</v>
      </c>
      <c r="AT249" s="1">
        <v>461</v>
      </c>
      <c r="AU249" s="1">
        <v>10</v>
      </c>
      <c r="AV249" s="1">
        <v>213.79999999999998</v>
      </c>
      <c r="AW249" s="1">
        <v>6.2</v>
      </c>
      <c r="AX249" s="1">
        <v>64.100000000000009</v>
      </c>
      <c r="AY249" s="1">
        <v>4.8999999999999995</v>
      </c>
      <c r="AZ249" s="1">
        <v>113643</v>
      </c>
      <c r="BA249" s="1">
        <v>4409.1000000000004</v>
      </c>
      <c r="BB249" s="1">
        <v>31422.6</v>
      </c>
      <c r="BC249" s="1">
        <v>869.4</v>
      </c>
      <c r="BD249" s="1">
        <v>564489.00000000012</v>
      </c>
      <c r="BE249" s="1">
        <v>16145.999999999996</v>
      </c>
      <c r="BF249" s="1">
        <v>32.975099999999998</v>
      </c>
      <c r="BG249" s="1">
        <v>6.0858000000000008</v>
      </c>
      <c r="BH249" s="1">
        <f t="shared" si="76"/>
        <v>17118.644067796617</v>
      </c>
      <c r="BI249" s="1">
        <f t="shared" si="77"/>
        <v>3197.0905342475794</v>
      </c>
    </row>
    <row r="250" spans="1:61" x14ac:dyDescent="0.2">
      <c r="A250" t="s">
        <v>854</v>
      </c>
      <c r="B250" t="s">
        <v>38</v>
      </c>
      <c r="C250" t="s">
        <v>855</v>
      </c>
      <c r="D250" t="s">
        <v>856</v>
      </c>
      <c r="E250">
        <v>78173</v>
      </c>
      <c r="F250">
        <v>40555</v>
      </c>
      <c r="G250" t="s">
        <v>856</v>
      </c>
      <c r="H250" s="1">
        <v>25.81</v>
      </c>
      <c r="I250" s="1">
        <v>30.59</v>
      </c>
      <c r="J250" s="10">
        <v>2.5910000000000002</v>
      </c>
      <c r="K250" s="10">
        <f t="shared" ca="1" si="70"/>
        <v>8.1573968887139484E-2</v>
      </c>
      <c r="L250" s="7">
        <v>0.22090000000000001</v>
      </c>
      <c r="M250" s="7">
        <f t="shared" ca="1" si="71"/>
        <v>6.4504824625759589E-3</v>
      </c>
      <c r="N250" s="7">
        <v>0.93459000000000003</v>
      </c>
      <c r="O250" s="8">
        <v>4.5269349999999999</v>
      </c>
      <c r="P250" s="8">
        <f t="shared" ca="1" si="72"/>
        <v>0.13219065403977279</v>
      </c>
      <c r="Q250" s="9">
        <v>8.5739999999999997E-2</v>
      </c>
      <c r="R250" s="9">
        <f t="shared" ca="1" si="73"/>
        <v>1.8922312332270599E-3</v>
      </c>
      <c r="S250" s="8">
        <f t="shared" si="74"/>
        <v>0.33431521879272513</v>
      </c>
      <c r="T250" s="11">
        <v>5.9299999999999999E-2</v>
      </c>
      <c r="U250" s="11">
        <f t="shared" ca="1" si="75"/>
        <v>1.8348286023495491E-3</v>
      </c>
      <c r="V250" s="6" t="e">
        <f ca="1">IF(agePb6U8(1/O250)&lt;1400,age7corr(1/O250,Q250,$W$2),agePb76(Q250))</f>
        <v>#NAME?</v>
      </c>
      <c r="W250" s="6" t="e">
        <f ca="1">IF(agePb6U8(1/O250)&lt;1400,ageer7corr(V250,1/O250,P250/O250*(1/O250),Q250,R250,$W$2,0.05),ageerPb76(Q250,R250))</f>
        <v>#NAME?</v>
      </c>
      <c r="X250" s="4" t="e">
        <f ca="1">agePb6U8(L250)/agePb7u5(J250)</f>
        <v>#NAME?</v>
      </c>
      <c r="Z250" s="1">
        <v>2.5910000000000002</v>
      </c>
      <c r="AA250" s="1">
        <v>6.3E-2</v>
      </c>
      <c r="AB250" s="1">
        <v>0.22090000000000001</v>
      </c>
      <c r="AC250" s="1">
        <v>4.7000000000000002E-3</v>
      </c>
      <c r="AD250" s="1">
        <v>0.93459000000000003</v>
      </c>
      <c r="AE250" s="1">
        <v>4.5269349999999999</v>
      </c>
      <c r="AF250" s="1">
        <v>9.6317769999999997E-2</v>
      </c>
      <c r="AG250" s="1">
        <v>8.5739999999999997E-2</v>
      </c>
      <c r="AH250" s="1">
        <v>8.0000000000000004E-4</v>
      </c>
      <c r="AI250" s="1">
        <v>-0.26008999999999999</v>
      </c>
      <c r="AJ250" s="1">
        <v>5.9299999999999999E-2</v>
      </c>
      <c r="AK250" s="1">
        <v>1.4E-3</v>
      </c>
      <c r="AL250" s="1">
        <v>3.27</v>
      </c>
      <c r="AM250" s="1">
        <v>0.02</v>
      </c>
      <c r="AN250" s="1">
        <v>1297</v>
      </c>
      <c r="AO250" s="1">
        <v>18</v>
      </c>
      <c r="AP250" s="1">
        <v>1286</v>
      </c>
      <c r="AQ250" s="1">
        <v>25</v>
      </c>
      <c r="AR250" s="1">
        <v>1164</v>
      </c>
      <c r="AS250" s="1">
        <v>26</v>
      </c>
      <c r="AT250" s="1">
        <v>1332</v>
      </c>
      <c r="AU250" s="1">
        <v>18</v>
      </c>
      <c r="AV250" s="1">
        <v>5.55</v>
      </c>
      <c r="AW250" s="1">
        <v>0.11</v>
      </c>
      <c r="AX250" s="1">
        <v>2.403</v>
      </c>
      <c r="AY250" s="1">
        <v>4.3000000000000003E-2</v>
      </c>
      <c r="AZ250" s="1">
        <v>11712.06</v>
      </c>
      <c r="BA250" s="1">
        <v>186.3</v>
      </c>
      <c r="BB250" s="1">
        <v>4048.9199999999996</v>
      </c>
      <c r="BC250" s="1">
        <v>68.31</v>
      </c>
      <c r="BD250" s="1">
        <v>47816.999999999993</v>
      </c>
      <c r="BE250" s="1">
        <v>621</v>
      </c>
      <c r="BF250" s="1">
        <v>55.89</v>
      </c>
      <c r="BG250" s="1">
        <v>7.4519999999999991</v>
      </c>
      <c r="BH250" s="1">
        <f t="shared" si="76"/>
        <v>855.55555555555543</v>
      </c>
      <c r="BI250" s="1">
        <f t="shared" si="77"/>
        <v>114.61392221707094</v>
      </c>
    </row>
    <row r="251" spans="1:61" x14ac:dyDescent="0.2">
      <c r="A251" t="s">
        <v>857</v>
      </c>
      <c r="B251" t="s">
        <v>38</v>
      </c>
      <c r="C251" t="s">
        <v>858</v>
      </c>
      <c r="D251" t="s">
        <v>859</v>
      </c>
      <c r="E251">
        <v>78311</v>
      </c>
      <c r="F251">
        <v>40766</v>
      </c>
      <c r="G251" t="s">
        <v>859</v>
      </c>
      <c r="H251" s="1">
        <v>311.8</v>
      </c>
      <c r="I251" s="1">
        <v>129.69999999999999</v>
      </c>
      <c r="J251" s="10">
        <v>0.16850000000000001</v>
      </c>
      <c r="K251" s="10">
        <f t="shared" ca="1" si="70"/>
        <v>4.8586932399566039E-3</v>
      </c>
      <c r="L251" s="7">
        <v>2.5049999999999999E-2</v>
      </c>
      <c r="M251" s="7">
        <f t="shared" ca="1" si="71"/>
        <v>7.2208102038483191E-4</v>
      </c>
      <c r="N251" s="7">
        <v>0.89122000000000001</v>
      </c>
      <c r="O251" s="8">
        <v>39.920160000000003</v>
      </c>
      <c r="P251" s="8">
        <f t="shared" ca="1" si="72"/>
        <v>1.1507221762416158</v>
      </c>
      <c r="Q251" s="9">
        <v>4.888E-2</v>
      </c>
      <c r="R251" s="9">
        <f t="shared" ca="1" si="73"/>
        <v>1.1120259709197443E-3</v>
      </c>
      <c r="S251" s="8">
        <f t="shared" si="74"/>
        <v>0.42609222112595313</v>
      </c>
      <c r="T251" s="11">
        <v>8.2699999999999996E-3</v>
      </c>
      <c r="U251" s="11">
        <f t="shared" ca="1" si="75"/>
        <v>2.2328716935820559E-4</v>
      </c>
      <c r="V251" s="6" t="e">
        <f ca="1">IF(agePb6U8(1/O251)&lt;1400,age7corr(1/O251,Q251,$W$2),agePb76(Q251))</f>
        <v>#NAME?</v>
      </c>
      <c r="W251" s="6" t="e">
        <f ca="1">IF(agePb6U8(1/O251)&lt;1400,ageer7corr(V251,1/O251,P251/O251*(1/O251),Q251,R251,$W$2,0.05),ageerPb76(Q251,R251))</f>
        <v>#NAME?</v>
      </c>
      <c r="X251" s="4" t="e">
        <f ca="1">agePb6U8(L251)/agePb7u5(J251)</f>
        <v>#NAME?</v>
      </c>
      <c r="Z251" s="1">
        <v>0.16850000000000001</v>
      </c>
      <c r="AA251" s="1">
        <v>3.5000000000000001E-3</v>
      </c>
      <c r="AB251" s="1">
        <v>2.5049999999999999E-2</v>
      </c>
      <c r="AC251" s="1">
        <v>5.1999999999999995E-4</v>
      </c>
      <c r="AD251" s="1">
        <v>0.89122000000000001</v>
      </c>
      <c r="AE251" s="1">
        <v>39.920160000000003</v>
      </c>
      <c r="AF251" s="1">
        <v>0.82868200000000003</v>
      </c>
      <c r="AG251" s="1">
        <v>4.888E-2</v>
      </c>
      <c r="AH251" s="1">
        <v>5.2999999999999998E-4</v>
      </c>
      <c r="AI251" s="1">
        <v>-8.0952000000000003E-3</v>
      </c>
      <c r="AJ251" s="1">
        <v>8.2699999999999996E-3</v>
      </c>
      <c r="AK251" s="1">
        <v>1.4999999999999999E-4</v>
      </c>
      <c r="AL251" s="1">
        <v>7.742</v>
      </c>
      <c r="AM251" s="1">
        <v>6.5000000000000002E-2</v>
      </c>
      <c r="AN251" s="1">
        <v>158.1</v>
      </c>
      <c r="AO251" s="1">
        <v>3.1</v>
      </c>
      <c r="AP251" s="1">
        <v>159.5</v>
      </c>
      <c r="AQ251" s="1">
        <v>3.3</v>
      </c>
      <c r="AR251" s="1">
        <v>166.4</v>
      </c>
      <c r="AS251" s="1">
        <v>3</v>
      </c>
      <c r="AT251" s="1">
        <v>141</v>
      </c>
      <c r="AU251" s="1">
        <v>26</v>
      </c>
      <c r="AV251" s="1">
        <v>67.100000000000009</v>
      </c>
      <c r="AW251" s="1">
        <v>1.4</v>
      </c>
      <c r="AX251" s="1">
        <v>10.18</v>
      </c>
      <c r="AY251" s="1">
        <v>0.35</v>
      </c>
      <c r="AZ251" s="1">
        <v>6812.37</v>
      </c>
      <c r="BA251" s="1">
        <v>155.25</v>
      </c>
      <c r="BB251" s="1">
        <v>3154.6800000000003</v>
      </c>
      <c r="BC251" s="1">
        <v>86.94</v>
      </c>
      <c r="BD251" s="1">
        <v>65577.600000000006</v>
      </c>
      <c r="BE251" s="1">
        <v>1366.1999999999998</v>
      </c>
      <c r="BF251" s="1">
        <v>4.5332999999999997</v>
      </c>
      <c r="BG251" s="1">
        <v>5.4647999999999994</v>
      </c>
      <c r="BH251" s="1">
        <f t="shared" si="76"/>
        <v>14465.753424657536</v>
      </c>
      <c r="BI251" s="1">
        <f t="shared" si="77"/>
        <v>17440.772484162197</v>
      </c>
    </row>
    <row r="252" spans="1:61" x14ac:dyDescent="0.2">
      <c r="A252" t="s">
        <v>860</v>
      </c>
      <c r="B252" t="s">
        <v>38</v>
      </c>
      <c r="C252" t="s">
        <v>861</v>
      </c>
      <c r="D252" t="s">
        <v>862</v>
      </c>
      <c r="E252">
        <v>78295</v>
      </c>
      <c r="F252">
        <v>40936</v>
      </c>
      <c r="G252" t="s">
        <v>862</v>
      </c>
      <c r="H252" s="1">
        <v>46.5</v>
      </c>
      <c r="I252" s="1">
        <v>73.2</v>
      </c>
      <c r="J252" s="10">
        <v>13.44</v>
      </c>
      <c r="K252" s="10">
        <f t="shared" ca="1" si="70"/>
        <v>0.37396983835598291</v>
      </c>
      <c r="L252" s="7">
        <v>0.48930000000000001</v>
      </c>
      <c r="M252" s="7">
        <f t="shared" ca="1" si="71"/>
        <v>1.3500214664959962E-2</v>
      </c>
      <c r="N252" s="7">
        <v>0.98738000000000004</v>
      </c>
      <c r="O252" s="8">
        <v>2.043736</v>
      </c>
      <c r="P252" s="8">
        <f t="shared" ca="1" si="72"/>
        <v>5.6388464169822003E-2</v>
      </c>
      <c r="Q252" s="9">
        <v>0.19988</v>
      </c>
      <c r="R252" s="9">
        <f t="shared" ca="1" si="73"/>
        <v>4.0710816449685706E-3</v>
      </c>
      <c r="S252" s="8">
        <f t="shared" si="74"/>
        <v>0.5701008991308133</v>
      </c>
      <c r="T252" s="11">
        <v>0.14610000000000001</v>
      </c>
      <c r="U252" s="11">
        <f t="shared" ca="1" si="75"/>
        <v>4.4830886674256179E-3</v>
      </c>
      <c r="V252" s="6" t="e">
        <f ca="1">IF(agePb6U8(1/O252)&lt;1400,age7corr(1/O252,Q252,$W$2),agePb76(Q252))</f>
        <v>#NAME?</v>
      </c>
      <c r="W252" s="6" t="e">
        <f ca="1">IF(agePb6U8(1/O252)&lt;1400,ageer7corr(V252,1/O252,P252/O252*(1/O252),Q252,R252,$W$2,0.05),ageerPb76(Q252,R252))</f>
        <v>#NAME?</v>
      </c>
      <c r="X252" s="4" t="e">
        <f ca="1">agePb6U8(L252)/agePb7u5(J252)</f>
        <v>#NAME?</v>
      </c>
      <c r="Z252" s="1">
        <v>13.44</v>
      </c>
      <c r="AA252" s="1">
        <v>0.26</v>
      </c>
      <c r="AB252" s="1">
        <v>0.48930000000000001</v>
      </c>
      <c r="AC252" s="1">
        <v>9.2999999999999992E-3</v>
      </c>
      <c r="AD252" s="1">
        <v>0.98738000000000004</v>
      </c>
      <c r="AE252" s="1">
        <v>2.043736</v>
      </c>
      <c r="AF252" s="1">
        <v>3.8844770000000001E-2</v>
      </c>
      <c r="AG252" s="1">
        <v>0.19988</v>
      </c>
      <c r="AH252" s="1">
        <v>7.6999999999999996E-4</v>
      </c>
      <c r="AI252" s="1">
        <v>6.1054999999999998E-2</v>
      </c>
      <c r="AJ252" s="1">
        <v>0.14610000000000001</v>
      </c>
      <c r="AK252" s="1">
        <v>3.3999999999999998E-3</v>
      </c>
      <c r="AL252" s="1">
        <v>2.242</v>
      </c>
      <c r="AM252" s="1">
        <v>4.7E-2</v>
      </c>
      <c r="AN252" s="1">
        <v>2710</v>
      </c>
      <c r="AO252" s="1">
        <v>18</v>
      </c>
      <c r="AP252" s="1">
        <v>2567</v>
      </c>
      <c r="AQ252" s="1">
        <v>40</v>
      </c>
      <c r="AR252" s="1">
        <v>2755</v>
      </c>
      <c r="AS252" s="1">
        <v>60</v>
      </c>
      <c r="AT252" s="1">
        <v>2825.2</v>
      </c>
      <c r="AU252" s="1">
        <v>6.3</v>
      </c>
      <c r="AV252" s="1">
        <v>10.01</v>
      </c>
      <c r="AW252" s="1">
        <v>0.4</v>
      </c>
      <c r="AX252" s="1">
        <v>5.75</v>
      </c>
      <c r="AY252" s="1">
        <v>0.24000000000000002</v>
      </c>
      <c r="AZ252" s="1">
        <v>68372.100000000006</v>
      </c>
      <c r="BA252" s="1">
        <v>2484</v>
      </c>
      <c r="BB252" s="1">
        <v>37694.699999999997</v>
      </c>
      <c r="BC252" s="1">
        <v>2111.4</v>
      </c>
      <c r="BD252" s="1">
        <v>190647</v>
      </c>
      <c r="BE252" s="1">
        <v>10557</v>
      </c>
      <c r="BF252" s="1">
        <v>84.455999999999989</v>
      </c>
      <c r="BG252" s="1">
        <v>8.6940000000000008</v>
      </c>
      <c r="BH252" s="1">
        <f t="shared" si="76"/>
        <v>2257.3529411764707</v>
      </c>
      <c r="BI252" s="1">
        <f t="shared" si="77"/>
        <v>263.8615917649841</v>
      </c>
    </row>
    <row r="253" spans="1:61" x14ac:dyDescent="0.2">
      <c r="A253" t="s">
        <v>863</v>
      </c>
      <c r="B253" t="s">
        <v>38</v>
      </c>
      <c r="C253" t="s">
        <v>864</v>
      </c>
      <c r="D253" t="s">
        <v>865</v>
      </c>
      <c r="E253">
        <v>78356</v>
      </c>
      <c r="F253">
        <v>41084</v>
      </c>
      <c r="G253" t="s">
        <v>865</v>
      </c>
      <c r="H253" s="1">
        <v>490</v>
      </c>
      <c r="I253" s="1">
        <v>489</v>
      </c>
      <c r="J253" s="10">
        <v>0.16619999999999999</v>
      </c>
      <c r="K253" s="10">
        <f t="shared" ca="1" si="70"/>
        <v>6.6849813761894654E-3</v>
      </c>
      <c r="L253" s="7">
        <v>2.461E-2</v>
      </c>
      <c r="M253" s="7">
        <f t="shared" ca="1" si="71"/>
        <v>1.034582447173738E-3</v>
      </c>
      <c r="N253" s="7">
        <v>0.97526999999999997</v>
      </c>
      <c r="O253" s="8">
        <v>40.633890000000001</v>
      </c>
      <c r="P253" s="8">
        <f t="shared" ca="1" si="72"/>
        <v>1.7082126687803951</v>
      </c>
      <c r="Q253" s="9">
        <v>4.9529999999999998E-2</v>
      </c>
      <c r="R253" s="9">
        <f t="shared" ca="1" si="73"/>
        <v>1.109634336166649E-3</v>
      </c>
      <c r="S253" s="8">
        <f t="shared" si="74"/>
        <v>0.49733916846937432</v>
      </c>
      <c r="T253" s="11">
        <v>7.7299999999999999E-3</v>
      </c>
      <c r="U253" s="11">
        <f t="shared" ca="1" si="75"/>
        <v>3.4641183582550985E-4</v>
      </c>
      <c r="V253" s="6" t="e">
        <f ca="1">IF(agePb6U8(1/O253)&lt;1400,age7corr(1/O253,Q253,$W$2),agePb76(Q253))</f>
        <v>#NAME?</v>
      </c>
      <c r="W253" s="6" t="e">
        <f ca="1">IF(agePb6U8(1/O253)&lt;1400,ageer7corr(V253,1/O253,P253/O253*(1/O253),Q253,R253,$W$2,0.05),ageerPb76(Q253,R253))</f>
        <v>#NAME?</v>
      </c>
      <c r="X253" s="4" t="e">
        <f ca="1">agePb6U8(L253)/agePb7u5(J253)</f>
        <v>#NAME?</v>
      </c>
      <c r="Z253" s="1">
        <v>0.16619999999999999</v>
      </c>
      <c r="AA253" s="1">
        <v>5.7999999999999996E-3</v>
      </c>
      <c r="AB253" s="1">
        <v>2.461E-2</v>
      </c>
      <c r="AC253" s="1">
        <v>9.1E-4</v>
      </c>
      <c r="AD253" s="1">
        <v>0.97526999999999997</v>
      </c>
      <c r="AE253" s="1">
        <v>40.633890000000001</v>
      </c>
      <c r="AF253" s="1">
        <v>1.502513</v>
      </c>
      <c r="AG253" s="1">
        <v>4.9529999999999998E-2</v>
      </c>
      <c r="AH253" s="1">
        <v>5.0000000000000001E-4</v>
      </c>
      <c r="AI253" s="1">
        <v>6.0831000000000003E-2</v>
      </c>
      <c r="AJ253" s="1">
        <v>7.7299999999999999E-3</v>
      </c>
      <c r="AK253" s="1">
        <v>3.1E-4</v>
      </c>
      <c r="AL253" s="1">
        <v>3.2370000000000001</v>
      </c>
      <c r="AM253" s="1">
        <v>6.0999999999999999E-2</v>
      </c>
      <c r="AN253" s="1">
        <v>156.1</v>
      </c>
      <c r="AO253" s="1">
        <v>5</v>
      </c>
      <c r="AP253" s="1">
        <v>156.69999999999999</v>
      </c>
      <c r="AQ253" s="1">
        <v>5.7</v>
      </c>
      <c r="AR253" s="1">
        <v>155.69999999999999</v>
      </c>
      <c r="AS253" s="1">
        <v>6.2</v>
      </c>
      <c r="AT253" s="1">
        <v>172</v>
      </c>
      <c r="AU253" s="1">
        <v>23</v>
      </c>
      <c r="AV253" s="1">
        <v>105.5</v>
      </c>
      <c r="AW253" s="1">
        <v>5.3</v>
      </c>
      <c r="AX253" s="1">
        <v>38.4</v>
      </c>
      <c r="AY253" s="1">
        <v>1.7</v>
      </c>
      <c r="AZ253" s="1">
        <v>24777.9</v>
      </c>
      <c r="BA253" s="1">
        <v>1304.0999999999999</v>
      </c>
      <c r="BB253" s="1">
        <v>4974.2099999999991</v>
      </c>
      <c r="BC253" s="1">
        <v>242.19</v>
      </c>
      <c r="BD253" s="1">
        <v>100974.6</v>
      </c>
      <c r="BE253" s="1">
        <v>4968</v>
      </c>
      <c r="BF253" s="1">
        <v>13.041</v>
      </c>
      <c r="BG253" s="1">
        <v>7.4519999999999991</v>
      </c>
      <c r="BH253" s="1">
        <f t="shared" si="76"/>
        <v>7742.8571428571431</v>
      </c>
      <c r="BI253" s="1">
        <f t="shared" si="77"/>
        <v>4440.8596769926244</v>
      </c>
    </row>
    <row r="254" spans="1:61" x14ac:dyDescent="0.2">
      <c r="A254" t="s">
        <v>866</v>
      </c>
      <c r="B254" t="s">
        <v>38</v>
      </c>
      <c r="C254" t="s">
        <v>867</v>
      </c>
      <c r="D254" t="s">
        <v>868</v>
      </c>
      <c r="E254">
        <v>78417</v>
      </c>
      <c r="F254">
        <v>41403</v>
      </c>
      <c r="G254" t="s">
        <v>868</v>
      </c>
      <c r="H254" s="1">
        <v>93.2</v>
      </c>
      <c r="I254" s="1">
        <v>36.450000000000003</v>
      </c>
      <c r="J254" s="10">
        <v>0.78300000000000003</v>
      </c>
      <c r="K254" s="10">
        <f t="shared" ca="1" si="70"/>
        <v>3.1212747395895798E-2</v>
      </c>
      <c r="L254" s="7">
        <v>9.4600000000000004E-2</v>
      </c>
      <c r="M254" s="7">
        <f t="shared" ca="1" si="71"/>
        <v>3.7174808674692596E-3</v>
      </c>
      <c r="N254" s="7">
        <v>0.96348999999999996</v>
      </c>
      <c r="O254" s="8">
        <v>10.570819999999999</v>
      </c>
      <c r="P254" s="8">
        <f t="shared" ca="1" si="72"/>
        <v>0.41539996676601931</v>
      </c>
      <c r="Q254" s="9">
        <v>6.0199999999999997E-2</v>
      </c>
      <c r="R254" s="9">
        <f t="shared" ca="1" si="73"/>
        <v>1.3588657034453405E-3</v>
      </c>
      <c r="S254" s="8">
        <f t="shared" si="74"/>
        <v>0.37182219990685217</v>
      </c>
      <c r="T254" s="11">
        <v>3.1040000000000002E-2</v>
      </c>
      <c r="U254" s="11">
        <f t="shared" ca="1" si="75"/>
        <v>1.1685429559926328E-3</v>
      </c>
      <c r="V254" s="6" t="e">
        <f ca="1">IF(agePb6U8(1/O254)&lt;1400,age7corr(1/O254,Q254,$W$2),agePb76(Q254))</f>
        <v>#NAME?</v>
      </c>
      <c r="W254" s="6" t="e">
        <f ca="1">IF(agePb6U8(1/O254)&lt;1400,ageer7corr(V254,1/O254,P254/O254*(1/O254),Q254,R254,$W$2,0.05),ageerPb76(Q254,R254))</f>
        <v>#NAME?</v>
      </c>
      <c r="X254" s="4" t="e">
        <f ca="1">agePb6U8(L254)/agePb7u5(J254)</f>
        <v>#NAME?</v>
      </c>
      <c r="Z254" s="1">
        <v>0.78300000000000003</v>
      </c>
      <c r="AA254" s="1">
        <v>2.7E-2</v>
      </c>
      <c r="AB254" s="1">
        <v>9.4600000000000004E-2</v>
      </c>
      <c r="AC254" s="1">
        <v>3.2000000000000002E-3</v>
      </c>
      <c r="AD254" s="1">
        <v>0.96348999999999996</v>
      </c>
      <c r="AE254" s="1">
        <v>10.570819999999999</v>
      </c>
      <c r="AF254" s="1">
        <v>0.35757549999999999</v>
      </c>
      <c r="AG254" s="1">
        <v>6.0199999999999997E-2</v>
      </c>
      <c r="AH254" s="1">
        <v>6.3000000000000003E-4</v>
      </c>
      <c r="AI254" s="1">
        <v>-6.8684999999999996E-2</v>
      </c>
      <c r="AJ254" s="1">
        <v>3.1040000000000002E-2</v>
      </c>
      <c r="AK254" s="1">
        <v>9.8999999999999999E-4</v>
      </c>
      <c r="AL254" s="1">
        <v>8.3829999999999991</v>
      </c>
      <c r="AM254" s="1">
        <v>5.2999999999999999E-2</v>
      </c>
      <c r="AN254" s="1">
        <v>587</v>
      </c>
      <c r="AO254" s="1">
        <v>16</v>
      </c>
      <c r="AP254" s="1">
        <v>583</v>
      </c>
      <c r="AQ254" s="1">
        <v>19</v>
      </c>
      <c r="AR254" s="1">
        <v>618</v>
      </c>
      <c r="AS254" s="1">
        <v>20</v>
      </c>
      <c r="AT254" s="1">
        <v>610</v>
      </c>
      <c r="AU254" s="1">
        <v>23</v>
      </c>
      <c r="AV254" s="1">
        <v>20.049999999999997</v>
      </c>
      <c r="AW254" s="1">
        <v>0.64</v>
      </c>
      <c r="AX254" s="1">
        <v>2.8620000000000001</v>
      </c>
      <c r="AY254" s="1">
        <v>5.2999999999999999E-2</v>
      </c>
      <c r="AZ254" s="1">
        <v>7197.39</v>
      </c>
      <c r="BA254" s="1">
        <v>167.67000000000002</v>
      </c>
      <c r="BB254" s="1">
        <v>4446.3600000000006</v>
      </c>
      <c r="BC254" s="1">
        <v>117.99</v>
      </c>
      <c r="BD254" s="1">
        <v>74644.2</v>
      </c>
      <c r="BE254" s="1">
        <v>1676.7</v>
      </c>
      <c r="BF254" s="1">
        <v>12.419999999999998</v>
      </c>
      <c r="BG254" s="1">
        <v>8.0729999999999986</v>
      </c>
      <c r="BH254" s="1">
        <f t="shared" si="76"/>
        <v>6010.0000000000009</v>
      </c>
      <c r="BI254" s="1">
        <f t="shared" si="77"/>
        <v>3908.8319546892781</v>
      </c>
    </row>
    <row r="255" spans="1:61" x14ac:dyDescent="0.2">
      <c r="A255" t="s">
        <v>776</v>
      </c>
      <c r="B255" t="s">
        <v>38</v>
      </c>
      <c r="C255" t="s">
        <v>777</v>
      </c>
      <c r="D255" t="s">
        <v>778</v>
      </c>
      <c r="E255">
        <v>78656</v>
      </c>
      <c r="F255">
        <v>40594</v>
      </c>
      <c r="G255" t="s">
        <v>778</v>
      </c>
      <c r="H255" s="1">
        <v>178.6</v>
      </c>
      <c r="I255" s="1">
        <v>70.599999999999994</v>
      </c>
      <c r="J255" s="10">
        <v>0.16589999999999999</v>
      </c>
      <c r="K255" s="10">
        <f t="shared" ca="1" si="70"/>
        <v>4.969821324756052E-3</v>
      </c>
      <c r="L255" s="7">
        <v>2.4670000000000001E-2</v>
      </c>
      <c r="M255" s="7">
        <f t="shared" ca="1" si="71"/>
        <v>6.2277087279351794E-4</v>
      </c>
      <c r="N255" s="7">
        <v>0.62346999999999997</v>
      </c>
      <c r="O255" s="8">
        <v>40.535060000000001</v>
      </c>
      <c r="P255" s="8">
        <f t="shared" ca="1" si="72"/>
        <v>1.0232693690722545</v>
      </c>
      <c r="Q255" s="9">
        <v>4.8939999999999997E-2</v>
      </c>
      <c r="R255" s="9">
        <f t="shared" ca="1" si="73"/>
        <v>1.2898253525187044E-3</v>
      </c>
      <c r="S255" s="8">
        <f t="shared" si="74"/>
        <v>0.42975520668977196</v>
      </c>
      <c r="T255" s="11">
        <v>8.1600000000000006E-3</v>
      </c>
      <c r="U255" s="11">
        <f t="shared" ca="1" si="75"/>
        <v>2.2166244607510764E-4</v>
      </c>
      <c r="V255" s="6" t="e">
        <f ca="1">IF(agePb6U8(1/O255)&lt;1400,age7corr(1/O255,Q255,$W$2),agePb76(Q255))</f>
        <v>#NAME?</v>
      </c>
      <c r="W255" s="6" t="e">
        <f ca="1">IF(agePb6U8(1/O255)&lt;1400,ageer7corr(V255,1/O255,P255/O255*(1/O255),Q255,R255,$W$2,0.05),ageerPb76(Q255,R255))</f>
        <v>#NAME?</v>
      </c>
      <c r="X255" s="4" t="e">
        <f ca="1">agePb6U8(L255)/agePb7u5(J255)</f>
        <v>#NAME?</v>
      </c>
      <c r="Z255" s="1">
        <v>0.16589999999999999</v>
      </c>
      <c r="AA255" s="1">
        <v>3.7000000000000002E-3</v>
      </c>
      <c r="AB255" s="1">
        <v>2.4670000000000001E-2</v>
      </c>
      <c r="AC255" s="1">
        <v>3.8000000000000002E-4</v>
      </c>
      <c r="AD255" s="1">
        <v>0.62346999999999997</v>
      </c>
      <c r="AE255" s="1">
        <v>40.535060000000001</v>
      </c>
      <c r="AF255" s="1">
        <v>0.62437469999999995</v>
      </c>
      <c r="AG255" s="1">
        <v>4.8939999999999997E-2</v>
      </c>
      <c r="AH255" s="1">
        <v>8.4000000000000003E-4</v>
      </c>
      <c r="AI255" s="1">
        <v>0.13184999999999999</v>
      </c>
      <c r="AJ255" s="1">
        <v>8.1600000000000006E-3</v>
      </c>
      <c r="AK255" s="1">
        <v>1.4999999999999999E-4</v>
      </c>
      <c r="AL255" s="1">
        <v>8.06</v>
      </c>
      <c r="AM255" s="1">
        <v>9.6000000000000002E-2</v>
      </c>
      <c r="AN255" s="1">
        <v>155.80000000000001</v>
      </c>
      <c r="AO255" s="1">
        <v>3.2</v>
      </c>
      <c r="AP255" s="1">
        <v>157.1</v>
      </c>
      <c r="AQ255" s="1">
        <v>2.4</v>
      </c>
      <c r="AR255" s="1">
        <v>164.2</v>
      </c>
      <c r="AS255" s="1">
        <v>3.1</v>
      </c>
      <c r="AT255" s="1">
        <v>143</v>
      </c>
      <c r="AU255" s="1">
        <v>40</v>
      </c>
      <c r="AV255" s="1">
        <v>38.5</v>
      </c>
      <c r="AW255" s="1">
        <v>1.3</v>
      </c>
      <c r="AX255" s="1">
        <v>5.55</v>
      </c>
      <c r="AY255" s="1">
        <v>8.5000000000000006E-2</v>
      </c>
      <c r="AZ255" s="1">
        <v>3726.0000000000005</v>
      </c>
      <c r="BA255" s="1">
        <v>117.99</v>
      </c>
      <c r="BB255" s="1">
        <v>1817.6670000000001</v>
      </c>
      <c r="BC255" s="1">
        <v>50.921999999999997</v>
      </c>
      <c r="BD255" s="1">
        <v>37073.699999999997</v>
      </c>
      <c r="BE255" s="1">
        <v>993.6</v>
      </c>
      <c r="BF255" s="1">
        <v>7.4519999999999991</v>
      </c>
      <c r="BG255" s="1">
        <v>6.8310000000000004</v>
      </c>
      <c r="BH255" s="1">
        <f t="shared" si="76"/>
        <v>4975</v>
      </c>
      <c r="BI255" s="1">
        <f t="shared" si="77"/>
        <v>4562.3653899472911</v>
      </c>
    </row>
    <row r="256" spans="1:61" x14ac:dyDescent="0.2">
      <c r="A256" t="s">
        <v>869</v>
      </c>
      <c r="B256" t="s">
        <v>38</v>
      </c>
      <c r="C256" t="s">
        <v>870</v>
      </c>
      <c r="D256" t="s">
        <v>871</v>
      </c>
      <c r="E256">
        <v>78336</v>
      </c>
      <c r="F256">
        <v>42009</v>
      </c>
      <c r="G256" t="s">
        <v>871</v>
      </c>
      <c r="H256" s="1">
        <v>363</v>
      </c>
      <c r="I256" s="1">
        <v>223.8</v>
      </c>
      <c r="J256" s="10">
        <v>0.55000000000000004</v>
      </c>
      <c r="K256" s="10">
        <f t="shared" ca="1" si="70"/>
        <v>1.7029386365926401E-2</v>
      </c>
      <c r="L256" s="7">
        <v>6.7100000000000007E-2</v>
      </c>
      <c r="M256" s="7">
        <f t="shared" ca="1" si="71"/>
        <v>1.9393204995564815E-3</v>
      </c>
      <c r="N256" s="7">
        <v>0.93713000000000002</v>
      </c>
      <c r="O256" s="8">
        <v>14.903130000000001</v>
      </c>
      <c r="P256" s="8">
        <f t="shared" ca="1" si="72"/>
        <v>0.43072944848004069</v>
      </c>
      <c r="Q256" s="9">
        <v>5.9389999999999998E-2</v>
      </c>
      <c r="R256" s="9">
        <f t="shared" ca="1" si="73"/>
        <v>1.2598685804479767E-3</v>
      </c>
      <c r="S256" s="8">
        <f t="shared" si="74"/>
        <v>0.43844233009882205</v>
      </c>
      <c r="T256" s="11">
        <v>2.1829999999999999E-2</v>
      </c>
      <c r="U256" s="11">
        <f t="shared" ca="1" si="75"/>
        <v>6.8667281874266724E-4</v>
      </c>
      <c r="V256" s="6" t="e">
        <f ca="1">IF(agePb6U8(1/O256)&lt;1400,age7corr(1/O256,Q256,$W$2),agePb76(Q256))</f>
        <v>#NAME?</v>
      </c>
      <c r="W256" s="6" t="e">
        <f ca="1">IF(agePb6U8(1/O256)&lt;1400,ageer7corr(V256,1/O256,P256/O256*(1/O256),Q256,R256,$W$2,0.05),ageerPb76(Q256,R256))</f>
        <v>#NAME?</v>
      </c>
      <c r="X256" s="4" t="e">
        <f ca="1">agePb6U8(L256)/agePb7u5(J256)</f>
        <v>#NAME?</v>
      </c>
      <c r="Z256" s="1">
        <v>0.55000000000000004</v>
      </c>
      <c r="AA256" s="1">
        <v>1.2999999999999999E-2</v>
      </c>
      <c r="AB256" s="1">
        <v>6.7100000000000007E-2</v>
      </c>
      <c r="AC256" s="1">
        <v>1.4E-3</v>
      </c>
      <c r="AD256" s="1">
        <v>0.93713000000000002</v>
      </c>
      <c r="AE256" s="1">
        <v>14.903130000000001</v>
      </c>
      <c r="AF256" s="1">
        <v>0.31094460000000002</v>
      </c>
      <c r="AG256" s="1">
        <v>5.9389999999999998E-2</v>
      </c>
      <c r="AH256" s="1">
        <v>4.2000000000000002E-4</v>
      </c>
      <c r="AI256" s="1">
        <v>-1.7083000000000001E-2</v>
      </c>
      <c r="AJ256" s="1">
        <v>2.1829999999999999E-2</v>
      </c>
      <c r="AK256" s="1">
        <v>5.2999999999999998E-4</v>
      </c>
      <c r="AL256" s="1">
        <v>5.3369999999999997</v>
      </c>
      <c r="AM256" s="1">
        <v>6.7000000000000004E-2</v>
      </c>
      <c r="AN256" s="1">
        <v>444.5</v>
      </c>
      <c r="AO256" s="1">
        <v>8.6999999999999993</v>
      </c>
      <c r="AP256" s="1">
        <v>418.7</v>
      </c>
      <c r="AQ256" s="1">
        <v>8.5</v>
      </c>
      <c r="AR256" s="1">
        <v>436</v>
      </c>
      <c r="AS256" s="1">
        <v>10</v>
      </c>
      <c r="AT256" s="1">
        <v>585</v>
      </c>
      <c r="AU256" s="1">
        <v>14</v>
      </c>
      <c r="AV256" s="1">
        <v>78</v>
      </c>
      <c r="AW256" s="1">
        <v>2.5</v>
      </c>
      <c r="AX256" s="1">
        <v>17.57</v>
      </c>
      <c r="AY256" s="1">
        <v>0.18000000000000002</v>
      </c>
      <c r="AZ256" s="1">
        <v>31062.42</v>
      </c>
      <c r="BA256" s="1">
        <v>496.8</v>
      </c>
      <c r="BB256" s="1">
        <v>12066.03</v>
      </c>
      <c r="BC256" s="1">
        <v>235.98</v>
      </c>
      <c r="BD256" s="1">
        <v>204930</v>
      </c>
      <c r="BE256" s="1">
        <v>4657.5</v>
      </c>
      <c r="BF256" s="1">
        <v>58.994999999999997</v>
      </c>
      <c r="BG256" s="1">
        <v>7.4519999999999991</v>
      </c>
      <c r="BH256" s="1">
        <f t="shared" si="76"/>
        <v>3473.6842105263158</v>
      </c>
      <c r="BI256" s="1">
        <f t="shared" si="77"/>
        <v>445.82686815163623</v>
      </c>
    </row>
    <row r="257" spans="1:61" x14ac:dyDescent="0.2">
      <c r="A257" t="s">
        <v>872</v>
      </c>
      <c r="B257" t="s">
        <v>38</v>
      </c>
      <c r="C257" t="s">
        <v>873</v>
      </c>
      <c r="D257" t="s">
        <v>874</v>
      </c>
      <c r="E257">
        <v>78555</v>
      </c>
      <c r="F257">
        <v>43320</v>
      </c>
      <c r="G257" t="s">
        <v>874</v>
      </c>
      <c r="H257" s="1">
        <v>50.27</v>
      </c>
      <c r="I257" s="1">
        <v>41.6</v>
      </c>
      <c r="J257" s="10">
        <v>0.81299999999999994</v>
      </c>
      <c r="K257" s="10">
        <f t="shared" ca="1" si="70"/>
        <v>2.5775717254811748E-2</v>
      </c>
      <c r="L257" s="7">
        <v>9.8000000000000004E-2</v>
      </c>
      <c r="M257" s="7">
        <f t="shared" ca="1" si="71"/>
        <v>2.6611275805567837E-3</v>
      </c>
      <c r="N257" s="7">
        <v>0.82452000000000003</v>
      </c>
      <c r="O257" s="8">
        <v>10.204079999999999</v>
      </c>
      <c r="P257" s="8">
        <f t="shared" ca="1" si="72"/>
        <v>0.2770853082683562</v>
      </c>
      <c r="Q257" s="9">
        <v>6.046E-2</v>
      </c>
      <c r="R257" s="9">
        <f t="shared" ca="1" si="73"/>
        <v>1.4955148411165968E-3</v>
      </c>
      <c r="S257" s="8">
        <f t="shared" si="74"/>
        <v>0.39210266486914669</v>
      </c>
      <c r="T257" s="11">
        <v>3.2919999999999998E-2</v>
      </c>
      <c r="U257" s="11">
        <f t="shared" ca="1" si="75"/>
        <v>8.8407610532125576E-4</v>
      </c>
      <c r="V257" s="6" t="e">
        <f ca="1">IF(agePb6U8(1/O257)&lt;1400,age7corr(1/O257,Q257,$W$2),agePb76(Q257))</f>
        <v>#NAME?</v>
      </c>
      <c r="W257" s="6" t="e">
        <f ca="1">IF(agePb6U8(1/O257)&lt;1400,ageer7corr(V257,1/O257,P257/O257*(1/O257),Q257,R257,$W$2,0.05),ageerPb76(Q257,R257))</f>
        <v>#NAME?</v>
      </c>
      <c r="X257" s="4" t="e">
        <f ca="1">agePb6U8(L257)/agePb7u5(J257)</f>
        <v>#NAME?</v>
      </c>
      <c r="Z257" s="1">
        <v>0.81299999999999994</v>
      </c>
      <c r="AA257" s="1">
        <v>0.02</v>
      </c>
      <c r="AB257" s="1">
        <v>9.8000000000000004E-2</v>
      </c>
      <c r="AC257" s="1">
        <v>1.8E-3</v>
      </c>
      <c r="AD257" s="1">
        <v>0.82452000000000003</v>
      </c>
      <c r="AE257" s="1">
        <v>10.204079999999999</v>
      </c>
      <c r="AF257" s="1">
        <v>0.1874219</v>
      </c>
      <c r="AG257" s="1">
        <v>6.046E-2</v>
      </c>
      <c r="AH257" s="1">
        <v>8.8000000000000003E-4</v>
      </c>
      <c r="AI257" s="1">
        <v>-0.16650000000000001</v>
      </c>
      <c r="AJ257" s="1">
        <v>3.2919999999999998E-2</v>
      </c>
      <c r="AK257" s="1">
        <v>5.9000000000000003E-4</v>
      </c>
      <c r="AL257" s="1">
        <v>3.794</v>
      </c>
      <c r="AM257" s="1">
        <v>5.8999999999999997E-2</v>
      </c>
      <c r="AN257" s="1">
        <v>604</v>
      </c>
      <c r="AO257" s="1">
        <v>11</v>
      </c>
      <c r="AP257" s="1">
        <v>603</v>
      </c>
      <c r="AQ257" s="1">
        <v>10</v>
      </c>
      <c r="AR257" s="1">
        <v>655</v>
      </c>
      <c r="AS257" s="1">
        <v>11</v>
      </c>
      <c r="AT257" s="1">
        <v>618</v>
      </c>
      <c r="AU257" s="1">
        <v>32</v>
      </c>
      <c r="AV257" s="1">
        <v>10.81</v>
      </c>
      <c r="AW257" s="1">
        <v>0.12999999999999998</v>
      </c>
      <c r="AX257" s="1">
        <v>3.27</v>
      </c>
      <c r="AY257" s="1">
        <v>0.12999999999999998</v>
      </c>
      <c r="AZ257" s="1">
        <v>8687.7900000000009</v>
      </c>
      <c r="BA257" s="1">
        <v>204.93</v>
      </c>
      <c r="BB257" s="1">
        <v>2429.973</v>
      </c>
      <c r="BC257" s="1">
        <v>46.575000000000003</v>
      </c>
      <c r="BD257" s="1">
        <v>40874.22</v>
      </c>
      <c r="BE257" s="1">
        <v>509.21999999999991</v>
      </c>
      <c r="BF257" s="1">
        <v>7.4519999999999991</v>
      </c>
      <c r="BG257" s="1">
        <v>3.0429000000000004</v>
      </c>
      <c r="BH257" s="1">
        <f t="shared" si="76"/>
        <v>5485.0000000000009</v>
      </c>
      <c r="BI257" s="1">
        <f t="shared" si="77"/>
        <v>2240.7505132984411</v>
      </c>
    </row>
    <row r="258" spans="1:61" x14ac:dyDescent="0.2">
      <c r="A258" t="s">
        <v>881</v>
      </c>
      <c r="B258" t="s">
        <v>38</v>
      </c>
      <c r="C258" t="s">
        <v>882</v>
      </c>
      <c r="D258" t="s">
        <v>883</v>
      </c>
      <c r="E258">
        <v>78503</v>
      </c>
      <c r="F258">
        <v>43418</v>
      </c>
      <c r="G258" t="s">
        <v>883</v>
      </c>
      <c r="H258" s="1">
        <v>228.9</v>
      </c>
      <c r="I258" s="1">
        <v>184.4</v>
      </c>
      <c r="J258" s="10">
        <v>0.54300000000000004</v>
      </c>
      <c r="K258" s="10">
        <f t="shared" ca="1" si="70"/>
        <v>1.6184548186464771E-2</v>
      </c>
      <c r="L258" s="7">
        <v>7.0000000000000007E-2</v>
      </c>
      <c r="M258" s="7">
        <f t="shared" ca="1" si="71"/>
        <v>2.0518284528683191E-3</v>
      </c>
      <c r="N258" s="7">
        <v>0.95921000000000001</v>
      </c>
      <c r="O258" s="8">
        <v>14.28571</v>
      </c>
      <c r="P258" s="8">
        <f t="shared" ca="1" si="72"/>
        <v>0.41874040629416215</v>
      </c>
      <c r="Q258" s="9">
        <v>5.6640000000000003E-2</v>
      </c>
      <c r="R258" s="9">
        <f t="shared" ca="1" si="73"/>
        <v>1.1886277129530508E-3</v>
      </c>
      <c r="S258" s="8">
        <f t="shared" si="74"/>
        <v>0.45426324484500619</v>
      </c>
      <c r="T258" s="11">
        <v>2.3290000000000002E-2</v>
      </c>
      <c r="U258" s="11">
        <f t="shared" ca="1" si="75"/>
        <v>6.9070228029158851E-4</v>
      </c>
      <c r="V258" s="6" t="e">
        <f ca="1">IF(agePb6U8(1/O258)&lt;1400,age7corr(1/O258,Q258,$W$2),agePb76(Q258))</f>
        <v>#NAME?</v>
      </c>
      <c r="W258" s="6" t="e">
        <f ca="1">IF(agePb6U8(1/O258)&lt;1400,ageer7corr(V258,1/O258,P258/O258*(1/O258),Q258,R258,$W$2,0.05),ageerPb76(Q258,R258))</f>
        <v>#NAME?</v>
      </c>
      <c r="X258" s="4" t="e">
        <f ca="1">agePb6U8(L258)/agePb7u5(J258)</f>
        <v>#NAME?</v>
      </c>
      <c r="Z258" s="1">
        <v>0.54300000000000004</v>
      </c>
      <c r="AA258" s="1">
        <v>1.2E-2</v>
      </c>
      <c r="AB258" s="1">
        <v>7.0000000000000007E-2</v>
      </c>
      <c r="AC258" s="1">
        <v>1.5E-3</v>
      </c>
      <c r="AD258" s="1">
        <v>0.95921000000000001</v>
      </c>
      <c r="AE258" s="1">
        <v>14.28571</v>
      </c>
      <c r="AF258" s="1">
        <v>0.30612240000000002</v>
      </c>
      <c r="AG258" s="1">
        <v>5.6640000000000003E-2</v>
      </c>
      <c r="AH258" s="1">
        <v>3.6000000000000002E-4</v>
      </c>
      <c r="AI258" s="1">
        <v>8.9883000000000005E-2</v>
      </c>
      <c r="AJ258" s="1">
        <v>2.3290000000000002E-2</v>
      </c>
      <c r="AK258" s="1">
        <v>5.1000000000000004E-4</v>
      </c>
      <c r="AL258" s="1">
        <v>3.9140000000000001</v>
      </c>
      <c r="AM258" s="1">
        <v>2.5000000000000001E-2</v>
      </c>
      <c r="AN258" s="1">
        <v>442</v>
      </c>
      <c r="AO258" s="1">
        <v>7.4</v>
      </c>
      <c r="AP258" s="1">
        <v>436.1</v>
      </c>
      <c r="AQ258" s="1">
        <v>9.1999999999999993</v>
      </c>
      <c r="AR258" s="1">
        <v>465</v>
      </c>
      <c r="AS258" s="1">
        <v>10</v>
      </c>
      <c r="AT258" s="1">
        <v>477</v>
      </c>
      <c r="AU258" s="1">
        <v>14</v>
      </c>
      <c r="AV258" s="1">
        <v>49.2</v>
      </c>
      <c r="AW258" s="1">
        <v>1.2</v>
      </c>
      <c r="AX258" s="1">
        <v>14.47</v>
      </c>
      <c r="AY258" s="1">
        <v>0.18000000000000002</v>
      </c>
      <c r="AZ258" s="1">
        <v>27386.1</v>
      </c>
      <c r="BA258" s="1">
        <v>683.09999999999991</v>
      </c>
      <c r="BB258" s="1">
        <v>7501.6799999999994</v>
      </c>
      <c r="BC258" s="1">
        <v>155.25</v>
      </c>
      <c r="BD258" s="1">
        <v>132894</v>
      </c>
      <c r="BE258" s="1">
        <v>2732.3999999999996</v>
      </c>
      <c r="BF258" s="1">
        <v>13.662000000000001</v>
      </c>
      <c r="BG258" s="1">
        <v>7.4519999999999991</v>
      </c>
      <c r="BH258" s="1">
        <f t="shared" si="76"/>
        <v>9727.2727272727261</v>
      </c>
      <c r="BI258" s="1">
        <f t="shared" si="77"/>
        <v>5309.5532563209945</v>
      </c>
    </row>
    <row r="259" spans="1:61" s="23" customFormat="1" x14ac:dyDescent="0.2">
      <c r="A259" s="23" t="s">
        <v>884</v>
      </c>
      <c r="B259" s="23" t="s">
        <v>38</v>
      </c>
      <c r="C259" s="23" t="s">
        <v>885</v>
      </c>
      <c r="D259" s="23" t="s">
        <v>886</v>
      </c>
      <c r="E259" s="23">
        <v>78540</v>
      </c>
      <c r="F259" s="23">
        <v>43636</v>
      </c>
      <c r="G259" s="23" t="s">
        <v>886</v>
      </c>
      <c r="H259" s="24">
        <v>166.3</v>
      </c>
      <c r="I259" s="24">
        <v>107.5</v>
      </c>
      <c r="J259" s="25">
        <v>0.26900000000000002</v>
      </c>
      <c r="K259" s="25">
        <f t="shared" ca="1" si="70"/>
        <v>1.406927148078393E-2</v>
      </c>
      <c r="L259" s="26">
        <v>2.6919999999999999E-2</v>
      </c>
      <c r="M259" s="26">
        <f t="shared" ca="1" si="71"/>
        <v>9.4777347504559342E-4</v>
      </c>
      <c r="N259" s="26">
        <v>0.66152999999999995</v>
      </c>
      <c r="O259" s="26">
        <v>37.147100000000002</v>
      </c>
      <c r="P259" s="26">
        <f t="shared" ca="1" si="72"/>
        <v>1.3078397374862107</v>
      </c>
      <c r="Q259" s="25">
        <v>7.1499999999999994E-2</v>
      </c>
      <c r="R259" s="25">
        <f t="shared" ca="1" si="73"/>
        <v>2.5406495232518788E-3</v>
      </c>
      <c r="S259" s="26">
        <f t="shared" si="74"/>
        <v>0.32991803825875865</v>
      </c>
      <c r="T259" s="25">
        <v>1.162E-2</v>
      </c>
      <c r="U259" s="25">
        <f t="shared" ca="1" si="75"/>
        <v>5.5137080082282193E-4</v>
      </c>
      <c r="V259" s="24" t="e">
        <f ca="1">IF(agePb6U8(1/O259)&lt;1400,age7corr(1/O259,Q259,$W$2),agePb76(Q259))</f>
        <v>#NAME?</v>
      </c>
      <c r="W259" s="24" t="e">
        <f ca="1">IF(agePb6U8(1/O259)&lt;1400,ageer7corr(V259,1/O259,P259/O259*(1/O259),Q259,R259,$W$2,0.05),ageerPb76(Q259,R259))</f>
        <v>#NAME?</v>
      </c>
      <c r="X259" s="26" t="e">
        <f ca="1">agePb6U8(L259)/agePb7u5(J259)</f>
        <v>#NAME?</v>
      </c>
      <c r="Y259" s="24"/>
      <c r="Z259" s="24">
        <v>0.26900000000000002</v>
      </c>
      <c r="AA259" s="24">
        <v>1.2999999999999999E-2</v>
      </c>
      <c r="AB259" s="24">
        <v>2.6919999999999999E-2</v>
      </c>
      <c r="AC259" s="24">
        <v>7.7999999999999999E-4</v>
      </c>
      <c r="AD259" s="24">
        <v>0.66152999999999995</v>
      </c>
      <c r="AE259" s="24">
        <v>37.147100000000002</v>
      </c>
      <c r="AF259" s="24">
        <v>1.076328</v>
      </c>
      <c r="AG259" s="24">
        <v>7.1499999999999994E-2</v>
      </c>
      <c r="AH259" s="24">
        <v>2.0999999999999999E-3</v>
      </c>
      <c r="AI259" s="24">
        <v>-0.11998</v>
      </c>
      <c r="AJ259" s="24">
        <v>1.162E-2</v>
      </c>
      <c r="AK259" s="24">
        <v>5.0000000000000001E-4</v>
      </c>
      <c r="AL259" s="24">
        <v>3.859</v>
      </c>
      <c r="AM259" s="24">
        <v>7.3999999999999996E-2</v>
      </c>
      <c r="AN259" s="24">
        <v>241</v>
      </c>
      <c r="AO259" s="24">
        <v>10</v>
      </c>
      <c r="AP259" s="24">
        <v>171.2</v>
      </c>
      <c r="AQ259" s="24">
        <v>4.9000000000000004</v>
      </c>
      <c r="AR259" s="24">
        <v>234</v>
      </c>
      <c r="AS259" s="24">
        <v>10</v>
      </c>
      <c r="AT259" s="24">
        <v>986</v>
      </c>
      <c r="AU259" s="24">
        <v>68</v>
      </c>
      <c r="AV259" s="24">
        <v>35.74</v>
      </c>
      <c r="AW259" s="24">
        <v>0.63</v>
      </c>
      <c r="AX259" s="24">
        <v>8.44</v>
      </c>
      <c r="AY259" s="24">
        <v>0.12000000000000001</v>
      </c>
      <c r="AZ259" s="24">
        <v>7880.4899999999989</v>
      </c>
      <c r="BA259" s="24">
        <v>242.19</v>
      </c>
      <c r="BB259" s="24">
        <v>2651.67</v>
      </c>
      <c r="BC259" s="24">
        <v>105.57000000000001</v>
      </c>
      <c r="BD259" s="24">
        <v>37881</v>
      </c>
      <c r="BE259" s="24">
        <v>745.2</v>
      </c>
      <c r="BF259" s="24">
        <v>73.277999999999992</v>
      </c>
      <c r="BG259" s="24">
        <v>13.041</v>
      </c>
      <c r="BH259" s="24">
        <f t="shared" si="76"/>
        <v>516.94915254237299</v>
      </c>
      <c r="BI259" s="24">
        <f t="shared" si="77"/>
        <v>92.559779826162696</v>
      </c>
    </row>
    <row r="260" spans="1:61" x14ac:dyDescent="0.2">
      <c r="A260" t="s">
        <v>887</v>
      </c>
      <c r="B260" t="s">
        <v>38</v>
      </c>
      <c r="C260" t="s">
        <v>888</v>
      </c>
      <c r="D260" t="s">
        <v>889</v>
      </c>
      <c r="E260">
        <v>78533</v>
      </c>
      <c r="F260">
        <v>43778</v>
      </c>
      <c r="G260" t="s">
        <v>889</v>
      </c>
      <c r="H260" s="1">
        <v>303</v>
      </c>
      <c r="I260" s="1">
        <v>18.100000000000001</v>
      </c>
      <c r="J260" s="10">
        <v>0.48799999999999999</v>
      </c>
      <c r="K260" s="10">
        <f t="shared" ca="1" si="70"/>
        <v>2.4067770981127442E-2</v>
      </c>
      <c r="L260" s="7">
        <v>6.5199999999999994E-2</v>
      </c>
      <c r="M260" s="7">
        <f t="shared" ca="1" si="71"/>
        <v>2.7313762098985922E-3</v>
      </c>
      <c r="N260" s="7">
        <v>0.99265000000000003</v>
      </c>
      <c r="O260" s="8">
        <v>15.33742</v>
      </c>
      <c r="P260" s="8">
        <f t="shared" ca="1" si="72"/>
        <v>0.64251946957726502</v>
      </c>
      <c r="Q260" s="9">
        <v>5.5140000000000002E-2</v>
      </c>
      <c r="R260" s="9">
        <f t="shared" ca="1" si="73"/>
        <v>1.1353712344427263E-3</v>
      </c>
      <c r="S260" s="8">
        <f t="shared" si="74"/>
        <v>0.45551306780346912</v>
      </c>
      <c r="T260" s="11">
        <v>2.3800000000000002E-2</v>
      </c>
      <c r="U260" s="11">
        <f t="shared" ca="1" si="75"/>
        <v>1.6693040466014574E-3</v>
      </c>
      <c r="V260" s="6" t="e">
        <f ca="1">IF(agePb6U8(1/O260)&lt;1400,age7corr(1/O260,Q260,$W$2),agePb76(Q260))</f>
        <v>#NAME?</v>
      </c>
      <c r="W260" s="6" t="e">
        <f ca="1">IF(agePb6U8(1/O260)&lt;1400,ageer7corr(V260,1/O260,P260/O260*(1/O260),Q260,R260,$W$2,0.05),ageerPb76(Q260,R260))</f>
        <v>#NAME?</v>
      </c>
      <c r="X260" s="4" t="e">
        <f ca="1">agePb6U8(L260)/agePb7u5(J260)</f>
        <v>#NAME?</v>
      </c>
      <c r="Z260" s="1">
        <v>0.48799999999999999</v>
      </c>
      <c r="AA260" s="1">
        <v>2.1999999999999999E-2</v>
      </c>
      <c r="AB260" s="1">
        <v>6.5199999999999994E-2</v>
      </c>
      <c r="AC260" s="1">
        <v>2.3999999999999998E-3</v>
      </c>
      <c r="AD260" s="1">
        <v>0.99265000000000003</v>
      </c>
      <c r="AE260" s="1">
        <v>15.33742</v>
      </c>
      <c r="AF260" s="1">
        <v>0.56456770000000001</v>
      </c>
      <c r="AG260" s="1">
        <v>5.5140000000000002E-2</v>
      </c>
      <c r="AH260" s="1">
        <v>2.7E-4</v>
      </c>
      <c r="AI260" s="1">
        <v>-4.0078999999999997E-2</v>
      </c>
      <c r="AJ260" s="1">
        <v>2.3800000000000002E-2</v>
      </c>
      <c r="AK260" s="1">
        <v>1.6000000000000001E-3</v>
      </c>
      <c r="AL260" s="1">
        <v>52.5</v>
      </c>
      <c r="AM260" s="1">
        <v>3.1</v>
      </c>
      <c r="AN260" s="1">
        <v>407</v>
      </c>
      <c r="AO260" s="1">
        <v>13</v>
      </c>
      <c r="AP260" s="1">
        <v>407</v>
      </c>
      <c r="AQ260" s="1">
        <v>15</v>
      </c>
      <c r="AR260" s="1">
        <v>475</v>
      </c>
      <c r="AS260" s="1">
        <v>31</v>
      </c>
      <c r="AT260" s="1">
        <v>418</v>
      </c>
      <c r="AU260" s="1">
        <v>11</v>
      </c>
      <c r="AV260" s="1">
        <v>65.199999999999989</v>
      </c>
      <c r="AW260" s="1">
        <v>5.8</v>
      </c>
      <c r="AX260" s="1">
        <v>1.42</v>
      </c>
      <c r="AY260" s="1">
        <v>0.16</v>
      </c>
      <c r="AZ260" s="1">
        <v>2651.67</v>
      </c>
      <c r="BA260" s="1">
        <v>316.71000000000004</v>
      </c>
      <c r="BB260" s="1">
        <v>8756.1</v>
      </c>
      <c r="BC260" s="1">
        <v>621</v>
      </c>
      <c r="BD260" s="1">
        <v>161460</v>
      </c>
      <c r="BE260" s="1">
        <v>11799</v>
      </c>
      <c r="BF260" s="1">
        <v>7.4519999999999991</v>
      </c>
      <c r="BG260" s="1">
        <v>6.8310000000000004</v>
      </c>
      <c r="BH260" s="1">
        <f t="shared" si="76"/>
        <v>21666.666666666668</v>
      </c>
      <c r="BI260" s="1">
        <f t="shared" si="77"/>
        <v>19924.123042491628</v>
      </c>
    </row>
    <row r="261" spans="1:61" s="23" customFormat="1" x14ac:dyDescent="0.2">
      <c r="A261" s="23" t="s">
        <v>890</v>
      </c>
      <c r="B261" s="23" t="s">
        <v>38</v>
      </c>
      <c r="C261" s="23" t="s">
        <v>891</v>
      </c>
      <c r="D261" s="23" t="s">
        <v>892</v>
      </c>
      <c r="E261" s="23">
        <v>78630</v>
      </c>
      <c r="F261" s="23">
        <v>44570</v>
      </c>
      <c r="G261" s="23" t="s">
        <v>892</v>
      </c>
      <c r="H261" s="24">
        <v>44</v>
      </c>
      <c r="I261" s="24">
        <v>4.3</v>
      </c>
      <c r="J261" s="25">
        <v>0.77</v>
      </c>
      <c r="K261" s="25">
        <f t="shared" ca="1" si="70"/>
        <v>0.32037034819096477</v>
      </c>
      <c r="L261" s="26">
        <v>8.2000000000000003E-2</v>
      </c>
      <c r="M261" s="26">
        <f t="shared" ca="1" si="71"/>
        <v>3.0044793226114905E-2</v>
      </c>
      <c r="N261" s="26">
        <v>0.99502000000000002</v>
      </c>
      <c r="O261" s="26">
        <v>12.195119999999999</v>
      </c>
      <c r="P261" s="26">
        <f t="shared" ca="1" si="72"/>
        <v>4.4682916911976287</v>
      </c>
      <c r="Q261" s="25">
        <v>7.0400000000000004E-2</v>
      </c>
      <c r="R261" s="25">
        <f t="shared" ca="1" si="73"/>
        <v>5.677364177151225E-3</v>
      </c>
      <c r="S261" s="26">
        <f t="shared" si="74"/>
        <v>0.34100603950446268</v>
      </c>
      <c r="T261" s="25">
        <v>3.2000000000000001E-2</v>
      </c>
      <c r="U261" s="25">
        <f t="shared" ca="1" si="75"/>
        <v>3.1006605747807999E-2</v>
      </c>
      <c r="V261" s="24" t="e">
        <f ca="1">IF(agePb6U8(1/O261)&lt;1400,age7corr(1/O261,Q261,$W$2),agePb76(Q261))</f>
        <v>#NAME?</v>
      </c>
      <c r="W261" s="24" t="e">
        <f ca="1">IF(agePb6U8(1/O261)&lt;1400,ageer7corr(V261,1/O261,P261/O261*(1/O261),Q261,R261,$W$2,0.05),ageerPb76(Q261,R261))</f>
        <v>#NAME?</v>
      </c>
      <c r="X261" s="26" t="e">
        <f ca="1">agePb6U8(L261)/agePb7u5(J261)</f>
        <v>#NAME?</v>
      </c>
      <c r="Y261" s="24"/>
      <c r="Z261" s="24">
        <v>0.77</v>
      </c>
      <c r="AA261" s="24">
        <v>0.32</v>
      </c>
      <c r="AB261" s="24">
        <v>8.2000000000000003E-2</v>
      </c>
      <c r="AC261" s="24">
        <v>0.03</v>
      </c>
      <c r="AD261" s="24">
        <v>0.99502000000000002</v>
      </c>
      <c r="AE261" s="24">
        <v>12.195119999999999</v>
      </c>
      <c r="AF261" s="24">
        <v>4.4616300000000004</v>
      </c>
      <c r="AG261" s="24">
        <v>7.0400000000000004E-2</v>
      </c>
      <c r="AH261" s="24">
        <v>5.4999999999999997E-3</v>
      </c>
      <c r="AI261" s="24">
        <v>-0.72841</v>
      </c>
      <c r="AJ261" s="24">
        <v>3.2000000000000001E-2</v>
      </c>
      <c r="AK261" s="24">
        <v>3.1E-2</v>
      </c>
      <c r="AL261" s="24">
        <v>37.9</v>
      </c>
      <c r="AM261" s="24">
        <v>2.1</v>
      </c>
      <c r="AN261" s="24">
        <v>560</v>
      </c>
      <c r="AO261" s="24">
        <v>190</v>
      </c>
      <c r="AP261" s="24">
        <v>500</v>
      </c>
      <c r="AQ261" s="24">
        <v>180</v>
      </c>
      <c r="AR261" s="24">
        <v>600</v>
      </c>
      <c r="AS261" s="24">
        <v>610</v>
      </c>
      <c r="AT261" s="24">
        <v>900</v>
      </c>
      <c r="AU261" s="24">
        <v>170</v>
      </c>
      <c r="AV261" s="24">
        <v>9.6</v>
      </c>
      <c r="AW261" s="24">
        <v>7.6</v>
      </c>
      <c r="AX261" s="24">
        <v>0.34</v>
      </c>
      <c r="AY261" s="24">
        <v>0.27999999999999997</v>
      </c>
      <c r="AZ261" s="24">
        <v>353.96999999999997</v>
      </c>
      <c r="BA261" s="24">
        <v>111.78</v>
      </c>
      <c r="BB261" s="24">
        <v>1136.43</v>
      </c>
      <c r="BC261" s="24">
        <v>310.5</v>
      </c>
      <c r="BD261" s="24">
        <v>16767</v>
      </c>
      <c r="BE261" s="24">
        <v>6210</v>
      </c>
      <c r="BF261" s="24">
        <v>5.0301</v>
      </c>
      <c r="BG261" s="24">
        <v>5.0301</v>
      </c>
      <c r="BH261" s="24">
        <f t="shared" si="76"/>
        <v>3333.3333333333335</v>
      </c>
      <c r="BI261" s="24">
        <f t="shared" si="77"/>
        <v>3554.6123577501157</v>
      </c>
    </row>
    <row r="262" spans="1:61" x14ac:dyDescent="0.2">
      <c r="A262" t="s">
        <v>893</v>
      </c>
      <c r="B262" t="s">
        <v>38</v>
      </c>
      <c r="C262" t="s">
        <v>894</v>
      </c>
      <c r="D262" t="s">
        <v>895</v>
      </c>
      <c r="E262">
        <v>78631</v>
      </c>
      <c r="F262">
        <v>44984</v>
      </c>
      <c r="G262" t="s">
        <v>895</v>
      </c>
      <c r="H262" s="1">
        <v>185.3</v>
      </c>
      <c r="I262" s="1">
        <v>35.299999999999997</v>
      </c>
      <c r="J262" s="10">
        <v>1.752</v>
      </c>
      <c r="K262" s="10">
        <f t="shared" ca="1" si="70"/>
        <v>6.105572536625866E-2</v>
      </c>
      <c r="L262" s="7">
        <v>0.16950000000000001</v>
      </c>
      <c r="M262" s="7">
        <f t="shared" ca="1" si="71"/>
        <v>5.2432909513014823E-3</v>
      </c>
      <c r="N262" s="7">
        <v>0.95318999999999998</v>
      </c>
      <c r="O262" s="8">
        <v>5.899705</v>
      </c>
      <c r="P262" s="8">
        <f t="shared" ca="1" si="72"/>
        <v>0.18250072480957438</v>
      </c>
      <c r="Q262" s="9">
        <v>7.5200000000000003E-2</v>
      </c>
      <c r="R262" s="9">
        <f t="shared" ca="1" si="73"/>
        <v>1.619264030354531E-3</v>
      </c>
      <c r="S262" s="8">
        <f t="shared" si="74"/>
        <v>0.46883328027576371</v>
      </c>
      <c r="T262" s="11">
        <v>6.0199999999999997E-2</v>
      </c>
      <c r="U262" s="11">
        <f t="shared" ca="1" si="75"/>
        <v>3.2325865804336937E-3</v>
      </c>
      <c r="V262" s="6" t="e">
        <f ca="1">IF(agePb6U8(1/O262)&lt;1400,age7corr(1/O262,Q262,$W$2),agePb76(Q262))</f>
        <v>#NAME?</v>
      </c>
      <c r="W262" s="6" t="e">
        <f ca="1">IF(agePb6U8(1/O262)&lt;1400,ageer7corr(V262,1/O262,P262/O262*(1/O262),Q262,R262,$W$2,0.05),ageerPb76(Q262,R262))</f>
        <v>#NAME?</v>
      </c>
      <c r="X262" s="4" t="e">
        <f ca="1">agePb6U8(L262)/agePb7u5(J262)</f>
        <v>#NAME?</v>
      </c>
      <c r="Z262" s="1">
        <v>1.752</v>
      </c>
      <c r="AA262" s="1">
        <v>0.05</v>
      </c>
      <c r="AB262" s="1">
        <v>0.16950000000000001</v>
      </c>
      <c r="AC262" s="1">
        <v>4.0000000000000001E-3</v>
      </c>
      <c r="AD262" s="1">
        <v>0.95318999999999998</v>
      </c>
      <c r="AE262" s="1">
        <v>5.899705</v>
      </c>
      <c r="AF262" s="1">
        <v>0.13922609999999999</v>
      </c>
      <c r="AG262" s="1">
        <v>7.5200000000000003E-2</v>
      </c>
      <c r="AH262" s="1">
        <v>5.9999999999999995E-4</v>
      </c>
      <c r="AI262" s="1">
        <v>-0.44658999999999999</v>
      </c>
      <c r="AJ262" s="1">
        <v>6.0199999999999997E-2</v>
      </c>
      <c r="AK262" s="1">
        <v>3.0000000000000001E-3</v>
      </c>
      <c r="AL262" s="1">
        <v>15.88</v>
      </c>
      <c r="AM262" s="1">
        <v>0.44</v>
      </c>
      <c r="AN262" s="1">
        <v>1027</v>
      </c>
      <c r="AO262" s="1">
        <v>19</v>
      </c>
      <c r="AP262" s="1">
        <v>1009</v>
      </c>
      <c r="AQ262" s="1">
        <v>22</v>
      </c>
      <c r="AR262" s="1">
        <v>1181</v>
      </c>
      <c r="AS262" s="1">
        <v>57</v>
      </c>
      <c r="AT262" s="1">
        <v>1074</v>
      </c>
      <c r="AU262" s="1">
        <v>16</v>
      </c>
      <c r="AV262" s="1">
        <v>39.809999999999995</v>
      </c>
      <c r="AW262" s="1">
        <v>0.82</v>
      </c>
      <c r="AX262" s="1">
        <v>2.77</v>
      </c>
      <c r="AY262" s="1">
        <v>0.11</v>
      </c>
      <c r="AZ262" s="1">
        <v>13183.830000000002</v>
      </c>
      <c r="BA262" s="1">
        <v>310.5</v>
      </c>
      <c r="BB262" s="1">
        <v>19561.5</v>
      </c>
      <c r="BC262" s="1">
        <v>422.28000000000003</v>
      </c>
      <c r="BD262" s="1">
        <v>263241.89999999997</v>
      </c>
      <c r="BE262" s="1">
        <v>5216.3999999999996</v>
      </c>
      <c r="BF262" s="1">
        <v>37.26</v>
      </c>
      <c r="BG262" s="1">
        <v>11.177999999999999</v>
      </c>
      <c r="BH262" s="1">
        <f t="shared" si="76"/>
        <v>7064.9999999999991</v>
      </c>
      <c r="BI262" s="1">
        <f t="shared" si="77"/>
        <v>2124.1186996022602</v>
      </c>
    </row>
    <row r="263" spans="1:61" s="23" customFormat="1" x14ac:dyDescent="0.2">
      <c r="A263" s="23" t="s">
        <v>896</v>
      </c>
      <c r="B263" s="23" t="s">
        <v>38</v>
      </c>
      <c r="C263" s="23" t="s">
        <v>897</v>
      </c>
      <c r="D263" s="23" t="s">
        <v>898</v>
      </c>
      <c r="E263" s="23">
        <v>78662</v>
      </c>
      <c r="F263" s="23">
        <v>45378</v>
      </c>
      <c r="G263" s="23" t="s">
        <v>898</v>
      </c>
      <c r="H263" s="24">
        <v>963</v>
      </c>
      <c r="I263" s="24">
        <v>850</v>
      </c>
      <c r="J263" s="25">
        <v>0.24199999999999999</v>
      </c>
      <c r="K263" s="25">
        <f t="shared" ca="1" si="70"/>
        <v>2.0577307890003494E-2</v>
      </c>
      <c r="L263" s="26">
        <v>2.8000000000000001E-2</v>
      </c>
      <c r="M263" s="26">
        <f t="shared" ca="1" si="71"/>
        <v>9.8473346647709697E-4</v>
      </c>
      <c r="N263" s="26">
        <v>9.9772999999999997E-3</v>
      </c>
      <c r="O263" s="26">
        <v>35.714289999999998</v>
      </c>
      <c r="P263" s="26">
        <f t="shared" ca="1" si="72"/>
        <v>1.2560374153068212</v>
      </c>
      <c r="Q263" s="25">
        <v>6.4399999999999999E-2</v>
      </c>
      <c r="R263" s="25">
        <f t="shared" ca="1" si="73"/>
        <v>5.9412914421024645E-3</v>
      </c>
      <c r="S263" s="26">
        <f t="shared" si="74"/>
        <v>0.33590191205611375</v>
      </c>
      <c r="T263" s="25">
        <v>1.1299999999999999E-2</v>
      </c>
      <c r="U263" s="25">
        <f t="shared" ca="1" si="75"/>
        <v>4.2505999576530369E-4</v>
      </c>
      <c r="V263" s="24" t="e">
        <f ca="1">IF(agePb6U8(1/O263)&lt;1400,age7corr(1/O263,Q263,$W$2),agePb76(Q263))</f>
        <v>#NAME?</v>
      </c>
      <c r="W263" s="24" t="e">
        <f ca="1">IF(agePb6U8(1/O263)&lt;1400,ageer7corr(V263,1/O263,P263/O263*(1/O263),Q263,R263,$W$2,0.05),ageerPb76(Q263,R263))</f>
        <v>#NAME?</v>
      </c>
      <c r="X263" s="26" t="e">
        <f ca="1">agePb6U8(L263)/agePb7u5(J263)</f>
        <v>#NAME?</v>
      </c>
      <c r="Y263" s="24"/>
      <c r="Z263" s="24">
        <v>0.24199999999999999</v>
      </c>
      <c r="AA263" s="24">
        <v>0.02</v>
      </c>
      <c r="AB263" s="24">
        <v>2.8000000000000001E-2</v>
      </c>
      <c r="AC263" s="24">
        <v>8.0999999999999996E-4</v>
      </c>
      <c r="AD263" s="24">
        <v>9.9772999999999997E-3</v>
      </c>
      <c r="AE263" s="24">
        <v>35.714289999999998</v>
      </c>
      <c r="AF263" s="24">
        <v>1.0331630000000001</v>
      </c>
      <c r="AG263" s="24">
        <v>6.4399999999999999E-2</v>
      </c>
      <c r="AH263" s="24">
        <v>5.7999999999999996E-3</v>
      </c>
      <c r="AI263" s="24">
        <v>0.27842</v>
      </c>
      <c r="AJ263" s="24">
        <v>1.1299999999999999E-2</v>
      </c>
      <c r="AK263" s="24">
        <v>3.6000000000000002E-4</v>
      </c>
      <c r="AL263" s="24">
        <v>3.33</v>
      </c>
      <c r="AM263" s="24">
        <v>0.42</v>
      </c>
      <c r="AN263" s="24">
        <v>219</v>
      </c>
      <c r="AO263" s="24">
        <v>16</v>
      </c>
      <c r="AP263" s="24">
        <v>178</v>
      </c>
      <c r="AQ263" s="24">
        <v>5.0999999999999996</v>
      </c>
      <c r="AR263" s="24">
        <v>227.1</v>
      </c>
      <c r="AS263" s="24">
        <v>7.1</v>
      </c>
      <c r="AT263" s="24">
        <v>700</v>
      </c>
      <c r="AU263" s="24">
        <v>180</v>
      </c>
      <c r="AV263" s="24">
        <v>207</v>
      </c>
      <c r="AW263" s="24">
        <v>19</v>
      </c>
      <c r="AX263" s="24">
        <v>67</v>
      </c>
      <c r="AY263" s="24">
        <v>15</v>
      </c>
      <c r="AZ263" s="24">
        <v>63963</v>
      </c>
      <c r="BA263" s="24">
        <v>14283</v>
      </c>
      <c r="BB263" s="24">
        <v>14966.1</v>
      </c>
      <c r="BC263" s="24">
        <v>2732.3999999999996</v>
      </c>
      <c r="BD263" s="24">
        <v>226665</v>
      </c>
      <c r="BE263" s="24">
        <v>21735</v>
      </c>
      <c r="BF263" s="24">
        <v>298.08</v>
      </c>
      <c r="BG263" s="24">
        <v>130.41</v>
      </c>
      <c r="BH263" s="24">
        <f t="shared" si="76"/>
        <v>760.41666666666674</v>
      </c>
      <c r="BI263" s="24">
        <f t="shared" si="77"/>
        <v>340.57942901232724</v>
      </c>
    </row>
    <row r="264" spans="1:61" x14ac:dyDescent="0.2">
      <c r="A264" t="s">
        <v>899</v>
      </c>
      <c r="B264" t="s">
        <v>38</v>
      </c>
      <c r="C264" t="s">
        <v>900</v>
      </c>
      <c r="D264" t="s">
        <v>901</v>
      </c>
      <c r="E264">
        <v>78715</v>
      </c>
      <c r="F264">
        <v>46503</v>
      </c>
      <c r="G264" t="s">
        <v>901</v>
      </c>
      <c r="H264" s="1">
        <v>394.2</v>
      </c>
      <c r="I264" s="1">
        <v>189.5</v>
      </c>
      <c r="J264" s="10">
        <v>1.7949999999999999</v>
      </c>
      <c r="K264" s="10">
        <f t="shared" ca="1" si="70"/>
        <v>4.3183445902336234E-2</v>
      </c>
      <c r="L264" s="7">
        <v>0.1661</v>
      </c>
      <c r="M264" s="7">
        <f t="shared" ca="1" si="71"/>
        <v>3.7783176150239144E-3</v>
      </c>
      <c r="N264" s="7">
        <v>0.95643999999999996</v>
      </c>
      <c r="O264" s="8">
        <v>6.0204700000000004</v>
      </c>
      <c r="P264" s="8">
        <f t="shared" ca="1" si="72"/>
        <v>0.13694911320914058</v>
      </c>
      <c r="Q264" s="9">
        <v>7.8289999999999998E-2</v>
      </c>
      <c r="R264" s="9">
        <f t="shared" ca="1" si="73"/>
        <v>1.6663221897340263E-3</v>
      </c>
      <c r="S264" s="8">
        <f t="shared" si="74"/>
        <v>0.59330168553681673</v>
      </c>
      <c r="T264" s="11">
        <v>5.3859999999999998E-2</v>
      </c>
      <c r="U264" s="11">
        <f t="shared" ca="1" si="75"/>
        <v>1.3183170483612812E-3</v>
      </c>
      <c r="V264" s="6" t="e">
        <f ca="1">IF(agePb6U8(1/O264)&lt;1400,age7corr(1/O264,Q264,$W$2),agePb76(Q264))</f>
        <v>#NAME?</v>
      </c>
      <c r="W264" s="6" t="e">
        <f ca="1">IF(agePb6U8(1/O264)&lt;1400,ageer7corr(V264,1/O264,P264/O264*(1/O264),Q264,R264,$W$2,0.05),ageerPb76(Q264,R264))</f>
        <v>#NAME?</v>
      </c>
      <c r="X264" s="4" t="e">
        <f ca="1">agePb6U8(L264)/agePb7u5(J264)</f>
        <v>#NAME?</v>
      </c>
      <c r="Z264" s="1">
        <v>1.7949999999999999</v>
      </c>
      <c r="AA264" s="1">
        <v>2.4E-2</v>
      </c>
      <c r="AB264" s="1">
        <v>0.1661</v>
      </c>
      <c r="AC264" s="1">
        <v>1.8E-3</v>
      </c>
      <c r="AD264" s="1">
        <v>0.95643999999999996</v>
      </c>
      <c r="AE264" s="1">
        <v>6.0204700000000004</v>
      </c>
      <c r="AF264" s="1">
        <v>6.5242900000000006E-2</v>
      </c>
      <c r="AG264" s="1">
        <v>7.8289999999999998E-2</v>
      </c>
      <c r="AH264" s="1">
        <v>5.6999999999999998E-4</v>
      </c>
      <c r="AI264" s="1">
        <v>-0.13500999999999999</v>
      </c>
      <c r="AJ264" s="1">
        <v>5.3859999999999998E-2</v>
      </c>
      <c r="AK264" s="1">
        <v>7.6000000000000004E-4</v>
      </c>
      <c r="AL264" s="1">
        <v>6.79</v>
      </c>
      <c r="AM264" s="1">
        <v>0.12</v>
      </c>
      <c r="AN264" s="1">
        <v>1043.3</v>
      </c>
      <c r="AO264" s="1">
        <v>8.6</v>
      </c>
      <c r="AP264" s="1">
        <v>990.5</v>
      </c>
      <c r="AQ264" s="1">
        <v>9.8000000000000007</v>
      </c>
      <c r="AR264" s="1">
        <v>1060</v>
      </c>
      <c r="AS264" s="1">
        <v>15</v>
      </c>
      <c r="AT264" s="1">
        <v>1154</v>
      </c>
      <c r="AU264" s="1">
        <v>14</v>
      </c>
      <c r="AV264" s="1">
        <v>84.7</v>
      </c>
      <c r="AW264" s="1">
        <v>1.8</v>
      </c>
      <c r="AX264" s="1">
        <v>14.88</v>
      </c>
      <c r="AY264" s="1">
        <v>0.3</v>
      </c>
      <c r="AZ264" s="1">
        <v>65515.499999999993</v>
      </c>
      <c r="BA264" s="1">
        <v>869.4</v>
      </c>
      <c r="BB264" s="1">
        <v>42476.4</v>
      </c>
      <c r="BC264" s="1">
        <v>993.6</v>
      </c>
      <c r="BD264" s="1">
        <v>552690</v>
      </c>
      <c r="BE264" s="1">
        <v>14904.000000000002</v>
      </c>
      <c r="BF264" s="1">
        <v>115.506</v>
      </c>
      <c r="BG264" s="1">
        <v>15.525</v>
      </c>
      <c r="BH264" s="1">
        <f t="shared" si="76"/>
        <v>4784.9462365591398</v>
      </c>
      <c r="BI264" s="1">
        <f t="shared" si="77"/>
        <v>655.95405866935926</v>
      </c>
    </row>
    <row r="265" spans="1:61" x14ac:dyDescent="0.2">
      <c r="A265" t="s">
        <v>902</v>
      </c>
      <c r="B265" t="s">
        <v>38</v>
      </c>
      <c r="C265" t="s">
        <v>903</v>
      </c>
      <c r="D265" t="s">
        <v>904</v>
      </c>
      <c r="E265">
        <v>77918</v>
      </c>
      <c r="F265">
        <v>39608</v>
      </c>
      <c r="G265" t="s">
        <v>904</v>
      </c>
      <c r="H265" s="1">
        <v>304</v>
      </c>
      <c r="I265" s="1">
        <v>97.8</v>
      </c>
      <c r="J265" s="10">
        <v>1.403</v>
      </c>
      <c r="K265" s="10">
        <f t="shared" ref="K265:K296" ca="1" si="78">SQRT(K$2^2+(AA265/Z265)^2)*J265</f>
        <v>3.7581426263514801E-2</v>
      </c>
      <c r="L265" s="7">
        <v>0.1381</v>
      </c>
      <c r="M265" s="7">
        <f t="shared" ref="M265:M296" ca="1" si="79">SQRT(M$2^2+(AC265/AB265)^2)*L265</f>
        <v>4.1519446046400952E-3</v>
      </c>
      <c r="N265" s="7">
        <v>0.83379999999999999</v>
      </c>
      <c r="O265" s="8">
        <v>7.2411300000000001</v>
      </c>
      <c r="P265" s="8">
        <f t="shared" ref="P265:P296" ca="1" si="80">SQRT(P$2^2+(AF265/AE265)^2)*O265</f>
        <v>0.21770291689100077</v>
      </c>
      <c r="Q265" s="9">
        <v>7.3959999999999998E-2</v>
      </c>
      <c r="R265" s="9">
        <f t="shared" ref="R265:R296" ca="1" si="81">SQRT(R$2^2+(AH265/AG265)^2)*Q265</f>
        <v>1.7367016554376863E-3</v>
      </c>
      <c r="S265" s="8">
        <f t="shared" ref="S265:S296" si="82">(((BE265/BD265)^2+(AW265/AV265)^2)+((BE265/BD265)^2+(BC265/BB265)^2)-((BC265/BB265)^2+(AW265/AV265)^2))/(2*SQRT((BE265/BD265)^2+(AW265/AV265)^2)*SQRT((BE265/BD265)^2+(BC265/BB265)^2))</f>
        <v>0.52361922089463619</v>
      </c>
      <c r="T265" s="11">
        <v>5.2499999999999998E-2</v>
      </c>
      <c r="U265" s="11">
        <f t="shared" ref="U265:U296" ca="1" si="83">SQRT(U$2^2+(AK265/AJ265)^2)*T265</f>
        <v>1.913765920900464E-3</v>
      </c>
      <c r="V265" s="6" t="e">
        <f ca="1">IF(agePb6U8(1/O265)&lt;1400,age7corr(1/O265,Q265,$W$2),agePb76(Q265))</f>
        <v>#NAME?</v>
      </c>
      <c r="W265" s="6" t="e">
        <f ca="1">IF(agePb6U8(1/O265)&lt;1400,ageer7corr(V265,1/O265,P265/O265*(1/O265),Q265,R265,$W$2,0.05),ageerPb76(Q265,R265))</f>
        <v>#NAME?</v>
      </c>
      <c r="X265" s="4" t="e">
        <f ca="1">agePb6U8(L265)/agePb7u5(J265)</f>
        <v>#NAME?</v>
      </c>
      <c r="Z265" s="1">
        <v>1.403</v>
      </c>
      <c r="AA265" s="1">
        <v>2.5000000000000001E-2</v>
      </c>
      <c r="AB265" s="1">
        <v>0.1381</v>
      </c>
      <c r="AC265" s="1">
        <v>3.0999999999999999E-3</v>
      </c>
      <c r="AD265" s="1">
        <v>0.83379999999999999</v>
      </c>
      <c r="AE265" s="1">
        <v>7.2411300000000001</v>
      </c>
      <c r="AF265" s="1">
        <v>0.1625453</v>
      </c>
      <c r="AG265" s="1">
        <v>7.3959999999999998E-2</v>
      </c>
      <c r="AH265" s="1">
        <v>9.1E-4</v>
      </c>
      <c r="AI265" s="1">
        <v>0.18783</v>
      </c>
      <c r="AJ265" s="1">
        <v>5.2499999999999998E-2</v>
      </c>
      <c r="AK265" s="1">
        <v>1.6000000000000001E-3</v>
      </c>
      <c r="AL265" s="1">
        <v>8.6300000000000008</v>
      </c>
      <c r="AM265" s="1">
        <v>0.76</v>
      </c>
      <c r="AN265" s="1">
        <v>890</v>
      </c>
      <c r="AO265" s="1">
        <v>11</v>
      </c>
      <c r="AP265" s="1">
        <v>834</v>
      </c>
      <c r="AQ265" s="1">
        <v>18</v>
      </c>
      <c r="AR265" s="1">
        <v>1034</v>
      </c>
      <c r="AS265" s="1">
        <v>30</v>
      </c>
      <c r="AT265" s="1">
        <v>1039</v>
      </c>
      <c r="AU265" s="1">
        <v>25</v>
      </c>
      <c r="AV265" s="1">
        <v>65.3</v>
      </c>
      <c r="AW265" s="1">
        <v>5.3</v>
      </c>
      <c r="AX265" s="1">
        <v>7.6800000000000006</v>
      </c>
      <c r="AY265" s="1">
        <v>0.12000000000000001</v>
      </c>
      <c r="AZ265" s="1">
        <v>33062.04</v>
      </c>
      <c r="BA265" s="1">
        <v>552.68999999999994</v>
      </c>
      <c r="BB265" s="1">
        <v>25647.300000000003</v>
      </c>
      <c r="BC265" s="1">
        <v>1800.9</v>
      </c>
      <c r="BD265" s="1">
        <v>352107</v>
      </c>
      <c r="BE265" s="1">
        <v>27945</v>
      </c>
      <c r="BF265" s="1">
        <v>42.227999999999994</v>
      </c>
      <c r="BG265" s="1">
        <v>16.145999999999997</v>
      </c>
      <c r="BH265" s="1">
        <f t="shared" ref="BH265:BH296" si="84">BD265/BF265</f>
        <v>8338.2352941176487</v>
      </c>
      <c r="BI265" s="1">
        <f t="shared" ref="BI265:BI296" si="85">SQRT((BG265/BF265)^2+(BE265/BD265)^2)*BH265</f>
        <v>3256.1058376979081</v>
      </c>
    </row>
    <row r="266" spans="1:61" x14ac:dyDescent="0.2">
      <c r="A266" t="s">
        <v>779</v>
      </c>
      <c r="B266" t="s">
        <v>38</v>
      </c>
      <c r="C266" t="s">
        <v>780</v>
      </c>
      <c r="D266" t="s">
        <v>781</v>
      </c>
      <c r="E266">
        <v>78629</v>
      </c>
      <c r="F266">
        <v>40711</v>
      </c>
      <c r="G266" t="s">
        <v>781</v>
      </c>
      <c r="H266" s="1">
        <v>295</v>
      </c>
      <c r="I266" s="1">
        <v>145.9</v>
      </c>
      <c r="J266" s="10">
        <v>0.1721</v>
      </c>
      <c r="K266" s="10">
        <f t="shared" ca="1" si="78"/>
        <v>7.3550910259493046E-3</v>
      </c>
      <c r="L266" s="7">
        <v>2.5309999999999999E-2</v>
      </c>
      <c r="M266" s="7">
        <f t="shared" ca="1" si="79"/>
        <v>1.0413157254166481E-3</v>
      </c>
      <c r="N266" s="7">
        <v>0.97548999999999997</v>
      </c>
      <c r="O266" s="8">
        <v>39.510080000000002</v>
      </c>
      <c r="P266" s="8">
        <f t="shared" ca="1" si="80"/>
        <v>1.6255419260500665</v>
      </c>
      <c r="Q266" s="9">
        <v>4.9509999999999998E-2</v>
      </c>
      <c r="R266" s="9">
        <f t="shared" ca="1" si="81"/>
        <v>1.0795351036441566E-3</v>
      </c>
      <c r="S266" s="8">
        <f t="shared" si="82"/>
        <v>0.46235654424433076</v>
      </c>
      <c r="T266" s="11">
        <v>8.09E-3</v>
      </c>
      <c r="U266" s="11">
        <f t="shared" ca="1" si="83"/>
        <v>3.6753127758056188E-4</v>
      </c>
      <c r="V266" s="6" t="e">
        <f ca="1">IF(agePb6U8(1/O266)&lt;1400,age7corr(1/O266,Q266,$W$2),agePb76(Q266))</f>
        <v>#NAME?</v>
      </c>
      <c r="W266" s="6" t="e">
        <f ca="1">IF(agePb6U8(1/O266)&lt;1400,ageer7corr(V266,1/O266,P266/O266*(1/O266),Q266,R266,$W$2,0.05),ageerPb76(Q266,R266))</f>
        <v>#NAME?</v>
      </c>
      <c r="X266" s="4" t="e">
        <f ca="1">agePb6U8(L266)/agePb7u5(J266)</f>
        <v>#NAME?</v>
      </c>
      <c r="Z266" s="1">
        <v>0.1721</v>
      </c>
      <c r="AA266" s="1">
        <v>6.4999999999999997E-3</v>
      </c>
      <c r="AB266" s="1">
        <v>2.5309999999999999E-2</v>
      </c>
      <c r="AC266" s="1">
        <v>9.1E-4</v>
      </c>
      <c r="AD266" s="1">
        <v>0.97548999999999997</v>
      </c>
      <c r="AE266" s="1">
        <v>39.510080000000002</v>
      </c>
      <c r="AF266" s="1">
        <v>1.420552</v>
      </c>
      <c r="AG266" s="1">
        <v>4.9509999999999998E-2</v>
      </c>
      <c r="AH266" s="1">
        <v>4.2999999999999999E-4</v>
      </c>
      <c r="AI266" s="1">
        <v>-0.11225</v>
      </c>
      <c r="AJ266" s="1">
        <v>8.09E-3</v>
      </c>
      <c r="AK266" s="1">
        <v>3.3E-4</v>
      </c>
      <c r="AL266" s="1">
        <v>6.77</v>
      </c>
      <c r="AM266" s="1">
        <v>0.11</v>
      </c>
      <c r="AN266" s="1">
        <v>161.1</v>
      </c>
      <c r="AO266" s="1">
        <v>5.7</v>
      </c>
      <c r="AP266" s="1">
        <v>161.1</v>
      </c>
      <c r="AQ266" s="1">
        <v>5.7</v>
      </c>
      <c r="AR266" s="1">
        <v>162.9</v>
      </c>
      <c r="AS266" s="1">
        <v>6.6</v>
      </c>
      <c r="AT266" s="1">
        <v>172</v>
      </c>
      <c r="AU266" s="1">
        <v>20</v>
      </c>
      <c r="AV266" s="1">
        <v>63.6</v>
      </c>
      <c r="AW266" s="1">
        <v>3.6</v>
      </c>
      <c r="AX266" s="1">
        <v>11.469999999999999</v>
      </c>
      <c r="AY266" s="1">
        <v>0.7</v>
      </c>
      <c r="AZ266" s="1">
        <v>7445.79</v>
      </c>
      <c r="BA266" s="1">
        <v>459.54</v>
      </c>
      <c r="BB266" s="1">
        <v>3073.95</v>
      </c>
      <c r="BC266" s="1">
        <v>167.67000000000002</v>
      </c>
      <c r="BD266" s="1">
        <v>62658.899999999994</v>
      </c>
      <c r="BE266" s="1">
        <v>3229.2</v>
      </c>
      <c r="BF266" s="1">
        <v>3.1049999999999995</v>
      </c>
      <c r="BG266" s="1">
        <v>5.4647999999999994</v>
      </c>
      <c r="BH266" s="1">
        <f t="shared" si="84"/>
        <v>20180</v>
      </c>
      <c r="BI266" s="1">
        <f t="shared" si="85"/>
        <v>35532.02333445142</v>
      </c>
    </row>
    <row r="267" spans="1:61" s="23" customFormat="1" x14ac:dyDescent="0.2">
      <c r="A267" s="23" t="s">
        <v>905</v>
      </c>
      <c r="B267" s="23" t="s">
        <v>38</v>
      </c>
      <c r="C267" s="23" t="s">
        <v>906</v>
      </c>
      <c r="D267" s="23" t="s">
        <v>907</v>
      </c>
      <c r="E267" s="23">
        <v>77966</v>
      </c>
      <c r="F267" s="23">
        <v>39866</v>
      </c>
      <c r="G267" s="23" t="s">
        <v>907</v>
      </c>
      <c r="H267" s="24">
        <v>271.89999999999998</v>
      </c>
      <c r="I267" s="24">
        <v>137.30000000000001</v>
      </c>
      <c r="J267" s="25">
        <v>2.411</v>
      </c>
      <c r="K267" s="25">
        <f t="shared" ca="1" si="78"/>
        <v>7.6198217826928191E-2</v>
      </c>
      <c r="L267" s="26">
        <v>0.20519999999999999</v>
      </c>
      <c r="M267" s="26">
        <f t="shared" ca="1" si="79"/>
        <v>5.2041152946490339E-3</v>
      </c>
      <c r="N267" s="26">
        <v>0.37907999999999997</v>
      </c>
      <c r="O267" s="26">
        <v>4.8732939999999996</v>
      </c>
      <c r="P267" s="26">
        <f t="shared" ca="1" si="80"/>
        <v>0.12359251536593345</v>
      </c>
      <c r="Q267" s="25">
        <v>8.5900000000000004E-2</v>
      </c>
      <c r="R267" s="25">
        <f t="shared" ca="1" si="81"/>
        <v>2.6365742925242974E-3</v>
      </c>
      <c r="S267" s="26">
        <f t="shared" si="82"/>
        <v>0.24287877005537895</v>
      </c>
      <c r="T267" s="25">
        <v>6.7900000000000002E-2</v>
      </c>
      <c r="U267" s="25">
        <f t="shared" ca="1" si="83"/>
        <v>2.0986100161773744E-3</v>
      </c>
      <c r="V267" s="24" t="e">
        <f ca="1">IF(agePb6U8(1/O267)&lt;1400,age7corr(1/O267,Q267,$W$2),agePb76(Q267))</f>
        <v>#NAME?</v>
      </c>
      <c r="W267" s="24" t="e">
        <f ca="1">IF(agePb6U8(1/O267)&lt;1400,ageer7corr(V267,1/O267,P267/O267*(1/O267),Q267,R267,$W$2,0.05),ageerPb76(Q267,R267))</f>
        <v>#NAME?</v>
      </c>
      <c r="X267" s="26" t="e">
        <f ca="1">agePb6U8(L267)/agePb7u5(J267)</f>
        <v>#NAME?</v>
      </c>
      <c r="Y267" s="24"/>
      <c r="Z267" s="24">
        <v>2.411</v>
      </c>
      <c r="AA267" s="24">
        <v>5.8999999999999997E-2</v>
      </c>
      <c r="AB267" s="24">
        <v>0.20519999999999999</v>
      </c>
      <c r="AC267" s="24">
        <v>3.2000000000000002E-3</v>
      </c>
      <c r="AD267" s="24">
        <v>0.37907999999999997</v>
      </c>
      <c r="AE267" s="24">
        <v>4.8732939999999996</v>
      </c>
      <c r="AF267" s="24">
        <v>7.5996789999999995E-2</v>
      </c>
      <c r="AG267" s="24">
        <v>8.5900000000000004E-2</v>
      </c>
      <c r="AH267" s="24">
        <v>2E-3</v>
      </c>
      <c r="AI267" s="24">
        <v>-5.5544000000000003E-2</v>
      </c>
      <c r="AJ267" s="24">
        <v>6.7900000000000002E-2</v>
      </c>
      <c r="AK267" s="24">
        <v>1.6000000000000001E-3</v>
      </c>
      <c r="AL267" s="24">
        <v>6.4</v>
      </c>
      <c r="AM267" s="24">
        <v>0.18</v>
      </c>
      <c r="AN267" s="24">
        <v>1245</v>
      </c>
      <c r="AO267" s="24">
        <v>18</v>
      </c>
      <c r="AP267" s="24">
        <v>1203</v>
      </c>
      <c r="AQ267" s="24">
        <v>17</v>
      </c>
      <c r="AR267" s="24">
        <v>1328</v>
      </c>
      <c r="AS267" s="24">
        <v>30</v>
      </c>
      <c r="AT267" s="24">
        <v>1334</v>
      </c>
      <c r="AU267" s="24">
        <v>43</v>
      </c>
      <c r="AV267" s="24">
        <v>58.4</v>
      </c>
      <c r="AW267" s="24">
        <v>0.80999999999999994</v>
      </c>
      <c r="AX267" s="24">
        <v>10.78</v>
      </c>
      <c r="AY267" s="24">
        <v>0.12999999999999998</v>
      </c>
      <c r="AZ267" s="24">
        <v>59243.399999999994</v>
      </c>
      <c r="BA267" s="24">
        <v>1987.2</v>
      </c>
      <c r="BB267" s="24">
        <v>39806.1</v>
      </c>
      <c r="BC267" s="24">
        <v>1117.8000000000002</v>
      </c>
      <c r="BD267" s="24">
        <v>468482.4</v>
      </c>
      <c r="BE267" s="24">
        <v>5402.7</v>
      </c>
      <c r="BF267" s="24">
        <v>155.25</v>
      </c>
      <c r="BG267" s="24">
        <v>62.1</v>
      </c>
      <c r="BH267" s="24">
        <f t="shared" si="84"/>
        <v>3017.6000000000004</v>
      </c>
      <c r="BI267" s="24">
        <f t="shared" si="85"/>
        <v>1207.5415527425964</v>
      </c>
    </row>
    <row r="268" spans="1:61" x14ac:dyDescent="0.2">
      <c r="A268" t="s">
        <v>908</v>
      </c>
      <c r="B268" t="s">
        <v>38</v>
      </c>
      <c r="C268" t="s">
        <v>909</v>
      </c>
      <c r="D268" t="s">
        <v>910</v>
      </c>
      <c r="E268">
        <v>77952</v>
      </c>
      <c r="F268">
        <v>39997</v>
      </c>
      <c r="G268" t="s">
        <v>910</v>
      </c>
      <c r="H268" s="1">
        <v>257.89999999999998</v>
      </c>
      <c r="I268" s="1">
        <v>151.1</v>
      </c>
      <c r="J268" s="10">
        <v>0.1676</v>
      </c>
      <c r="K268" s="10">
        <f t="shared" ca="1" si="78"/>
        <v>5.2958383661135281E-3</v>
      </c>
      <c r="L268" s="7">
        <v>2.4469999999999999E-2</v>
      </c>
      <c r="M268" s="7">
        <f t="shared" ca="1" si="79"/>
        <v>7.9775457378820469E-4</v>
      </c>
      <c r="N268" s="7">
        <v>0.88775999999999999</v>
      </c>
      <c r="O268" s="8">
        <v>40.866370000000003</v>
      </c>
      <c r="P268" s="8">
        <f t="shared" ca="1" si="80"/>
        <v>1.3322981835290328</v>
      </c>
      <c r="Q268" s="9">
        <v>4.9579999999999999E-2</v>
      </c>
      <c r="R268" s="9">
        <f t="shared" ca="1" si="81"/>
        <v>1.1801993729874626E-3</v>
      </c>
      <c r="S268" s="8">
        <f t="shared" si="82"/>
        <v>0.38852291921135607</v>
      </c>
      <c r="T268" s="11">
        <v>7.5599999999999999E-3</v>
      </c>
      <c r="U268" s="11">
        <f t="shared" ca="1" si="83"/>
        <v>2.428197685527272E-4</v>
      </c>
      <c r="V268" s="6" t="e">
        <f ca="1">IF(agePb6U8(1/O268)&lt;1400,age7corr(1/O268,Q268,$W$2),agePb76(Q268))</f>
        <v>#NAME?</v>
      </c>
      <c r="W268" s="6" t="e">
        <f ca="1">IF(agePb6U8(1/O268)&lt;1400,ageer7corr(V268,1/O268,P268/O268*(1/O268),Q268,R268,$W$2,0.05),ageerPb76(Q268,R268))</f>
        <v>#NAME?</v>
      </c>
      <c r="X268" s="4" t="e">
        <f ca="1">agePb6U8(L268)/agePb7u5(J268)</f>
        <v>#NAME?</v>
      </c>
      <c r="Z268" s="1">
        <v>0.1676</v>
      </c>
      <c r="AA268" s="1">
        <v>4.1000000000000003E-3</v>
      </c>
      <c r="AB268" s="1">
        <v>2.4469999999999999E-2</v>
      </c>
      <c r="AC268" s="1">
        <v>6.3000000000000003E-4</v>
      </c>
      <c r="AD268" s="1">
        <v>0.88775999999999999</v>
      </c>
      <c r="AE268" s="1">
        <v>40.866370000000003</v>
      </c>
      <c r="AF268" s="1">
        <v>1.052138</v>
      </c>
      <c r="AG268" s="1">
        <v>4.9579999999999999E-2</v>
      </c>
      <c r="AH268" s="1">
        <v>6.4000000000000005E-4</v>
      </c>
      <c r="AI268" s="1">
        <v>0.41025</v>
      </c>
      <c r="AJ268" s="1">
        <v>7.5599999999999999E-3</v>
      </c>
      <c r="AK268" s="1">
        <v>1.9000000000000001E-4</v>
      </c>
      <c r="AL268" s="1">
        <v>5.8440000000000003</v>
      </c>
      <c r="AM268" s="1">
        <v>5.0999999999999997E-2</v>
      </c>
      <c r="AN268" s="1">
        <v>157.30000000000001</v>
      </c>
      <c r="AO268" s="1">
        <v>3.6</v>
      </c>
      <c r="AP268" s="1">
        <v>155.80000000000001</v>
      </c>
      <c r="AQ268" s="1">
        <v>3.9</v>
      </c>
      <c r="AR268" s="1">
        <v>153</v>
      </c>
      <c r="AS268" s="1">
        <v>3.5</v>
      </c>
      <c r="AT268" s="1">
        <v>174</v>
      </c>
      <c r="AU268" s="1">
        <v>30</v>
      </c>
      <c r="AV268" s="1">
        <v>55.4</v>
      </c>
      <c r="AW268" s="1">
        <v>1.3</v>
      </c>
      <c r="AX268" s="1">
        <v>11.85</v>
      </c>
      <c r="AY268" s="1">
        <v>0.24000000000000002</v>
      </c>
      <c r="AZ268" s="1">
        <v>7346.43</v>
      </c>
      <c r="BA268" s="1">
        <v>186.3</v>
      </c>
      <c r="BB268" s="1">
        <v>2617.5149999999999</v>
      </c>
      <c r="BC268" s="1">
        <v>61.478999999999999</v>
      </c>
      <c r="BD268" s="1">
        <v>53095.5</v>
      </c>
      <c r="BE268" s="1">
        <v>993.6</v>
      </c>
      <c r="BF268" s="1">
        <v>31.05</v>
      </c>
      <c r="BG268" s="1">
        <v>7.4519999999999991</v>
      </c>
      <c r="BH268" s="1">
        <f t="shared" si="84"/>
        <v>1710</v>
      </c>
      <c r="BI268" s="1">
        <f t="shared" si="85"/>
        <v>411.64567287899428</v>
      </c>
    </row>
    <row r="269" spans="1:61" x14ac:dyDescent="0.2">
      <c r="A269" t="s">
        <v>917</v>
      </c>
      <c r="B269" t="s">
        <v>38</v>
      </c>
      <c r="C269" t="s">
        <v>918</v>
      </c>
      <c r="D269" t="s">
        <v>919</v>
      </c>
      <c r="E269">
        <v>77988</v>
      </c>
      <c r="F269">
        <v>40122</v>
      </c>
      <c r="G269" t="s">
        <v>919</v>
      </c>
      <c r="H269" s="1">
        <v>170.6</v>
      </c>
      <c r="I269" s="1">
        <v>155</v>
      </c>
      <c r="J269" s="10">
        <v>15</v>
      </c>
      <c r="K269" s="10">
        <f t="shared" ca="1" si="78"/>
        <v>0.46861498055439926</v>
      </c>
      <c r="L269" s="7">
        <v>0.53100000000000003</v>
      </c>
      <c r="M269" s="7">
        <f t="shared" ca="1" si="79"/>
        <v>1.6024493751753906E-2</v>
      </c>
      <c r="N269" s="7">
        <v>0.99046999999999996</v>
      </c>
      <c r="O269" s="8">
        <v>1.8832390000000001</v>
      </c>
      <c r="P269" s="8">
        <f t="shared" ca="1" si="80"/>
        <v>5.6832305451167471E-2</v>
      </c>
      <c r="Q269" s="9">
        <v>0.20443</v>
      </c>
      <c r="R269" s="9">
        <f t="shared" ca="1" si="81"/>
        <v>4.1178574477511972E-3</v>
      </c>
      <c r="S269" s="8">
        <f t="shared" si="82"/>
        <v>0.55157459685616306</v>
      </c>
      <c r="T269" s="11">
        <v>0.14860000000000001</v>
      </c>
      <c r="U269" s="11">
        <f t="shared" ca="1" si="83"/>
        <v>5.3096877497645764E-3</v>
      </c>
      <c r="V269" s="6" t="e">
        <f ca="1">IF(agePb6U8(1/O269)&lt;1400,age7corr(1/O269,Q269,$W$2),agePb76(Q269))</f>
        <v>#NAME?</v>
      </c>
      <c r="W269" s="6" t="e">
        <f ca="1">IF(agePb6U8(1/O269)&lt;1400,ageer7corr(V269,1/O269,P269/O269*(1/O269),Q269,R269,$W$2,0.05),ageerPb76(Q269,R269))</f>
        <v>#NAME?</v>
      </c>
      <c r="X269" s="4" t="e">
        <f ca="1">agePb6U8(L269)/agePb7u5(J269)</f>
        <v>#NAME?</v>
      </c>
      <c r="Z269" s="1">
        <v>15</v>
      </c>
      <c r="AA269" s="1">
        <v>0.36</v>
      </c>
      <c r="AB269" s="1">
        <v>0.53100000000000003</v>
      </c>
      <c r="AC269" s="1">
        <v>1.2E-2</v>
      </c>
      <c r="AD269" s="1">
        <v>0.99046999999999996</v>
      </c>
      <c r="AE269" s="1">
        <v>1.8832390000000001</v>
      </c>
      <c r="AF269" s="1">
        <v>4.2559079999999999E-2</v>
      </c>
      <c r="AG269" s="1">
        <v>0.20443</v>
      </c>
      <c r="AH269" s="1">
        <v>4.8999999999999998E-4</v>
      </c>
      <c r="AI269" s="1">
        <v>-5.3728999999999999E-2</v>
      </c>
      <c r="AJ269" s="1">
        <v>0.14860000000000001</v>
      </c>
      <c r="AK269" s="1">
        <v>4.4000000000000003E-3</v>
      </c>
      <c r="AL269" s="1">
        <v>4.22</v>
      </c>
      <c r="AM269" s="1">
        <v>0.1</v>
      </c>
      <c r="AN269" s="1">
        <v>2814</v>
      </c>
      <c r="AO269" s="1">
        <v>23</v>
      </c>
      <c r="AP269" s="1">
        <v>2745</v>
      </c>
      <c r="AQ269" s="1">
        <v>50</v>
      </c>
      <c r="AR269" s="1">
        <v>2799</v>
      </c>
      <c r="AS269" s="1">
        <v>78</v>
      </c>
      <c r="AT269" s="1">
        <v>2861.9</v>
      </c>
      <c r="AU269" s="1">
        <v>3.9</v>
      </c>
      <c r="AV269" s="1">
        <v>36.630000000000003</v>
      </c>
      <c r="AW269" s="1">
        <v>0.79</v>
      </c>
      <c r="AX269" s="1">
        <v>12.14</v>
      </c>
      <c r="AY269" s="1">
        <v>0.78</v>
      </c>
      <c r="AZ269" s="1">
        <v>145935</v>
      </c>
      <c r="BA269" s="1">
        <v>6831</v>
      </c>
      <c r="BB269" s="1">
        <v>154380.59999999998</v>
      </c>
      <c r="BC269" s="1">
        <v>3726.0000000000005</v>
      </c>
      <c r="BD269" s="1">
        <v>759483</v>
      </c>
      <c r="BE269" s="1">
        <v>19251</v>
      </c>
      <c r="BF269" s="1">
        <v>2.6703000000000001</v>
      </c>
      <c r="BG269" s="1">
        <v>4.968</v>
      </c>
      <c r="BH269" s="1">
        <f t="shared" si="84"/>
        <v>284418.60465116275</v>
      </c>
      <c r="BI269" s="1">
        <f t="shared" si="85"/>
        <v>529200.0008885992</v>
      </c>
    </row>
    <row r="270" spans="1:61" x14ac:dyDescent="0.2">
      <c r="A270" t="s">
        <v>920</v>
      </c>
      <c r="B270" t="s">
        <v>38</v>
      </c>
      <c r="C270" t="s">
        <v>921</v>
      </c>
      <c r="D270" t="s">
        <v>922</v>
      </c>
      <c r="E270">
        <v>77947</v>
      </c>
      <c r="F270">
        <v>40561</v>
      </c>
      <c r="G270" t="s">
        <v>922</v>
      </c>
      <c r="H270" s="1">
        <v>65</v>
      </c>
      <c r="I270" s="1">
        <v>23.82</v>
      </c>
      <c r="J270" s="10">
        <v>5.75</v>
      </c>
      <c r="K270" s="10">
        <f t="shared" ca="1" si="78"/>
        <v>0.15913830462839548</v>
      </c>
      <c r="L270" s="7">
        <v>0.34610000000000002</v>
      </c>
      <c r="M270" s="7">
        <f t="shared" ca="1" si="79"/>
        <v>9.427305235325735E-3</v>
      </c>
      <c r="N270" s="7">
        <v>0.97075</v>
      </c>
      <c r="O270" s="8">
        <v>2.889338</v>
      </c>
      <c r="P270" s="8">
        <f t="shared" ca="1" si="80"/>
        <v>7.8701743732642285E-2</v>
      </c>
      <c r="Q270" s="9">
        <v>0.12060999999999999</v>
      </c>
      <c r="R270" s="9">
        <f t="shared" ca="1" si="81"/>
        <v>2.4719038897173975E-3</v>
      </c>
      <c r="S270" s="8">
        <f t="shared" si="82"/>
        <v>0.42190235862016967</v>
      </c>
      <c r="T270" s="11">
        <v>0.10050000000000001</v>
      </c>
      <c r="U270" s="11">
        <f t="shared" ca="1" si="83"/>
        <v>2.9069055712217418E-3</v>
      </c>
      <c r="V270" s="6" t="e">
        <f ca="1">IF(agePb6U8(1/O270)&lt;1400,age7corr(1/O270,Q270,$W$2),agePb76(Q270))</f>
        <v>#NAME?</v>
      </c>
      <c r="W270" s="6" t="e">
        <f ca="1">IF(agePb6U8(1/O270)&lt;1400,ageer7corr(V270,1/O270,P270/O270*(1/O270),Q270,R270,$W$2,0.05),ageerPb76(Q270,R270))</f>
        <v>#NAME?</v>
      </c>
      <c r="X270" s="4" t="e">
        <f ca="1">agePb6U8(L270)/agePb7u5(J270)</f>
        <v>#NAME?</v>
      </c>
      <c r="Z270" s="1">
        <v>5.75</v>
      </c>
      <c r="AA270" s="1">
        <v>0.11</v>
      </c>
      <c r="AB270" s="1">
        <v>0.34610000000000002</v>
      </c>
      <c r="AC270" s="1">
        <v>6.4000000000000003E-3</v>
      </c>
      <c r="AD270" s="1">
        <v>0.97075</v>
      </c>
      <c r="AE270" s="1">
        <v>2.889338</v>
      </c>
      <c r="AF270" s="1">
        <v>5.3428969999999999E-2</v>
      </c>
      <c r="AG270" s="1">
        <v>0.12060999999999999</v>
      </c>
      <c r="AH270" s="1">
        <v>5.4000000000000001E-4</v>
      </c>
      <c r="AI270" s="1">
        <v>0.35560999999999998</v>
      </c>
      <c r="AJ270" s="1">
        <v>0.10050000000000001</v>
      </c>
      <c r="AK270" s="1">
        <v>2.0999999999999999E-3</v>
      </c>
      <c r="AL270" s="1">
        <v>9.9979999999999993</v>
      </c>
      <c r="AM270" s="1">
        <v>4.1000000000000002E-2</v>
      </c>
      <c r="AN270" s="1">
        <v>1938</v>
      </c>
      <c r="AO270" s="1">
        <v>16</v>
      </c>
      <c r="AP270" s="1">
        <v>1915</v>
      </c>
      <c r="AQ270" s="1">
        <v>31</v>
      </c>
      <c r="AR270" s="1">
        <v>1936</v>
      </c>
      <c r="AS270" s="1">
        <v>39</v>
      </c>
      <c r="AT270" s="1">
        <v>1965.2</v>
      </c>
      <c r="AU270" s="1">
        <v>8.1</v>
      </c>
      <c r="AV270" s="1">
        <v>13.96</v>
      </c>
      <c r="AW270" s="1">
        <v>0.24000000000000002</v>
      </c>
      <c r="AX270" s="1">
        <v>1.869</v>
      </c>
      <c r="AY270" s="1">
        <v>3.6000000000000004E-2</v>
      </c>
      <c r="AZ270" s="1">
        <v>15146.19</v>
      </c>
      <c r="BA270" s="1">
        <v>186.3</v>
      </c>
      <c r="BB270" s="1">
        <v>22610.61</v>
      </c>
      <c r="BC270" s="1">
        <v>260.82</v>
      </c>
      <c r="BD270" s="1">
        <v>187790.4</v>
      </c>
      <c r="BE270" s="1">
        <v>2297.6999999999998</v>
      </c>
      <c r="BF270" s="1">
        <v>6.0858000000000008</v>
      </c>
      <c r="BG270" s="1">
        <v>4.8437999999999999</v>
      </c>
      <c r="BH270" s="1">
        <f t="shared" si="84"/>
        <v>30857.142857142851</v>
      </c>
      <c r="BI270" s="1">
        <f t="shared" si="85"/>
        <v>24562.66859011136</v>
      </c>
    </row>
    <row r="271" spans="1:61" x14ac:dyDescent="0.2">
      <c r="A271" t="s">
        <v>923</v>
      </c>
      <c r="B271" t="s">
        <v>38</v>
      </c>
      <c r="C271" t="s">
        <v>924</v>
      </c>
      <c r="D271" t="s">
        <v>925</v>
      </c>
      <c r="E271">
        <v>78076</v>
      </c>
      <c r="F271">
        <v>40667</v>
      </c>
      <c r="G271" t="s">
        <v>925</v>
      </c>
      <c r="H271" s="1">
        <v>188</v>
      </c>
      <c r="I271" s="1">
        <v>65.599999999999994</v>
      </c>
      <c r="J271" s="10">
        <v>4.9400000000000004</v>
      </c>
      <c r="K271" s="10">
        <f t="shared" ca="1" si="78"/>
        <v>0.14785614630444011</v>
      </c>
      <c r="L271" s="7">
        <v>0.31230000000000002</v>
      </c>
      <c r="M271" s="7">
        <f t="shared" ca="1" si="79"/>
        <v>9.1598316578417553E-3</v>
      </c>
      <c r="N271" s="7">
        <v>0.99070000000000003</v>
      </c>
      <c r="O271" s="8">
        <v>3.2020490000000001</v>
      </c>
      <c r="P271" s="8">
        <f t="shared" ca="1" si="80"/>
        <v>9.3916845114017752E-2</v>
      </c>
      <c r="Q271" s="9">
        <v>0.11513</v>
      </c>
      <c r="R271" s="9">
        <f t="shared" ca="1" si="81"/>
        <v>2.3480985413734238E-3</v>
      </c>
      <c r="S271" s="8">
        <f t="shared" si="82"/>
        <v>0.52175170612497257</v>
      </c>
      <c r="T271" s="11">
        <v>9.5799999999999996E-2</v>
      </c>
      <c r="U271" s="11">
        <f t="shared" ca="1" si="83"/>
        <v>2.9173714196173242E-3</v>
      </c>
      <c r="V271" s="6" t="e">
        <f ca="1">IF(agePb6U8(1/O271)&lt;1400,age7corr(1/O271,Q271,$W$2),agePb76(Q271))</f>
        <v>#NAME?</v>
      </c>
      <c r="W271" s="6" t="e">
        <f ca="1">IF(agePb6U8(1/O271)&lt;1400,ageer7corr(V271,1/O271,P271/O271*(1/O271),Q271,R271,$W$2,0.05),ageerPb76(Q271,R271))</f>
        <v>#NAME?</v>
      </c>
      <c r="X271" s="4" t="e">
        <f ca="1">agePb6U8(L271)/agePb7u5(J271)</f>
        <v>#NAME?</v>
      </c>
      <c r="Z271" s="1">
        <v>4.9400000000000004</v>
      </c>
      <c r="AA271" s="1">
        <v>0.11</v>
      </c>
      <c r="AB271" s="1">
        <v>0.31230000000000002</v>
      </c>
      <c r="AC271" s="1">
        <v>6.7000000000000002E-3</v>
      </c>
      <c r="AD271" s="1">
        <v>0.99070000000000003</v>
      </c>
      <c r="AE271" s="1">
        <v>3.2020490000000001</v>
      </c>
      <c r="AF271" s="1">
        <v>6.8695900000000004E-2</v>
      </c>
      <c r="AG271" s="1">
        <v>0.11513</v>
      </c>
      <c r="AH271" s="1">
        <v>4.6000000000000001E-4</v>
      </c>
      <c r="AI271" s="1">
        <v>-5.2433E-2</v>
      </c>
      <c r="AJ271" s="1">
        <v>9.5799999999999996E-2</v>
      </c>
      <c r="AK271" s="1">
        <v>2.2000000000000001E-3</v>
      </c>
      <c r="AL271" s="1">
        <v>10.089</v>
      </c>
      <c r="AM271" s="1">
        <v>0.03</v>
      </c>
      <c r="AN271" s="1">
        <v>1809</v>
      </c>
      <c r="AO271" s="1">
        <v>18</v>
      </c>
      <c r="AP271" s="1">
        <v>1751</v>
      </c>
      <c r="AQ271" s="1">
        <v>33</v>
      </c>
      <c r="AR271" s="1">
        <v>1848</v>
      </c>
      <c r="AS271" s="1">
        <v>40</v>
      </c>
      <c r="AT271" s="1">
        <v>1881.8</v>
      </c>
      <c r="AU271" s="1">
        <v>7.2</v>
      </c>
      <c r="AV271" s="1">
        <v>40.349999999999994</v>
      </c>
      <c r="AW271" s="1">
        <v>0.44</v>
      </c>
      <c r="AX271" s="1">
        <v>5.1450000000000005</v>
      </c>
      <c r="AY271" s="1">
        <v>9.4E-2</v>
      </c>
      <c r="AZ271" s="1">
        <v>39744</v>
      </c>
      <c r="BA271" s="1">
        <v>478.17000000000007</v>
      </c>
      <c r="BB271" s="1">
        <v>56573.1</v>
      </c>
      <c r="BC271" s="1">
        <v>683.09999999999991</v>
      </c>
      <c r="BD271" s="1">
        <v>496737.89999999991</v>
      </c>
      <c r="BE271" s="1">
        <v>5961.6</v>
      </c>
      <c r="BF271" s="1">
        <v>8.6940000000000008</v>
      </c>
      <c r="BG271" s="1">
        <v>6.8310000000000004</v>
      </c>
      <c r="BH271" s="1">
        <f t="shared" si="84"/>
        <v>57135.714285714268</v>
      </c>
      <c r="BI271" s="1">
        <f t="shared" si="85"/>
        <v>44897.58365160667</v>
      </c>
    </row>
    <row r="272" spans="1:61" x14ac:dyDescent="0.2">
      <c r="A272" t="s">
        <v>926</v>
      </c>
      <c r="B272" t="s">
        <v>38</v>
      </c>
      <c r="C272" t="s">
        <v>927</v>
      </c>
      <c r="D272" t="s">
        <v>928</v>
      </c>
      <c r="E272">
        <v>78013</v>
      </c>
      <c r="F272">
        <v>40788</v>
      </c>
      <c r="G272" t="s">
        <v>928</v>
      </c>
      <c r="H272" s="1">
        <v>329</v>
      </c>
      <c r="I272" s="1">
        <v>107.8</v>
      </c>
      <c r="J272" s="10">
        <v>3.302</v>
      </c>
      <c r="K272" s="10">
        <f t="shared" ca="1" si="78"/>
        <v>0.10220216044683204</v>
      </c>
      <c r="L272" s="7">
        <v>0.25240000000000001</v>
      </c>
      <c r="M272" s="7">
        <f t="shared" ca="1" si="79"/>
        <v>7.5393835291753123E-3</v>
      </c>
      <c r="N272" s="7">
        <v>0.99143999999999999</v>
      </c>
      <c r="O272" s="8">
        <v>3.9619650000000002</v>
      </c>
      <c r="P272" s="8">
        <f t="shared" ca="1" si="80"/>
        <v>0.11834696655863049</v>
      </c>
      <c r="Q272" s="9">
        <v>9.5100000000000004E-2</v>
      </c>
      <c r="R272" s="9">
        <f t="shared" ca="1" si="81"/>
        <v>1.9196885164005125E-3</v>
      </c>
      <c r="S272" s="8">
        <f t="shared" si="82"/>
        <v>0.41115247859579501</v>
      </c>
      <c r="T272" s="11">
        <v>7.6200000000000004E-2</v>
      </c>
      <c r="U272" s="11">
        <f t="shared" ca="1" si="83"/>
        <v>2.1383582487506628E-3</v>
      </c>
      <c r="V272" s="6" t="e">
        <f ca="1">IF(agePb6U8(1/O272)&lt;1400,age7corr(1/O272,Q272,$W$2),agePb76(Q272))</f>
        <v>#NAME?</v>
      </c>
      <c r="W272" s="6" t="e">
        <f ca="1">IF(agePb6U8(1/O272)&lt;1400,ageer7corr(V272,1/O272,P272/O272*(1/O272),Q272,R272,$W$2,0.05),ageerPb76(Q272,R272))</f>
        <v>#NAME?</v>
      </c>
      <c r="X272" s="4" t="e">
        <f ca="1">agePb6U8(L272)/agePb7u5(J272)</f>
        <v>#NAME?</v>
      </c>
      <c r="Z272" s="1">
        <v>3.302</v>
      </c>
      <c r="AA272" s="1">
        <v>7.8E-2</v>
      </c>
      <c r="AB272" s="1">
        <v>0.25240000000000001</v>
      </c>
      <c r="AC272" s="1">
        <v>5.5999999999999999E-3</v>
      </c>
      <c r="AD272" s="1">
        <v>0.99143999999999999</v>
      </c>
      <c r="AE272" s="1">
        <v>3.9619650000000002</v>
      </c>
      <c r="AF272" s="1">
        <v>8.7904140000000006E-2</v>
      </c>
      <c r="AG272" s="1">
        <v>9.5100000000000004E-2</v>
      </c>
      <c r="AH272" s="1">
        <v>2.5999999999999998E-4</v>
      </c>
      <c r="AI272" s="1">
        <v>-0.33106000000000002</v>
      </c>
      <c r="AJ272" s="1">
        <v>7.6200000000000004E-2</v>
      </c>
      <c r="AK272" s="1">
        <v>1.5E-3</v>
      </c>
      <c r="AL272" s="1">
        <v>10.762</v>
      </c>
      <c r="AM272" s="1">
        <v>8.6999999999999994E-2</v>
      </c>
      <c r="AN272" s="1">
        <v>1481</v>
      </c>
      <c r="AO272" s="1">
        <v>18</v>
      </c>
      <c r="AP272" s="1">
        <v>1450</v>
      </c>
      <c r="AQ272" s="1">
        <v>29</v>
      </c>
      <c r="AR272" s="1">
        <v>1483</v>
      </c>
      <c r="AS272" s="1">
        <v>28</v>
      </c>
      <c r="AT272" s="1">
        <v>1530.1</v>
      </c>
      <c r="AU272" s="1">
        <v>5.2</v>
      </c>
      <c r="AV272" s="1">
        <v>70.5</v>
      </c>
      <c r="AW272" s="1">
        <v>2.6</v>
      </c>
      <c r="AX272" s="1">
        <v>8.4600000000000009</v>
      </c>
      <c r="AY272" s="1">
        <v>0.1</v>
      </c>
      <c r="AZ272" s="1">
        <v>52039.799999999996</v>
      </c>
      <c r="BA272" s="1">
        <v>1304.0999999999999</v>
      </c>
      <c r="BB272" s="1">
        <v>65515.499999999993</v>
      </c>
      <c r="BC272" s="1">
        <v>1925.1</v>
      </c>
      <c r="BD272" s="1">
        <v>696141</v>
      </c>
      <c r="BE272" s="1">
        <v>19251</v>
      </c>
      <c r="BF272" s="1">
        <v>1.1178000000000001</v>
      </c>
      <c r="BG272" s="1">
        <v>5.0301</v>
      </c>
      <c r="BH272" s="1">
        <f t="shared" si="84"/>
        <v>622777.77777777775</v>
      </c>
      <c r="BI272" s="1">
        <f t="shared" si="85"/>
        <v>2802552.9174198061</v>
      </c>
    </row>
    <row r="273" spans="1:61" s="23" customFormat="1" x14ac:dyDescent="0.2">
      <c r="A273" s="23" t="s">
        <v>929</v>
      </c>
      <c r="B273" s="23" t="s">
        <v>38</v>
      </c>
      <c r="C273" s="23" t="s">
        <v>930</v>
      </c>
      <c r="D273" s="23" t="s">
        <v>931</v>
      </c>
      <c r="E273" s="23">
        <v>78021</v>
      </c>
      <c r="F273" s="23">
        <v>40957</v>
      </c>
      <c r="G273" s="23" t="s">
        <v>931</v>
      </c>
      <c r="H273" s="24">
        <v>93</v>
      </c>
      <c r="I273" s="24">
        <v>25.4</v>
      </c>
      <c r="J273" s="25">
        <v>2.23</v>
      </c>
      <c r="K273" s="25">
        <f t="shared" ca="1" si="78"/>
        <v>0.10949502271792999</v>
      </c>
      <c r="L273" s="26">
        <v>0.18870000000000001</v>
      </c>
      <c r="M273" s="26">
        <f t="shared" ca="1" si="79"/>
        <v>6.4251907364684512E-3</v>
      </c>
      <c r="N273" s="26">
        <v>0.41692000000000001</v>
      </c>
      <c r="O273" s="26">
        <v>5.299417</v>
      </c>
      <c r="P273" s="26">
        <f t="shared" ca="1" si="80"/>
        <v>0.18044393119405705</v>
      </c>
      <c r="Q273" s="25">
        <v>8.5599999999999996E-2</v>
      </c>
      <c r="R273" s="25">
        <f t="shared" ca="1" si="81"/>
        <v>3.8066972561526346E-3</v>
      </c>
      <c r="S273" s="26">
        <f t="shared" si="82"/>
        <v>0.28248104681140174</v>
      </c>
      <c r="T273" s="25">
        <v>7.2300000000000003E-2</v>
      </c>
      <c r="U273" s="25">
        <f t="shared" ca="1" si="83"/>
        <v>4.5366194462396776E-3</v>
      </c>
      <c r="V273" s="24" t="e">
        <f ca="1">IF(agePb6U8(1/O273)&lt;1400,age7corr(1/O273,Q273,$W$2),agePb76(Q273))</f>
        <v>#NAME?</v>
      </c>
      <c r="W273" s="24" t="e">
        <f ca="1">IF(agePb6U8(1/O273)&lt;1400,ageer7corr(V273,1/O273,P273/O273*(1/O273),Q273,R273,$W$2,0.05),ageerPb76(Q273,R273))</f>
        <v>#NAME?</v>
      </c>
      <c r="X273" s="26" t="e">
        <f ca="1">agePb6U8(L273)/agePb7u5(J273)</f>
        <v>#NAME?</v>
      </c>
      <c r="Y273" s="24"/>
      <c r="Z273" s="24">
        <v>2.23</v>
      </c>
      <c r="AA273" s="24">
        <v>0.1</v>
      </c>
      <c r="AB273" s="24">
        <v>0.18870000000000001</v>
      </c>
      <c r="AC273" s="24">
        <v>5.1999999999999998E-3</v>
      </c>
      <c r="AD273" s="24">
        <v>0.41692000000000001</v>
      </c>
      <c r="AE273" s="24">
        <v>5.299417</v>
      </c>
      <c r="AF273" s="24">
        <v>0.1460359</v>
      </c>
      <c r="AG273" s="24">
        <v>8.5599999999999996E-2</v>
      </c>
      <c r="AH273" s="24">
        <v>3.3999999999999998E-3</v>
      </c>
      <c r="AI273" s="24">
        <v>8.5036E-2</v>
      </c>
      <c r="AJ273" s="24">
        <v>7.2300000000000003E-2</v>
      </c>
      <c r="AK273" s="24">
        <v>4.3E-3</v>
      </c>
      <c r="AL273" s="24">
        <v>10.34</v>
      </c>
      <c r="AM273" s="24">
        <v>0.51</v>
      </c>
      <c r="AN273" s="24">
        <v>1189</v>
      </c>
      <c r="AO273" s="24">
        <v>32</v>
      </c>
      <c r="AP273" s="24">
        <v>1114</v>
      </c>
      <c r="AQ273" s="24">
        <v>28</v>
      </c>
      <c r="AR273" s="24">
        <v>1411</v>
      </c>
      <c r="AS273" s="24">
        <v>80</v>
      </c>
      <c r="AT273" s="24">
        <v>1320</v>
      </c>
      <c r="AU273" s="24">
        <v>73</v>
      </c>
      <c r="AV273" s="24">
        <v>19.900000000000002</v>
      </c>
      <c r="AW273" s="24">
        <v>1.1000000000000001</v>
      </c>
      <c r="AX273" s="24">
        <v>1.9910000000000001</v>
      </c>
      <c r="AY273" s="24">
        <v>0.08</v>
      </c>
      <c r="AZ273" s="24">
        <v>11985.300000000001</v>
      </c>
      <c r="BA273" s="24">
        <v>1304.0999999999999</v>
      </c>
      <c r="BB273" s="24">
        <v>12482.1</v>
      </c>
      <c r="BC273" s="24">
        <v>993.6</v>
      </c>
      <c r="BD273" s="24">
        <v>147798.00000000003</v>
      </c>
      <c r="BE273" s="24">
        <v>6210</v>
      </c>
      <c r="BF273" s="24">
        <v>77.004000000000005</v>
      </c>
      <c r="BG273" s="24">
        <v>42.227999999999994</v>
      </c>
      <c r="BH273" s="24">
        <f t="shared" si="84"/>
        <v>1919.3548387096778</v>
      </c>
      <c r="BI273" s="24">
        <f t="shared" si="85"/>
        <v>1055.6343778733176</v>
      </c>
    </row>
    <row r="274" spans="1:61" x14ac:dyDescent="0.2">
      <c r="A274" t="s">
        <v>932</v>
      </c>
      <c r="B274" t="s">
        <v>38</v>
      </c>
      <c r="C274" t="s">
        <v>933</v>
      </c>
      <c r="D274" t="s">
        <v>934</v>
      </c>
      <c r="E274">
        <v>77991</v>
      </c>
      <c r="F274">
        <v>41236</v>
      </c>
      <c r="G274" t="s">
        <v>934</v>
      </c>
      <c r="H274" s="1">
        <v>350.9</v>
      </c>
      <c r="I274" s="1">
        <v>71.900000000000006</v>
      </c>
      <c r="J274" s="10">
        <v>0.625</v>
      </c>
      <c r="K274" s="10">
        <f t="shared" ca="1" si="78"/>
        <v>2.4438698819699876E-2</v>
      </c>
      <c r="L274" s="7">
        <v>7.8700000000000006E-2</v>
      </c>
      <c r="M274" s="7">
        <f t="shared" ca="1" si="79"/>
        <v>2.9542301873753847E-3</v>
      </c>
      <c r="N274" s="7">
        <v>0.98045000000000004</v>
      </c>
      <c r="O274" s="8">
        <v>12.706480000000001</v>
      </c>
      <c r="P274" s="8">
        <f t="shared" ca="1" si="80"/>
        <v>0.47697416958963301</v>
      </c>
      <c r="Q274" s="9">
        <v>5.7840000000000003E-2</v>
      </c>
      <c r="R274" s="9">
        <f t="shared" ca="1" si="81"/>
        <v>1.2029489764740649E-3</v>
      </c>
      <c r="S274" s="8">
        <f t="shared" si="82"/>
        <v>0.5598449524603083</v>
      </c>
      <c r="T274" s="11">
        <v>2.5399999999999999E-2</v>
      </c>
      <c r="U274" s="11">
        <f t="shared" ca="1" si="83"/>
        <v>8.5683370615306689E-4</v>
      </c>
      <c r="V274" s="6" t="e">
        <f ca="1">IF(agePb6U8(1/O274)&lt;1400,age7corr(1/O274,Q274,$W$2),agePb76(Q274))</f>
        <v>#NAME?</v>
      </c>
      <c r="W274" s="6" t="e">
        <f ca="1">IF(agePb6U8(1/O274)&lt;1400,ageer7corr(V274,1/O274,P274/O274*(1/O274),Q274,R274,$W$2,0.05),ageerPb76(Q274,R274))</f>
        <v>#NAME?</v>
      </c>
      <c r="X274" s="4" t="e">
        <f ca="1">agePb6U8(L274)/agePb7u5(J274)</f>
        <v>#NAME?</v>
      </c>
      <c r="Z274" s="1">
        <v>0.625</v>
      </c>
      <c r="AA274" s="1">
        <v>2.1000000000000001E-2</v>
      </c>
      <c r="AB274" s="1">
        <v>7.8700000000000006E-2</v>
      </c>
      <c r="AC274" s="1">
        <v>2.5000000000000001E-3</v>
      </c>
      <c r="AD274" s="1">
        <v>0.98045000000000004</v>
      </c>
      <c r="AE274" s="1">
        <v>12.706480000000001</v>
      </c>
      <c r="AF274" s="1">
        <v>0.40363660000000001</v>
      </c>
      <c r="AG274" s="1">
        <v>5.7840000000000003E-2</v>
      </c>
      <c r="AH274" s="1">
        <v>3.3E-4</v>
      </c>
      <c r="AI274" s="1">
        <v>-6.7567000000000002E-2</v>
      </c>
      <c r="AJ274" s="1">
        <v>2.5399999999999999E-2</v>
      </c>
      <c r="AK274" s="1">
        <v>6.8999999999999997E-4</v>
      </c>
      <c r="AL274" s="1">
        <v>16.2</v>
      </c>
      <c r="AM274" s="1">
        <v>0.15</v>
      </c>
      <c r="AN274" s="1">
        <v>493</v>
      </c>
      <c r="AO274" s="1">
        <v>13</v>
      </c>
      <c r="AP274" s="1">
        <v>488</v>
      </c>
      <c r="AQ274" s="1">
        <v>15</v>
      </c>
      <c r="AR274" s="1">
        <v>507</v>
      </c>
      <c r="AS274" s="1">
        <v>14</v>
      </c>
      <c r="AT274" s="1">
        <v>524</v>
      </c>
      <c r="AU274" s="1">
        <v>12</v>
      </c>
      <c r="AV274" s="1">
        <v>75.300000000000011</v>
      </c>
      <c r="AW274" s="1">
        <v>1.4</v>
      </c>
      <c r="AX274" s="1">
        <v>5.64</v>
      </c>
      <c r="AY274" s="1">
        <v>0.24000000000000002</v>
      </c>
      <c r="AZ274" s="1">
        <v>11724.48</v>
      </c>
      <c r="BA274" s="1">
        <v>335.34000000000003</v>
      </c>
      <c r="BB274" s="1">
        <v>13401.18</v>
      </c>
      <c r="BC274" s="1">
        <v>285.65999999999997</v>
      </c>
      <c r="BD274" s="1">
        <v>234489.59999999998</v>
      </c>
      <c r="BE274" s="1">
        <v>5278.5</v>
      </c>
      <c r="BF274" s="1">
        <v>6.5205000000000002</v>
      </c>
      <c r="BG274" s="1">
        <v>5.0922000000000001</v>
      </c>
      <c r="BH274" s="1">
        <f t="shared" si="84"/>
        <v>35961.904761904756</v>
      </c>
      <c r="BI274" s="1">
        <f t="shared" si="85"/>
        <v>28096.199800743492</v>
      </c>
    </row>
    <row r="275" spans="1:61" s="23" customFormat="1" x14ac:dyDescent="0.2">
      <c r="A275" s="23" t="s">
        <v>935</v>
      </c>
      <c r="B275" s="23" t="s">
        <v>38</v>
      </c>
      <c r="C275" s="23" t="s">
        <v>936</v>
      </c>
      <c r="D275" s="23" t="s">
        <v>937</v>
      </c>
      <c r="E275" s="23">
        <v>78025</v>
      </c>
      <c r="F275" s="23">
        <v>41409</v>
      </c>
      <c r="G275" s="23" t="s">
        <v>937</v>
      </c>
      <c r="H275" s="24">
        <v>100.6</v>
      </c>
      <c r="I275" s="24">
        <v>56.3</v>
      </c>
      <c r="J275" s="25">
        <v>4.29</v>
      </c>
      <c r="K275" s="25">
        <f t="shared" ca="1" si="78"/>
        <v>0.15576148432780165</v>
      </c>
      <c r="L275" s="26">
        <v>0.29499999999999998</v>
      </c>
      <c r="M275" s="26">
        <f t="shared" ca="1" si="79"/>
        <v>9.4641428560646741E-3</v>
      </c>
      <c r="N275" s="26">
        <v>0.60575999999999997</v>
      </c>
      <c r="O275" s="26">
        <v>3.389831</v>
      </c>
      <c r="P275" s="26">
        <f t="shared" ca="1" si="80"/>
        <v>0.10875200952196701</v>
      </c>
      <c r="Q275" s="25">
        <v>0.1072</v>
      </c>
      <c r="R275" s="25">
        <f t="shared" ca="1" si="81"/>
        <v>2.6166268362149006E-3</v>
      </c>
      <c r="S275" s="26">
        <f t="shared" si="82"/>
        <v>0.29338948062484138</v>
      </c>
      <c r="T275" s="25">
        <v>8.9300000000000004E-2</v>
      </c>
      <c r="U275" s="25">
        <f t="shared" ca="1" si="83"/>
        <v>4.6561567843018343E-3</v>
      </c>
      <c r="V275" s="24" t="e">
        <f ca="1">IF(agePb6U8(1/O275)&lt;1400,age7corr(1/O275,Q275,$W$2),agePb76(Q275))</f>
        <v>#NAME?</v>
      </c>
      <c r="W275" s="24" t="e">
        <f ca="1">IF(agePb6U8(1/O275)&lt;1400,ageer7corr(V275,1/O275,P275/O275*(1/O275),Q275,R275,$W$2,0.05),ageerPb76(Q275,R275))</f>
        <v>#NAME?</v>
      </c>
      <c r="X275" s="26" t="e">
        <f ca="1">agePb6U8(L275)/agePb7u5(J275)</f>
        <v>#NAME?</v>
      </c>
      <c r="Y275" s="24"/>
      <c r="Z275" s="24">
        <v>4.29</v>
      </c>
      <c r="AA275" s="24">
        <v>0.13</v>
      </c>
      <c r="AB275" s="24">
        <v>0.29499999999999998</v>
      </c>
      <c r="AC275" s="24">
        <v>7.4000000000000003E-3</v>
      </c>
      <c r="AD275" s="24">
        <v>0.60575999999999997</v>
      </c>
      <c r="AE275" s="24">
        <v>3.389831</v>
      </c>
      <c r="AF275" s="24">
        <v>8.5033040000000004E-2</v>
      </c>
      <c r="AG275" s="24">
        <v>0.1072</v>
      </c>
      <c r="AH275" s="24">
        <v>1.5E-3</v>
      </c>
      <c r="AI275" s="24">
        <v>-1.6482E-2</v>
      </c>
      <c r="AJ275" s="24">
        <v>8.9300000000000004E-2</v>
      </c>
      <c r="AK275" s="24">
        <v>4.3E-3</v>
      </c>
      <c r="AL275" s="24">
        <v>6.2</v>
      </c>
      <c r="AM275" s="24">
        <v>0.14000000000000001</v>
      </c>
      <c r="AN275" s="24">
        <v>1689</v>
      </c>
      <c r="AO275" s="24">
        <v>26</v>
      </c>
      <c r="AP275" s="24">
        <v>1666</v>
      </c>
      <c r="AQ275" s="24">
        <v>37</v>
      </c>
      <c r="AR275" s="24">
        <v>1728</v>
      </c>
      <c r="AS275" s="24">
        <v>80</v>
      </c>
      <c r="AT275" s="24">
        <v>1751</v>
      </c>
      <c r="AU275" s="24">
        <v>26</v>
      </c>
      <c r="AV275" s="24">
        <v>21.58</v>
      </c>
      <c r="AW275" s="24">
        <v>0.65</v>
      </c>
      <c r="AX275" s="24">
        <v>4.42</v>
      </c>
      <c r="AY275" s="24">
        <v>0.16</v>
      </c>
      <c r="AZ275" s="24">
        <v>32229.9</v>
      </c>
      <c r="BA275" s="24">
        <v>1366.1999999999998</v>
      </c>
      <c r="BB275" s="24">
        <v>26144.1</v>
      </c>
      <c r="BC275" s="24">
        <v>807.3</v>
      </c>
      <c r="BD275" s="24">
        <v>246474.90000000002</v>
      </c>
      <c r="BE275" s="24">
        <v>4843.8</v>
      </c>
      <c r="BF275" s="24">
        <v>53.405999999999999</v>
      </c>
      <c r="BG275" s="24">
        <v>42.227999999999994</v>
      </c>
      <c r="BH275" s="24">
        <f t="shared" si="84"/>
        <v>4615.1162790697681</v>
      </c>
      <c r="BI275" s="24">
        <f t="shared" si="85"/>
        <v>3650.2886525327867</v>
      </c>
    </row>
    <row r="276" spans="1:61" x14ac:dyDescent="0.2">
      <c r="A276" t="s">
        <v>938</v>
      </c>
      <c r="B276" t="s">
        <v>38</v>
      </c>
      <c r="C276" t="s">
        <v>939</v>
      </c>
      <c r="D276" t="s">
        <v>940</v>
      </c>
      <c r="E276">
        <v>77918</v>
      </c>
      <c r="F276">
        <v>41608</v>
      </c>
      <c r="G276" t="s">
        <v>940</v>
      </c>
      <c r="H276" s="1">
        <v>184</v>
      </c>
      <c r="I276" s="1">
        <v>73</v>
      </c>
      <c r="J276" s="10">
        <v>0.186</v>
      </c>
      <c r="K276" s="10">
        <f t="shared" ca="1" si="78"/>
        <v>1.5454397432446209E-2</v>
      </c>
      <c r="L276" s="7">
        <v>2.6800000000000001E-2</v>
      </c>
      <c r="M276" s="7">
        <f t="shared" ca="1" si="79"/>
        <v>2.1673246180487129E-3</v>
      </c>
      <c r="N276" s="7">
        <v>0.97570999999999997</v>
      </c>
      <c r="O276" s="8">
        <v>37.313429999999997</v>
      </c>
      <c r="P276" s="8">
        <f t="shared" ca="1" si="80"/>
        <v>3.0175495240247447</v>
      </c>
      <c r="Q276" s="9">
        <v>5.0450000000000002E-2</v>
      </c>
      <c r="R276" s="9">
        <f t="shared" ca="1" si="81"/>
        <v>1.2002420589197831E-3</v>
      </c>
      <c r="S276" s="8">
        <f t="shared" si="82"/>
        <v>0.57098562723489199</v>
      </c>
      <c r="T276" s="11">
        <v>8.5800000000000008E-3</v>
      </c>
      <c r="U276" s="11">
        <f t="shared" ca="1" si="83"/>
        <v>7.4989769968976437E-4</v>
      </c>
      <c r="V276" s="6" t="e">
        <f ca="1">IF(agePb6U8(1/O276)&lt;1400,age7corr(1/O276,Q276,$W$2),agePb76(Q276))</f>
        <v>#NAME?</v>
      </c>
      <c r="W276" s="6" t="e">
        <f ca="1">IF(agePb6U8(1/O276)&lt;1400,ageer7corr(V276,1/O276,P276/O276*(1/O276),Q276,R276,$W$2,0.05),ageerPb76(Q276,R276))</f>
        <v>#NAME?</v>
      </c>
      <c r="X276" s="4" t="e">
        <f ca="1">agePb6U8(L276)/agePb7u5(J276)</f>
        <v>#NAME?</v>
      </c>
      <c r="Z276" s="1">
        <v>0.186</v>
      </c>
      <c r="AA276" s="1">
        <v>1.4999999999999999E-2</v>
      </c>
      <c r="AB276" s="1">
        <v>2.6800000000000001E-2</v>
      </c>
      <c r="AC276" s="1">
        <v>2.0999999999999999E-3</v>
      </c>
      <c r="AD276" s="1">
        <v>0.97570999999999997</v>
      </c>
      <c r="AE276" s="1">
        <v>37.313429999999997</v>
      </c>
      <c r="AF276" s="1">
        <v>2.9238140000000001</v>
      </c>
      <c r="AG276" s="1">
        <v>5.0450000000000002E-2</v>
      </c>
      <c r="AH276" s="1">
        <v>6.4999999999999997E-4</v>
      </c>
      <c r="AI276" s="1">
        <v>0.22178999999999999</v>
      </c>
      <c r="AJ276" s="1">
        <v>8.5800000000000008E-3</v>
      </c>
      <c r="AK276" s="1">
        <v>7.2999999999999996E-4</v>
      </c>
      <c r="AL276" s="1">
        <v>8.32</v>
      </c>
      <c r="AM276" s="1">
        <v>0.27</v>
      </c>
      <c r="AN276" s="1">
        <v>173</v>
      </c>
      <c r="AO276" s="1">
        <v>12</v>
      </c>
      <c r="AP276" s="1">
        <v>171</v>
      </c>
      <c r="AQ276" s="1">
        <v>13</v>
      </c>
      <c r="AR276" s="1">
        <v>173</v>
      </c>
      <c r="AS276" s="1">
        <v>15</v>
      </c>
      <c r="AT276" s="1">
        <v>214</v>
      </c>
      <c r="AU276" s="1">
        <v>30</v>
      </c>
      <c r="AV276" s="1">
        <v>39.5</v>
      </c>
      <c r="AW276" s="1">
        <v>6.6</v>
      </c>
      <c r="AX276" s="1">
        <v>5.7</v>
      </c>
      <c r="AY276" s="1">
        <v>1.3</v>
      </c>
      <c r="AZ276" s="1">
        <v>4719.5999999999995</v>
      </c>
      <c r="BA276" s="1">
        <v>1179.8999999999999</v>
      </c>
      <c r="BB276" s="1">
        <v>2341.17</v>
      </c>
      <c r="BC276" s="1">
        <v>515.42999999999995</v>
      </c>
      <c r="BD276" s="1">
        <v>47196</v>
      </c>
      <c r="BE276" s="1">
        <v>10557</v>
      </c>
      <c r="BF276" s="1">
        <v>-4.9680000000000002E-2</v>
      </c>
      <c r="BG276" s="1">
        <v>5.2784999999999993</v>
      </c>
      <c r="BH276" s="1">
        <f t="shared" si="84"/>
        <v>-950000</v>
      </c>
      <c r="BI276" s="1">
        <f t="shared" si="85"/>
        <v>-100937723.68396266</v>
      </c>
    </row>
    <row r="277" spans="1:61" x14ac:dyDescent="0.2">
      <c r="A277" t="s">
        <v>782</v>
      </c>
      <c r="B277" t="s">
        <v>38</v>
      </c>
      <c r="C277" t="s">
        <v>783</v>
      </c>
      <c r="D277" t="s">
        <v>784</v>
      </c>
      <c r="E277">
        <v>78708</v>
      </c>
      <c r="F277">
        <v>41263</v>
      </c>
      <c r="G277" t="s">
        <v>784</v>
      </c>
      <c r="H277" s="1">
        <v>110.5</v>
      </c>
      <c r="I277" s="1">
        <v>64.27</v>
      </c>
      <c r="J277" s="10">
        <v>4.3550000000000004</v>
      </c>
      <c r="K277" s="10">
        <f t="shared" ca="1" si="78"/>
        <v>0.11494089785624612</v>
      </c>
      <c r="L277" s="7">
        <v>0.29680000000000001</v>
      </c>
      <c r="M277" s="7">
        <f t="shared" ca="1" si="79"/>
        <v>7.8259884998637726E-3</v>
      </c>
      <c r="N277" s="7">
        <v>0.98160000000000003</v>
      </c>
      <c r="O277" s="8">
        <v>3.369272</v>
      </c>
      <c r="P277" s="8">
        <f t="shared" ca="1" si="80"/>
        <v>8.8840584145006604E-2</v>
      </c>
      <c r="Q277" s="9">
        <v>0.10661</v>
      </c>
      <c r="R277" s="9">
        <f t="shared" ca="1" si="81"/>
        <v>2.1946928805643856E-3</v>
      </c>
      <c r="S277" s="8">
        <f t="shared" si="82"/>
        <v>0.4367145973287947</v>
      </c>
      <c r="T277" s="11">
        <v>8.5900000000000004E-2</v>
      </c>
      <c r="U277" s="11">
        <f t="shared" ca="1" si="83"/>
        <v>2.4169244919939061E-3</v>
      </c>
      <c r="V277" s="6" t="e">
        <f ca="1">IF(agePb6U8(1/O277)&lt;1400,age7corr(1/O277,Q277,$W$2),agePb76(Q277))</f>
        <v>#NAME?</v>
      </c>
      <c r="W277" s="6" t="e">
        <f ca="1">IF(agePb6U8(1/O277)&lt;1400,ageer7corr(V277,1/O277,P277/O277*(1/O277),Q277,R277,$W$2,0.05),ageerPb76(Q277,R277))</f>
        <v>#NAME?</v>
      </c>
      <c r="X277" s="4" t="e">
        <f ca="1">agePb6U8(L277)/agePb7u5(J277)</f>
        <v>#NAME?</v>
      </c>
      <c r="Z277" s="1">
        <v>4.3550000000000004</v>
      </c>
      <c r="AA277" s="1">
        <v>7.4999999999999997E-2</v>
      </c>
      <c r="AB277" s="1">
        <v>0.29680000000000001</v>
      </c>
      <c r="AC277" s="1">
        <v>5.1000000000000004E-3</v>
      </c>
      <c r="AD277" s="1">
        <v>0.98160000000000003</v>
      </c>
      <c r="AE277" s="1">
        <v>3.369272</v>
      </c>
      <c r="AF277" s="1">
        <v>5.7895179999999997E-2</v>
      </c>
      <c r="AG277" s="1">
        <v>0.10661</v>
      </c>
      <c r="AH277" s="1">
        <v>5.1999999999999995E-4</v>
      </c>
      <c r="AI277" s="1">
        <v>-8.2806000000000005E-2</v>
      </c>
      <c r="AJ277" s="1">
        <v>8.5900000000000004E-2</v>
      </c>
      <c r="AK277" s="1">
        <v>1.6999999999999999E-3</v>
      </c>
      <c r="AL277" s="1">
        <v>6.1680000000000001</v>
      </c>
      <c r="AM277" s="1">
        <v>0.02</v>
      </c>
      <c r="AN277" s="1">
        <v>1707</v>
      </c>
      <c r="AO277" s="1">
        <v>16</v>
      </c>
      <c r="AP277" s="1">
        <v>1675</v>
      </c>
      <c r="AQ277" s="1">
        <v>25</v>
      </c>
      <c r="AR277" s="1">
        <v>1665</v>
      </c>
      <c r="AS277" s="1">
        <v>32</v>
      </c>
      <c r="AT277" s="1">
        <v>1742.1</v>
      </c>
      <c r="AU277" s="1">
        <v>8.9</v>
      </c>
      <c r="AV277" s="1">
        <v>23.830000000000002</v>
      </c>
      <c r="AW277" s="1">
        <v>0.47</v>
      </c>
      <c r="AX277" s="1">
        <v>5.0540000000000003</v>
      </c>
      <c r="AY277" s="1">
        <v>7.2999999999999995E-2</v>
      </c>
      <c r="AZ277" s="1">
        <v>35583.300000000003</v>
      </c>
      <c r="BA277" s="1">
        <v>621</v>
      </c>
      <c r="BB277" s="1">
        <v>29062.799999999999</v>
      </c>
      <c r="BC277" s="1">
        <v>509.21999999999991</v>
      </c>
      <c r="BD277" s="1">
        <v>272743.2</v>
      </c>
      <c r="BE277" s="1">
        <v>4471.2000000000007</v>
      </c>
      <c r="BF277" s="1">
        <v>-12.419999999999998</v>
      </c>
      <c r="BG277" s="1">
        <v>6.2099999999999991</v>
      </c>
      <c r="BH277" s="1">
        <f t="shared" si="84"/>
        <v>-21960.000000000004</v>
      </c>
      <c r="BI277" s="1">
        <f t="shared" si="85"/>
        <v>-10985.900054160335</v>
      </c>
    </row>
    <row r="278" spans="1:61" x14ac:dyDescent="0.2">
      <c r="A278" t="s">
        <v>941</v>
      </c>
      <c r="B278" t="s">
        <v>38</v>
      </c>
      <c r="C278" t="s">
        <v>942</v>
      </c>
      <c r="D278" t="s">
        <v>943</v>
      </c>
      <c r="E278">
        <v>77926</v>
      </c>
      <c r="F278">
        <v>41739</v>
      </c>
      <c r="G278" t="s">
        <v>943</v>
      </c>
      <c r="H278" s="1">
        <v>110.9</v>
      </c>
      <c r="I278" s="1">
        <v>86.4</v>
      </c>
      <c r="J278" s="10">
        <v>2.4980000000000002</v>
      </c>
      <c r="K278" s="10">
        <f t="shared" ca="1" si="78"/>
        <v>9.2628298051945238E-2</v>
      </c>
      <c r="L278" s="7">
        <v>0.1789</v>
      </c>
      <c r="M278" s="7">
        <f t="shared" ca="1" si="79"/>
        <v>6.9858488389028285E-3</v>
      </c>
      <c r="N278" s="7">
        <v>0.93981999999999999</v>
      </c>
      <c r="O278" s="8">
        <v>5.589715</v>
      </c>
      <c r="P278" s="8">
        <f t="shared" ca="1" si="80"/>
        <v>0.21827225875667297</v>
      </c>
      <c r="Q278" s="9">
        <v>0.1013</v>
      </c>
      <c r="R278" s="9">
        <f t="shared" ca="1" si="81"/>
        <v>2.2505723716423785E-3</v>
      </c>
      <c r="S278" s="8">
        <f t="shared" si="82"/>
        <v>0.38593276477396471</v>
      </c>
      <c r="T278" s="11">
        <v>6.3299999999999995E-2</v>
      </c>
      <c r="U278" s="11">
        <f t="shared" ca="1" si="83"/>
        <v>3.628051267553974E-3</v>
      </c>
      <c r="V278" s="6" t="e">
        <f ca="1">IF(agePb6U8(1/O278)&lt;1400,age7corr(1/O278,Q278,$W$2),agePb76(Q278))</f>
        <v>#NAME?</v>
      </c>
      <c r="W278" s="6" t="e">
        <f ca="1">IF(agePb6U8(1/O278)&lt;1400,ageer7corr(V278,1/O278,P278/O278*(1/O278),Q278,R278,$W$2,0.05),ageerPb76(Q278,R278))</f>
        <v>#NAME?</v>
      </c>
      <c r="X278" s="4" t="e">
        <f ca="1">agePb6U8(L278)/agePb7u5(J278)</f>
        <v>#NAME?</v>
      </c>
      <c r="Z278" s="1">
        <v>2.4980000000000002</v>
      </c>
      <c r="AA278" s="1">
        <v>7.8E-2</v>
      </c>
      <c r="AB278" s="1">
        <v>0.1789</v>
      </c>
      <c r="AC278" s="1">
        <v>6.0000000000000001E-3</v>
      </c>
      <c r="AD278" s="1">
        <v>0.93981999999999999</v>
      </c>
      <c r="AE278" s="1">
        <v>5.589715</v>
      </c>
      <c r="AF278" s="1">
        <v>0.18746950000000001</v>
      </c>
      <c r="AG278" s="1">
        <v>0.1013</v>
      </c>
      <c r="AH278" s="1">
        <v>9.7999999999999997E-4</v>
      </c>
      <c r="AI278" s="1">
        <v>0.22595000000000001</v>
      </c>
      <c r="AJ278" s="1">
        <v>6.3299999999999995E-2</v>
      </c>
      <c r="AK278" s="1">
        <v>3.3999999999999998E-3</v>
      </c>
      <c r="AL278" s="1">
        <v>3.9140000000000001</v>
      </c>
      <c r="AM278" s="1">
        <v>3.5999999999999997E-2</v>
      </c>
      <c r="AN278" s="1">
        <v>1270</v>
      </c>
      <c r="AO278" s="1">
        <v>23</v>
      </c>
      <c r="AP278" s="1">
        <v>1061</v>
      </c>
      <c r="AQ278" s="1">
        <v>33</v>
      </c>
      <c r="AR278" s="1">
        <v>1239</v>
      </c>
      <c r="AS278" s="1">
        <v>65</v>
      </c>
      <c r="AT278" s="1">
        <v>1647</v>
      </c>
      <c r="AU278" s="1">
        <v>18</v>
      </c>
      <c r="AV278" s="1">
        <v>23.8</v>
      </c>
      <c r="AW278" s="1">
        <v>1.6</v>
      </c>
      <c r="AX278" s="1">
        <v>6.7799999999999994</v>
      </c>
      <c r="AY278" s="1">
        <v>0.56999999999999995</v>
      </c>
      <c r="AZ278" s="1">
        <v>34403.4</v>
      </c>
      <c r="BA278" s="1">
        <v>2111.4</v>
      </c>
      <c r="BB278" s="1">
        <v>16580.699999999997</v>
      </c>
      <c r="BC278" s="1">
        <v>931.50000000000011</v>
      </c>
      <c r="BD278" s="1">
        <v>165186</v>
      </c>
      <c r="BE278" s="1">
        <v>8072.9999999999982</v>
      </c>
      <c r="BF278" s="1">
        <v>129.16799999999998</v>
      </c>
      <c r="BG278" s="1">
        <v>19.872</v>
      </c>
      <c r="BH278" s="1">
        <f t="shared" si="84"/>
        <v>1278.846153846154</v>
      </c>
      <c r="BI278" s="1">
        <f t="shared" si="85"/>
        <v>206.43416921120294</v>
      </c>
    </row>
    <row r="279" spans="1:61" x14ac:dyDescent="0.2">
      <c r="A279" t="s">
        <v>944</v>
      </c>
      <c r="B279" t="s">
        <v>38</v>
      </c>
      <c r="C279" t="s">
        <v>945</v>
      </c>
      <c r="D279" t="s">
        <v>946</v>
      </c>
      <c r="E279">
        <v>78040</v>
      </c>
      <c r="F279">
        <v>41899</v>
      </c>
      <c r="G279" t="s">
        <v>946</v>
      </c>
      <c r="H279" s="1">
        <v>469.9</v>
      </c>
      <c r="I279" s="1">
        <v>306</v>
      </c>
      <c r="J279" s="10">
        <v>0.18740000000000001</v>
      </c>
      <c r="K279" s="10">
        <f t="shared" ca="1" si="78"/>
        <v>7.5031662649844037E-3</v>
      </c>
      <c r="L279" s="7">
        <v>2.5989999999999999E-2</v>
      </c>
      <c r="M279" s="7">
        <f t="shared" ca="1" si="79"/>
        <v>7.9384635793080247E-4</v>
      </c>
      <c r="N279" s="7">
        <v>0.80261000000000005</v>
      </c>
      <c r="O279" s="8">
        <v>38.47634</v>
      </c>
      <c r="P279" s="8">
        <f t="shared" ca="1" si="80"/>
        <v>1.1752328159214456</v>
      </c>
      <c r="Q279" s="9">
        <v>5.1999999999999998E-2</v>
      </c>
      <c r="R279" s="9">
        <f t="shared" ca="1" si="81"/>
        <v>1.6648123017325405E-3</v>
      </c>
      <c r="S279" s="8">
        <f t="shared" si="82"/>
        <v>0.523486522846354</v>
      </c>
      <c r="T279" s="11">
        <v>8.5599999999999999E-3</v>
      </c>
      <c r="U279" s="11">
        <f t="shared" ca="1" si="83"/>
        <v>2.7094176496066455E-4</v>
      </c>
      <c r="V279" s="6" t="e">
        <f ca="1">IF(agePb6U8(1/O279)&lt;1400,age7corr(1/O279,Q279,$W$2),agePb76(Q279))</f>
        <v>#NAME?</v>
      </c>
      <c r="W279" s="6" t="e">
        <f ca="1">IF(agePb6U8(1/O279)&lt;1400,ageer7corr(V279,1/O279,P279/O279*(1/O279),Q279,R279,$W$2,0.05),ageerPb76(Q279,R279))</f>
        <v>#NAME?</v>
      </c>
      <c r="X279" s="4" t="e">
        <f ca="1">agePb6U8(L279)/agePb7u5(J279)</f>
        <v>#NAME?</v>
      </c>
      <c r="Z279" s="1">
        <v>0.18740000000000001</v>
      </c>
      <c r="AA279" s="1">
        <v>6.4999999999999997E-3</v>
      </c>
      <c r="AB279" s="1">
        <v>2.5989999999999999E-2</v>
      </c>
      <c r="AC279" s="1">
        <v>5.9999999999999995E-4</v>
      </c>
      <c r="AD279" s="1">
        <v>0.80261000000000005</v>
      </c>
      <c r="AE279" s="1">
        <v>38.47634</v>
      </c>
      <c r="AF279" s="1">
        <v>0.88825710000000002</v>
      </c>
      <c r="AG279" s="1">
        <v>5.1999999999999998E-2</v>
      </c>
      <c r="AH279" s="1">
        <v>1.2999999999999999E-3</v>
      </c>
      <c r="AI279" s="1">
        <v>-0.40989999999999999</v>
      </c>
      <c r="AJ279" s="1">
        <v>8.5599999999999999E-3</v>
      </c>
      <c r="AK279" s="1">
        <v>2.1000000000000001E-4</v>
      </c>
      <c r="AL279" s="1">
        <v>5.0069999999999997</v>
      </c>
      <c r="AM279" s="1">
        <v>5.0999999999999997E-2</v>
      </c>
      <c r="AN279" s="1">
        <v>174.3</v>
      </c>
      <c r="AO279" s="1">
        <v>5.5</v>
      </c>
      <c r="AP279" s="1">
        <v>165.4</v>
      </c>
      <c r="AQ279" s="1">
        <v>3.8</v>
      </c>
      <c r="AR279" s="1">
        <v>172.2</v>
      </c>
      <c r="AS279" s="1">
        <v>4.2</v>
      </c>
      <c r="AT279" s="1">
        <v>280</v>
      </c>
      <c r="AU279" s="1">
        <v>54</v>
      </c>
      <c r="AV279" s="1">
        <v>100.8</v>
      </c>
      <c r="AW279" s="1">
        <v>1.7</v>
      </c>
      <c r="AX279" s="1">
        <v>23.970000000000002</v>
      </c>
      <c r="AY279" s="1">
        <v>0.98</v>
      </c>
      <c r="AZ279" s="1">
        <v>16586.91</v>
      </c>
      <c r="BA279" s="1">
        <v>322.91999999999996</v>
      </c>
      <c r="BB279" s="1">
        <v>5309.55</v>
      </c>
      <c r="BC279" s="1">
        <v>117.99</v>
      </c>
      <c r="BD279" s="1">
        <v>103023.90000000001</v>
      </c>
      <c r="BE279" s="1">
        <v>2111.4</v>
      </c>
      <c r="BF279" s="1">
        <v>26.702999999999999</v>
      </c>
      <c r="BG279" s="1">
        <v>11.799000000000001</v>
      </c>
      <c r="BH279" s="1">
        <f t="shared" si="84"/>
        <v>3858.1395348837214</v>
      </c>
      <c r="BI279" s="1">
        <f t="shared" si="85"/>
        <v>1706.5920424014359</v>
      </c>
    </row>
    <row r="280" spans="1:61" s="23" customFormat="1" x14ac:dyDescent="0.2">
      <c r="A280" s="23" t="s">
        <v>953</v>
      </c>
      <c r="B280" s="23" t="s">
        <v>38</v>
      </c>
      <c r="C280" s="23" t="s">
        <v>954</v>
      </c>
      <c r="D280" s="23" t="s">
        <v>955</v>
      </c>
      <c r="E280" s="23">
        <v>77963</v>
      </c>
      <c r="F280" s="23">
        <v>42075</v>
      </c>
      <c r="G280" s="23" t="s">
        <v>955</v>
      </c>
      <c r="H280" s="24">
        <v>467</v>
      </c>
      <c r="I280" s="24">
        <v>312</v>
      </c>
      <c r="J280" s="25">
        <v>0.89600000000000002</v>
      </c>
      <c r="K280" s="25">
        <f t="shared" ca="1" si="78"/>
        <v>3.7551649764025016E-2</v>
      </c>
      <c r="L280" s="26">
        <v>8.9899999999999994E-2</v>
      </c>
      <c r="M280" s="26">
        <f t="shared" ca="1" si="79"/>
        <v>3.3275823055185275E-3</v>
      </c>
      <c r="N280" s="26">
        <v>0.60402999999999996</v>
      </c>
      <c r="O280" s="26">
        <v>11.123469999999999</v>
      </c>
      <c r="P280" s="26">
        <f t="shared" ca="1" si="80"/>
        <v>0.41172709054495066</v>
      </c>
      <c r="Q280" s="25">
        <v>7.2400000000000006E-2</v>
      </c>
      <c r="R280" s="25">
        <f t="shared" ca="1" si="81"/>
        <v>2.8029812700052061E-3</v>
      </c>
      <c r="S280" s="26">
        <f t="shared" si="82"/>
        <v>0.37723746362933691</v>
      </c>
      <c r="T280" s="25">
        <v>3.3300000000000003E-2</v>
      </c>
      <c r="U280" s="25">
        <f t="shared" ca="1" si="83"/>
        <v>1.1931705661807116E-3</v>
      </c>
      <c r="V280" s="24" t="e">
        <f ca="1">IF(agePb6U8(1/O280)&lt;1400,age7corr(1/O280,Q280,$W$2),agePb76(Q280))</f>
        <v>#NAME?</v>
      </c>
      <c r="W280" s="24" t="e">
        <f ca="1">IF(agePb6U8(1/O280)&lt;1400,ageer7corr(V280,1/O280,P280/O280*(1/O280),Q280,R280,$W$2,0.05),ageerPb76(Q280,R280))</f>
        <v>#NAME?</v>
      </c>
      <c r="X280" s="26" t="e">
        <f ca="1">agePb6U8(L280)/agePb7u5(J280)</f>
        <v>#NAME?</v>
      </c>
      <c r="Y280" s="24"/>
      <c r="Z280" s="24">
        <v>0.89600000000000002</v>
      </c>
      <c r="AA280" s="24">
        <v>3.3000000000000002E-2</v>
      </c>
      <c r="AB280" s="24">
        <v>8.9899999999999994E-2</v>
      </c>
      <c r="AC280" s="24">
        <v>2.8E-3</v>
      </c>
      <c r="AD280" s="24">
        <v>0.60402999999999996</v>
      </c>
      <c r="AE280" s="24">
        <v>11.123469999999999</v>
      </c>
      <c r="AF280" s="24">
        <v>0.34644849999999999</v>
      </c>
      <c r="AG280" s="24">
        <v>7.2400000000000006E-2</v>
      </c>
      <c r="AH280" s="24">
        <v>2.3999999999999998E-3</v>
      </c>
      <c r="AI280" s="24">
        <v>0.17186000000000001</v>
      </c>
      <c r="AJ280" s="24">
        <v>3.3300000000000003E-2</v>
      </c>
      <c r="AK280" s="24">
        <v>9.8999999999999999E-4</v>
      </c>
      <c r="AL280" s="24">
        <v>4.33</v>
      </c>
      <c r="AM280" s="24">
        <v>0.18</v>
      </c>
      <c r="AN280" s="24">
        <v>649</v>
      </c>
      <c r="AO280" s="24">
        <v>18</v>
      </c>
      <c r="AP280" s="24">
        <v>555</v>
      </c>
      <c r="AQ280" s="24">
        <v>16</v>
      </c>
      <c r="AR280" s="24">
        <v>662</v>
      </c>
      <c r="AS280" s="24">
        <v>19</v>
      </c>
      <c r="AT280" s="24">
        <v>1006</v>
      </c>
      <c r="AU280" s="24">
        <v>69</v>
      </c>
      <c r="AV280" s="24">
        <v>100.2</v>
      </c>
      <c r="AW280" s="24">
        <v>9.1</v>
      </c>
      <c r="AX280" s="24">
        <v>24.5</v>
      </c>
      <c r="AY280" s="24">
        <v>2.2999999999999998</v>
      </c>
      <c r="AZ280" s="24">
        <v>67068</v>
      </c>
      <c r="BA280" s="24">
        <v>7452.0000000000009</v>
      </c>
      <c r="BB280" s="24">
        <v>25771.5</v>
      </c>
      <c r="BC280" s="24">
        <v>2794.5000000000005</v>
      </c>
      <c r="BD280" s="24">
        <v>352728</v>
      </c>
      <c r="BE280" s="24">
        <v>27324</v>
      </c>
      <c r="BF280" s="24">
        <v>341.54999999999995</v>
      </c>
      <c r="BG280" s="24">
        <v>86.94</v>
      </c>
      <c r="BH280" s="24">
        <f t="shared" si="84"/>
        <v>1032.727272727273</v>
      </c>
      <c r="BI280" s="24">
        <f t="shared" si="85"/>
        <v>274.7795639348613</v>
      </c>
    </row>
    <row r="281" spans="1:61" x14ac:dyDescent="0.2">
      <c r="A281" t="s">
        <v>956</v>
      </c>
      <c r="B281" t="s">
        <v>38</v>
      </c>
      <c r="C281" t="s">
        <v>957</v>
      </c>
      <c r="D281" t="s">
        <v>958</v>
      </c>
      <c r="E281">
        <v>78068</v>
      </c>
      <c r="F281">
        <v>42257</v>
      </c>
      <c r="G281" t="s">
        <v>958</v>
      </c>
      <c r="H281" s="1">
        <v>390</v>
      </c>
      <c r="I281" s="1">
        <v>320</v>
      </c>
      <c r="J281" s="10">
        <v>0.193</v>
      </c>
      <c r="K281" s="10">
        <f t="shared" ca="1" si="78"/>
        <v>1.5488692649801015E-2</v>
      </c>
      <c r="L281" s="7">
        <v>2.8199999999999999E-2</v>
      </c>
      <c r="M281" s="7">
        <f t="shared" ca="1" si="79"/>
        <v>2.3681418876410256E-3</v>
      </c>
      <c r="N281" s="7">
        <v>0.99297000000000002</v>
      </c>
      <c r="O281" s="8">
        <v>35.460990000000002</v>
      </c>
      <c r="P281" s="8">
        <f t="shared" ca="1" si="80"/>
        <v>2.9778961742131038</v>
      </c>
      <c r="Q281" s="9">
        <v>4.9750000000000003E-2</v>
      </c>
      <c r="R281" s="9">
        <f t="shared" ca="1" si="81"/>
        <v>1.1517052574335153E-3</v>
      </c>
      <c r="S281" s="8">
        <f t="shared" si="82"/>
        <v>0.44915301052662182</v>
      </c>
      <c r="T281" s="11">
        <v>9.2599999999999991E-3</v>
      </c>
      <c r="U281" s="11">
        <f t="shared" ca="1" si="83"/>
        <v>9.9734599813705582E-4</v>
      </c>
      <c r="V281" s="6" t="e">
        <f ca="1">IF(agePb6U8(1/O281)&lt;1400,age7corr(1/O281,Q281,$W$2),agePb76(Q281))</f>
        <v>#NAME?</v>
      </c>
      <c r="W281" s="6" t="e">
        <f ca="1">IF(agePb6U8(1/O281)&lt;1400,ageer7corr(V281,1/O281,P281/O281*(1/O281),Q281,R281,$W$2,0.05),ageerPb76(Q281,R281))</f>
        <v>#NAME?</v>
      </c>
      <c r="X281" s="4" t="e">
        <f ca="1">agePb6U8(L281)/agePb7u5(J281)</f>
        <v>#NAME?</v>
      </c>
      <c r="Z281" s="1">
        <v>0.193</v>
      </c>
      <c r="AA281" s="1">
        <v>1.4999999999999999E-2</v>
      </c>
      <c r="AB281" s="1">
        <v>2.8199999999999999E-2</v>
      </c>
      <c r="AC281" s="1">
        <v>2.3E-3</v>
      </c>
      <c r="AD281" s="1">
        <v>0.99297000000000002</v>
      </c>
      <c r="AE281" s="1">
        <v>35.460990000000002</v>
      </c>
      <c r="AF281" s="1">
        <v>2.8922089999999998</v>
      </c>
      <c r="AG281" s="1">
        <v>4.9750000000000003E-2</v>
      </c>
      <c r="AH281" s="1">
        <v>5.8E-4</v>
      </c>
      <c r="AI281" s="1">
        <v>0.16041</v>
      </c>
      <c r="AJ281" s="1">
        <v>9.2599999999999991E-3</v>
      </c>
      <c r="AK281" s="1">
        <v>9.7999999999999997E-4</v>
      </c>
      <c r="AL281" s="1">
        <v>4.0999999999999996</v>
      </c>
      <c r="AM281" s="1">
        <v>0.18</v>
      </c>
      <c r="AN281" s="1">
        <v>178</v>
      </c>
      <c r="AO281" s="1">
        <v>12</v>
      </c>
      <c r="AP281" s="1">
        <v>179</v>
      </c>
      <c r="AQ281" s="1">
        <v>14</v>
      </c>
      <c r="AR281" s="1">
        <v>186</v>
      </c>
      <c r="AS281" s="1">
        <v>20</v>
      </c>
      <c r="AT281" s="1">
        <v>182</v>
      </c>
      <c r="AU281" s="1">
        <v>27</v>
      </c>
      <c r="AV281" s="1">
        <v>84</v>
      </c>
      <c r="AW281" s="1">
        <v>13</v>
      </c>
      <c r="AX281" s="1">
        <v>25.1</v>
      </c>
      <c r="AY281" s="1">
        <v>5</v>
      </c>
      <c r="AZ281" s="1">
        <v>18567.899999999998</v>
      </c>
      <c r="BA281" s="1">
        <v>2980.8</v>
      </c>
      <c r="BB281" s="1">
        <v>4707.18</v>
      </c>
      <c r="BC281" s="1">
        <v>558.90000000000009</v>
      </c>
      <c r="BD281" s="1">
        <v>95633.999999999985</v>
      </c>
      <c r="BE281" s="1">
        <v>11799</v>
      </c>
      <c r="BF281" s="1">
        <v>-18.63</v>
      </c>
      <c r="BG281" s="1">
        <v>6.8310000000000004</v>
      </c>
      <c r="BH281" s="1">
        <f t="shared" si="84"/>
        <v>-5133.333333333333</v>
      </c>
      <c r="BI281" s="1">
        <f t="shared" si="85"/>
        <v>-1985.9183278620176</v>
      </c>
    </row>
    <row r="282" spans="1:61" s="23" customFormat="1" x14ac:dyDescent="0.2">
      <c r="A282" s="23" t="s">
        <v>959</v>
      </c>
      <c r="B282" s="23" t="s">
        <v>38</v>
      </c>
      <c r="C282" s="23" t="s">
        <v>960</v>
      </c>
      <c r="D282" s="23" t="s">
        <v>961</v>
      </c>
      <c r="E282" s="23">
        <v>78028</v>
      </c>
      <c r="F282" s="23">
        <v>42383</v>
      </c>
      <c r="G282" s="23" t="s">
        <v>961</v>
      </c>
      <c r="H282" s="24">
        <v>192.8</v>
      </c>
      <c r="I282" s="24">
        <v>50</v>
      </c>
      <c r="J282" s="25">
        <v>1.964</v>
      </c>
      <c r="K282" s="25">
        <f t="shared" ca="1" si="78"/>
        <v>6.6775133096086001E-2</v>
      </c>
      <c r="L282" s="26">
        <v>0.1583</v>
      </c>
      <c r="M282" s="26">
        <f t="shared" ca="1" si="79"/>
        <v>4.5015059702281862E-3</v>
      </c>
      <c r="N282" s="26">
        <v>0.73368</v>
      </c>
      <c r="O282" s="26">
        <v>6.3171189999999999</v>
      </c>
      <c r="P282" s="26">
        <f t="shared" ca="1" si="80"/>
        <v>0.17963708599480344</v>
      </c>
      <c r="Q282" s="25">
        <v>9.0399999999999994E-2</v>
      </c>
      <c r="R282" s="25">
        <f t="shared" ca="1" si="81"/>
        <v>2.2866709426587815E-3</v>
      </c>
      <c r="S282" s="26">
        <f t="shared" si="82"/>
        <v>0.33597559944740679</v>
      </c>
      <c r="T282" s="25">
        <v>7.7899999999999997E-2</v>
      </c>
      <c r="U282" s="25">
        <f t="shared" ca="1" si="83"/>
        <v>3.4694904525016351E-3</v>
      </c>
      <c r="V282" s="24" t="e">
        <f ca="1">IF(agePb6U8(1/O282)&lt;1400,age7corr(1/O282,Q282,$W$2),agePb76(Q282))</f>
        <v>#NAME?</v>
      </c>
      <c r="W282" s="24" t="e">
        <f ca="1">IF(agePb6U8(1/O282)&lt;1400,ageer7corr(V282,1/O282,P282/O282*(1/O282),Q282,R282,$W$2,0.05),ageerPb76(Q282,R282))</f>
        <v>#NAME?</v>
      </c>
      <c r="X282" s="26" t="e">
        <f ca="1">agePb6U8(L282)/agePb7u5(J282)</f>
        <v>#NAME?</v>
      </c>
      <c r="Y282" s="24"/>
      <c r="Z282" s="24">
        <v>1.964</v>
      </c>
      <c r="AA282" s="24">
        <v>5.3999999999999999E-2</v>
      </c>
      <c r="AB282" s="24">
        <v>0.1583</v>
      </c>
      <c r="AC282" s="24">
        <v>3.2000000000000002E-3</v>
      </c>
      <c r="AD282" s="24">
        <v>0.73368</v>
      </c>
      <c r="AE282" s="24">
        <v>6.3171189999999999</v>
      </c>
      <c r="AF282" s="24">
        <v>0.12769920000000001</v>
      </c>
      <c r="AG282" s="24">
        <v>9.0399999999999994E-2</v>
      </c>
      <c r="AH282" s="24">
        <v>1.4E-3</v>
      </c>
      <c r="AI282" s="24">
        <v>-0.17305999999999999</v>
      </c>
      <c r="AJ282" s="24">
        <v>7.7899999999999997E-2</v>
      </c>
      <c r="AK282" s="24">
        <v>3.0999999999999999E-3</v>
      </c>
      <c r="AL282" s="24">
        <v>8.42</v>
      </c>
      <c r="AM282" s="24">
        <v>0.18</v>
      </c>
      <c r="AN282" s="24">
        <v>1102</v>
      </c>
      <c r="AO282" s="24">
        <v>19</v>
      </c>
      <c r="AP282" s="24">
        <v>947</v>
      </c>
      <c r="AQ282" s="24">
        <v>18</v>
      </c>
      <c r="AR282" s="24">
        <v>1516</v>
      </c>
      <c r="AS282" s="24">
        <v>59</v>
      </c>
      <c r="AT282" s="24">
        <v>1432</v>
      </c>
      <c r="AU282" s="24">
        <v>29</v>
      </c>
      <c r="AV282" s="24">
        <v>41.33</v>
      </c>
      <c r="AW282" s="24">
        <v>0.45</v>
      </c>
      <c r="AX282" s="24">
        <v>3.92</v>
      </c>
      <c r="AY282" s="24">
        <v>0.08</v>
      </c>
      <c r="AZ282" s="24">
        <v>24591.599999999999</v>
      </c>
      <c r="BA282" s="24">
        <v>683.09999999999991</v>
      </c>
      <c r="BB282" s="24">
        <v>22945.95</v>
      </c>
      <c r="BC282" s="24">
        <v>496.8</v>
      </c>
      <c r="BD282" s="24">
        <v>256597.20000000004</v>
      </c>
      <c r="BE282" s="24">
        <v>2918.7</v>
      </c>
      <c r="BF282" s="24">
        <v>329.13</v>
      </c>
      <c r="BG282" s="24">
        <v>29.186999999999998</v>
      </c>
      <c r="BH282" s="24">
        <f t="shared" si="84"/>
        <v>779.62264150943406</v>
      </c>
      <c r="BI282" s="24">
        <f t="shared" si="85"/>
        <v>69.702759090327575</v>
      </c>
    </row>
    <row r="283" spans="1:61" x14ac:dyDescent="0.2">
      <c r="A283" t="s">
        <v>962</v>
      </c>
      <c r="B283" t="s">
        <v>38</v>
      </c>
      <c r="C283" t="s">
        <v>963</v>
      </c>
      <c r="D283" t="s">
        <v>964</v>
      </c>
      <c r="E283">
        <v>78146</v>
      </c>
      <c r="F283">
        <v>42910</v>
      </c>
      <c r="G283" t="s">
        <v>964</v>
      </c>
      <c r="H283" s="1">
        <v>787</v>
      </c>
      <c r="I283" s="1">
        <v>270</v>
      </c>
      <c r="J283" s="10">
        <v>0.1862</v>
      </c>
      <c r="K283" s="10">
        <f t="shared" ca="1" si="78"/>
        <v>6.234434697709167E-3</v>
      </c>
      <c r="L283" s="7">
        <v>2.6970000000000001E-2</v>
      </c>
      <c r="M283" s="7">
        <f t="shared" ca="1" si="79"/>
        <v>8.6014670841665151E-4</v>
      </c>
      <c r="N283" s="7">
        <v>0.97024999999999995</v>
      </c>
      <c r="O283" s="8">
        <v>37.078240000000001</v>
      </c>
      <c r="P283" s="8">
        <f t="shared" ca="1" si="80"/>
        <v>1.1825259030431594</v>
      </c>
      <c r="Q283" s="9">
        <v>5.0130000000000001E-2</v>
      </c>
      <c r="R283" s="9">
        <f t="shared" ca="1" si="81"/>
        <v>1.0721971647043281E-3</v>
      </c>
      <c r="S283" s="8">
        <f t="shared" si="82"/>
        <v>0.55835539047461302</v>
      </c>
      <c r="T283" s="11">
        <v>9.2599999999999991E-3</v>
      </c>
      <c r="U283" s="11">
        <f t="shared" ca="1" si="83"/>
        <v>2.5826157282878926E-4</v>
      </c>
      <c r="V283" s="6" t="e">
        <f ca="1">IF(agePb6U8(1/O283)&lt;1400,age7corr(1/O283,Q283,$W$2),agePb76(Q283))</f>
        <v>#NAME?</v>
      </c>
      <c r="W283" s="6" t="e">
        <f ca="1">IF(agePb6U8(1/O283)&lt;1400,ageer7corr(V283,1/O283,P283/O283*(1/O283),Q283,R283,$W$2,0.05),ageerPb76(Q283,R283))</f>
        <v>#NAME?</v>
      </c>
      <c r="X283" s="4" t="e">
        <f ca="1">agePb6U8(L283)/agePb7u5(J283)</f>
        <v>#NAME?</v>
      </c>
      <c r="Z283" s="1">
        <v>0.1862</v>
      </c>
      <c r="AA283" s="1">
        <v>5.0000000000000001E-3</v>
      </c>
      <c r="AB283" s="1">
        <v>2.6970000000000001E-2</v>
      </c>
      <c r="AC283" s="1">
        <v>6.7000000000000002E-4</v>
      </c>
      <c r="AD283" s="1">
        <v>0.97024999999999995</v>
      </c>
      <c r="AE283" s="1">
        <v>37.078240000000001</v>
      </c>
      <c r="AF283" s="1">
        <v>0.92111299999999996</v>
      </c>
      <c r="AG283" s="1">
        <v>5.0130000000000001E-2</v>
      </c>
      <c r="AH283" s="1">
        <v>3.8000000000000002E-4</v>
      </c>
      <c r="AI283" s="1">
        <v>-0.14476</v>
      </c>
      <c r="AJ283" s="1">
        <v>9.2599999999999991E-3</v>
      </c>
      <c r="AK283" s="1">
        <v>1.8000000000000001E-4</v>
      </c>
      <c r="AL283" s="1">
        <v>9.1120000000000001</v>
      </c>
      <c r="AM283" s="1">
        <v>6.8000000000000005E-2</v>
      </c>
      <c r="AN283" s="1">
        <v>173.4</v>
      </c>
      <c r="AO283" s="1">
        <v>4.3</v>
      </c>
      <c r="AP283" s="1">
        <v>171.6</v>
      </c>
      <c r="AQ283" s="1">
        <v>4.2</v>
      </c>
      <c r="AR283" s="1">
        <v>186.3</v>
      </c>
      <c r="AS283" s="1">
        <v>3.6</v>
      </c>
      <c r="AT283" s="1">
        <v>201</v>
      </c>
      <c r="AU283" s="1">
        <v>18</v>
      </c>
      <c r="AV283" s="1">
        <v>168.6</v>
      </c>
      <c r="AW283" s="1">
        <v>3.3</v>
      </c>
      <c r="AX283" s="1">
        <v>21.1</v>
      </c>
      <c r="AY283" s="1">
        <v>1</v>
      </c>
      <c r="AZ283" s="1">
        <v>15692.670000000002</v>
      </c>
      <c r="BA283" s="1">
        <v>440.90999999999997</v>
      </c>
      <c r="BB283" s="1">
        <v>8830.619999999999</v>
      </c>
      <c r="BC283" s="1">
        <v>192.51</v>
      </c>
      <c r="BD283" s="1">
        <v>178848.00000000003</v>
      </c>
      <c r="BE283" s="1">
        <v>4160.7</v>
      </c>
      <c r="BF283" s="1">
        <v>9.3770999999999987</v>
      </c>
      <c r="BG283" s="1">
        <v>5.7752999999999997</v>
      </c>
      <c r="BH283" s="1">
        <f t="shared" si="84"/>
        <v>19072.847682119213</v>
      </c>
      <c r="BI283" s="1">
        <f t="shared" si="85"/>
        <v>11755.23022423496</v>
      </c>
    </row>
    <row r="284" spans="1:61" s="23" customFormat="1" x14ac:dyDescent="0.2">
      <c r="A284" s="23" t="s">
        <v>965</v>
      </c>
      <c r="B284" s="23" t="s">
        <v>38</v>
      </c>
      <c r="C284" s="23" t="s">
        <v>966</v>
      </c>
      <c r="D284" s="23" t="s">
        <v>967</v>
      </c>
      <c r="E284" s="23">
        <v>78028</v>
      </c>
      <c r="F284" s="23">
        <v>43016</v>
      </c>
      <c r="G284" s="23" t="s">
        <v>967</v>
      </c>
      <c r="H284" s="24">
        <v>981</v>
      </c>
      <c r="I284" s="24">
        <v>874</v>
      </c>
      <c r="J284" s="25">
        <v>0.27650000000000002</v>
      </c>
      <c r="K284" s="25">
        <f t="shared" ca="1" si="78"/>
        <v>1.1078849218217567E-2</v>
      </c>
      <c r="L284" s="26">
        <v>2.7199999999999998E-2</v>
      </c>
      <c r="M284" s="26">
        <f t="shared" ca="1" si="79"/>
        <v>8.5529877820560455E-4</v>
      </c>
      <c r="N284" s="26">
        <v>0.88621000000000005</v>
      </c>
      <c r="O284" s="26">
        <v>36.764710000000001</v>
      </c>
      <c r="P284" s="26">
        <f t="shared" ca="1" si="80"/>
        <v>1.1560591900697299</v>
      </c>
      <c r="Q284" s="25">
        <v>7.46E-2</v>
      </c>
      <c r="R284" s="25">
        <f t="shared" ca="1" si="81"/>
        <v>1.9146968428448408E-3</v>
      </c>
      <c r="S284" s="26">
        <f t="shared" si="82"/>
        <v>0.39868985617709995</v>
      </c>
      <c r="T284" s="25">
        <v>1.034E-2</v>
      </c>
      <c r="U284" s="25">
        <f t="shared" ca="1" si="83"/>
        <v>2.9473079241911589E-4</v>
      </c>
      <c r="V284" s="24" t="e">
        <f ca="1">IF(agePb6U8(1/O284)&lt;1400,age7corr(1/O284,Q284,$W$2),agePb76(Q284))</f>
        <v>#NAME?</v>
      </c>
      <c r="W284" s="24" t="e">
        <f ca="1">IF(agePb6U8(1/O284)&lt;1400,ageer7corr(V284,1/O284,P284/O284*(1/O284),Q284,R284,$W$2,0.05),ageerPb76(Q284,R284))</f>
        <v>#NAME?</v>
      </c>
      <c r="X284" s="26" t="e">
        <f ca="1">agePb6U8(L284)/agePb7u5(J284)</f>
        <v>#NAME?</v>
      </c>
      <c r="Y284" s="24"/>
      <c r="Z284" s="24">
        <v>0.27650000000000002</v>
      </c>
      <c r="AA284" s="24">
        <v>9.5999999999999992E-3</v>
      </c>
      <c r="AB284" s="24">
        <v>2.7199999999999998E-2</v>
      </c>
      <c r="AC284" s="24">
        <v>6.6E-4</v>
      </c>
      <c r="AD284" s="24">
        <v>0.88621000000000005</v>
      </c>
      <c r="AE284" s="24">
        <v>36.764710000000001</v>
      </c>
      <c r="AF284" s="24">
        <v>0.89208480000000001</v>
      </c>
      <c r="AG284" s="24">
        <v>7.46E-2</v>
      </c>
      <c r="AH284" s="24">
        <v>1.1999999999999999E-3</v>
      </c>
      <c r="AI284" s="24">
        <v>-0.34039000000000003</v>
      </c>
      <c r="AJ284" s="24">
        <v>1.034E-2</v>
      </c>
      <c r="AK284" s="24">
        <v>2.1000000000000001E-4</v>
      </c>
      <c r="AL284" s="24">
        <v>3.1139999999999999</v>
      </c>
      <c r="AM284" s="24">
        <v>4.5999999999999999E-2</v>
      </c>
      <c r="AN284" s="24">
        <v>247.7</v>
      </c>
      <c r="AO284" s="24">
        <v>7.7</v>
      </c>
      <c r="AP284" s="24">
        <v>173</v>
      </c>
      <c r="AQ284" s="24">
        <v>4.2</v>
      </c>
      <c r="AR284" s="24">
        <v>207.8</v>
      </c>
      <c r="AS284" s="24">
        <v>4.0999999999999996</v>
      </c>
      <c r="AT284" s="24">
        <v>1057</v>
      </c>
      <c r="AU284" s="24">
        <v>34</v>
      </c>
      <c r="AV284" s="24">
        <v>210.29999999999998</v>
      </c>
      <c r="AW284" s="24">
        <v>8.1</v>
      </c>
      <c r="AX284" s="24">
        <v>68.5</v>
      </c>
      <c r="AY284" s="24">
        <v>1.8</v>
      </c>
      <c r="AZ284" s="24">
        <v>58498.200000000004</v>
      </c>
      <c r="BA284" s="24">
        <v>2980.8</v>
      </c>
      <c r="BB284" s="24">
        <v>16394.400000000001</v>
      </c>
      <c r="BC284" s="24">
        <v>931.50000000000011</v>
      </c>
      <c r="BD284" s="24">
        <v>224802</v>
      </c>
      <c r="BE284" s="24">
        <v>8694</v>
      </c>
      <c r="BF284" s="24">
        <v>407.37599999999998</v>
      </c>
      <c r="BG284" s="24">
        <v>33.533999999999999</v>
      </c>
      <c r="BH284" s="24">
        <f t="shared" si="84"/>
        <v>551.82926829268297</v>
      </c>
      <c r="BI284" s="24">
        <f t="shared" si="85"/>
        <v>50.188504494739568</v>
      </c>
    </row>
    <row r="285" spans="1:61" x14ac:dyDescent="0.2">
      <c r="A285" t="s">
        <v>968</v>
      </c>
      <c r="B285" t="s">
        <v>38</v>
      </c>
      <c r="C285" t="s">
        <v>969</v>
      </c>
      <c r="D285" t="s">
        <v>970</v>
      </c>
      <c r="E285">
        <v>78033</v>
      </c>
      <c r="F285">
        <v>43195</v>
      </c>
      <c r="G285" t="s">
        <v>970</v>
      </c>
      <c r="H285" s="1">
        <v>138.5</v>
      </c>
      <c r="I285" s="1">
        <v>179.7</v>
      </c>
      <c r="J285" s="10">
        <v>0.82</v>
      </c>
      <c r="K285" s="10">
        <f t="shared" ca="1" si="78"/>
        <v>2.092749387767202E-2</v>
      </c>
      <c r="L285" s="7">
        <v>9.6199999999999994E-2</v>
      </c>
      <c r="M285" s="7">
        <f t="shared" ca="1" si="79"/>
        <v>2.6347250330916888E-3</v>
      </c>
      <c r="N285" s="7">
        <v>0.91808999999999996</v>
      </c>
      <c r="O285" s="8">
        <v>10.395009999999999</v>
      </c>
      <c r="P285" s="8">
        <f t="shared" ca="1" si="80"/>
        <v>0.28469845444167763</v>
      </c>
      <c r="Q285" s="9">
        <v>6.1899999999999997E-2</v>
      </c>
      <c r="R285" s="9">
        <f t="shared" ca="1" si="81"/>
        <v>1.3546748687415736E-3</v>
      </c>
      <c r="S285" s="8">
        <f t="shared" si="82"/>
        <v>0.49527357314664572</v>
      </c>
      <c r="T285" s="11">
        <v>2.9690000000000001E-2</v>
      </c>
      <c r="U285" s="11">
        <f t="shared" ca="1" si="83"/>
        <v>7.4504928696026546E-4</v>
      </c>
      <c r="V285" s="6" t="e">
        <f ca="1">IF(agePb6U8(1/O285)&lt;1400,age7corr(1/O285,Q285,$W$2),agePb76(Q285))</f>
        <v>#NAME?</v>
      </c>
      <c r="W285" s="6" t="e">
        <f ca="1">IF(agePb6U8(1/O285)&lt;1400,ageer7corr(V285,1/O285,P285/O285*(1/O285),Q285,R285,$W$2,0.05),ageerPb76(Q285,R285))</f>
        <v>#NAME?</v>
      </c>
      <c r="X285" s="4" t="e">
        <f ca="1">agePb6U8(L285)/agePb7u5(J285)</f>
        <v>#NAME?</v>
      </c>
      <c r="Z285" s="1">
        <v>0.82</v>
      </c>
      <c r="AA285" s="1">
        <v>1.2999999999999999E-2</v>
      </c>
      <c r="AB285" s="1">
        <v>9.6199999999999994E-2</v>
      </c>
      <c r="AC285" s="1">
        <v>1.8E-3</v>
      </c>
      <c r="AD285" s="1">
        <v>0.91808999999999996</v>
      </c>
      <c r="AE285" s="1">
        <v>10.395009999999999</v>
      </c>
      <c r="AF285" s="1">
        <v>0.19450120000000001</v>
      </c>
      <c r="AG285" s="1">
        <v>6.1899999999999997E-2</v>
      </c>
      <c r="AH285" s="1">
        <v>5.5000000000000003E-4</v>
      </c>
      <c r="AI285" s="1">
        <v>0.11065</v>
      </c>
      <c r="AJ285" s="1">
        <v>2.9690000000000001E-2</v>
      </c>
      <c r="AK285" s="1">
        <v>4.4999999999999999E-4</v>
      </c>
      <c r="AL285" s="1">
        <v>2.6520000000000001</v>
      </c>
      <c r="AM285" s="1">
        <v>1.7999999999999999E-2</v>
      </c>
      <c r="AN285" s="1">
        <v>610.20000000000005</v>
      </c>
      <c r="AO285" s="1">
        <v>8.6999999999999993</v>
      </c>
      <c r="AP285" s="1">
        <v>592</v>
      </c>
      <c r="AQ285" s="1">
        <v>11</v>
      </c>
      <c r="AR285" s="1">
        <v>591.29999999999995</v>
      </c>
      <c r="AS285" s="1">
        <v>8.9</v>
      </c>
      <c r="AT285" s="1">
        <v>670</v>
      </c>
      <c r="AU285" s="1">
        <v>19</v>
      </c>
      <c r="AV285" s="1">
        <v>29.680000000000003</v>
      </c>
      <c r="AW285" s="1">
        <v>0.56999999999999995</v>
      </c>
      <c r="AX285" s="1">
        <v>14.09</v>
      </c>
      <c r="AY285" s="1">
        <v>0.16</v>
      </c>
      <c r="AZ285" s="1">
        <v>34279.199999999997</v>
      </c>
      <c r="BA285" s="1">
        <v>683.09999999999991</v>
      </c>
      <c r="BB285" s="1">
        <v>6843.4199999999992</v>
      </c>
      <c r="BC285" s="1">
        <v>111.78</v>
      </c>
      <c r="BD285" s="1">
        <v>112897.8</v>
      </c>
      <c r="BE285" s="1">
        <v>1987.2</v>
      </c>
      <c r="BF285" s="1">
        <v>18.009</v>
      </c>
      <c r="BG285" s="1">
        <v>6.8310000000000004</v>
      </c>
      <c r="BH285" s="1">
        <f t="shared" si="84"/>
        <v>6268.9655172413795</v>
      </c>
      <c r="BI285" s="1">
        <f t="shared" si="85"/>
        <v>2380.4423512568501</v>
      </c>
    </row>
    <row r="286" spans="1:61" x14ac:dyDescent="0.2">
      <c r="A286" t="s">
        <v>971</v>
      </c>
      <c r="B286" t="s">
        <v>38</v>
      </c>
      <c r="C286" t="s">
        <v>972</v>
      </c>
      <c r="D286" t="s">
        <v>973</v>
      </c>
      <c r="E286">
        <v>78176</v>
      </c>
      <c r="F286">
        <v>43445</v>
      </c>
      <c r="G286" t="s">
        <v>973</v>
      </c>
      <c r="H286" s="1">
        <v>43.5</v>
      </c>
      <c r="I286" s="1">
        <v>45.3</v>
      </c>
      <c r="J286" s="10">
        <v>2.1800000000000002</v>
      </c>
      <c r="K286" s="10">
        <f t="shared" ca="1" si="78"/>
        <v>0.14663205652243991</v>
      </c>
      <c r="L286" s="7">
        <v>0.17560000000000001</v>
      </c>
      <c r="M286" s="7">
        <f t="shared" ca="1" si="79"/>
        <v>8.1911015132276315E-3</v>
      </c>
      <c r="N286" s="7">
        <v>0.82618000000000003</v>
      </c>
      <c r="O286" s="8">
        <v>5.6947609999999997</v>
      </c>
      <c r="P286" s="8">
        <f t="shared" ca="1" si="80"/>
        <v>0.26563986408008944</v>
      </c>
      <c r="Q286" s="9">
        <v>9.06E-2</v>
      </c>
      <c r="R286" s="9">
        <f t="shared" ca="1" si="81"/>
        <v>3.504760191510969E-3</v>
      </c>
      <c r="S286" s="8">
        <f t="shared" si="82"/>
        <v>0.54417012878187998</v>
      </c>
      <c r="T286" s="11">
        <v>6.13E-2</v>
      </c>
      <c r="U286" s="11">
        <f t="shared" ca="1" si="83"/>
        <v>4.9540968904533949E-3</v>
      </c>
      <c r="V286" s="6" t="e">
        <f ca="1">IF(agePb6U8(1/O286)&lt;1400,age7corr(1/O286,Q286,$W$2),agePb76(Q286))</f>
        <v>#NAME?</v>
      </c>
      <c r="W286" s="6" t="e">
        <f ca="1">IF(agePb6U8(1/O286)&lt;1400,ageer7corr(V286,1/O286,P286/O286*(1/O286),Q286,R286,$W$2,0.05),ageerPb76(Q286,R286))</f>
        <v>#NAME?</v>
      </c>
      <c r="X286" s="4" t="e">
        <f ca="1">agePb6U8(L286)/agePb7u5(J286)</f>
        <v>#NAME?</v>
      </c>
      <c r="Z286" s="1">
        <v>2.1800000000000002</v>
      </c>
      <c r="AA286" s="1">
        <v>0.14000000000000001</v>
      </c>
      <c r="AB286" s="1">
        <v>0.17560000000000001</v>
      </c>
      <c r="AC286" s="1">
        <v>7.4000000000000003E-3</v>
      </c>
      <c r="AD286" s="1">
        <v>0.82618000000000003</v>
      </c>
      <c r="AE286" s="1">
        <v>5.6947609999999997</v>
      </c>
      <c r="AF286" s="1">
        <v>0.23998420000000001</v>
      </c>
      <c r="AG286" s="1">
        <v>9.06E-2</v>
      </c>
      <c r="AH286" s="1">
        <v>3.0000000000000001E-3</v>
      </c>
      <c r="AI286" s="1">
        <v>-0.30284</v>
      </c>
      <c r="AJ286" s="1">
        <v>6.13E-2</v>
      </c>
      <c r="AK286" s="1">
        <v>4.7999999999999996E-3</v>
      </c>
      <c r="AL286" s="1">
        <v>3.008</v>
      </c>
      <c r="AM286" s="1">
        <v>8.7999999999999995E-2</v>
      </c>
      <c r="AN286" s="1">
        <v>1180</v>
      </c>
      <c r="AO286" s="1">
        <v>45</v>
      </c>
      <c r="AP286" s="1">
        <v>1042</v>
      </c>
      <c r="AQ286" s="1">
        <v>41</v>
      </c>
      <c r="AR286" s="1">
        <v>1202</v>
      </c>
      <c r="AS286" s="1">
        <v>91</v>
      </c>
      <c r="AT286" s="1">
        <v>1447</v>
      </c>
      <c r="AU286" s="1">
        <v>65</v>
      </c>
      <c r="AV286" s="1">
        <v>9.2999999999999989</v>
      </c>
      <c r="AW286" s="1">
        <v>1.2</v>
      </c>
      <c r="AX286" s="1">
        <v>3.5500000000000003</v>
      </c>
      <c r="AY286" s="1">
        <v>0.6</v>
      </c>
      <c r="AZ286" s="1">
        <v>17201.7</v>
      </c>
      <c r="BA286" s="1">
        <v>2421.9</v>
      </c>
      <c r="BB286" s="1">
        <v>5570.37</v>
      </c>
      <c r="BC286" s="1">
        <v>490.59000000000003</v>
      </c>
      <c r="BD286" s="1">
        <v>62721</v>
      </c>
      <c r="BE286" s="1">
        <v>7452.0000000000009</v>
      </c>
      <c r="BF286" s="1">
        <v>62.721000000000004</v>
      </c>
      <c r="BG286" s="1">
        <v>7.4519999999999991</v>
      </c>
      <c r="BH286" s="1">
        <f t="shared" si="84"/>
        <v>999.99999999999989</v>
      </c>
      <c r="BI286" s="1">
        <f t="shared" si="85"/>
        <v>168.0253737472984</v>
      </c>
    </row>
    <row r="287" spans="1:61" x14ac:dyDescent="0.2">
      <c r="A287" t="s">
        <v>974</v>
      </c>
      <c r="B287" t="s">
        <v>38</v>
      </c>
      <c r="C287" t="s">
        <v>975</v>
      </c>
      <c r="D287" t="s">
        <v>976</v>
      </c>
      <c r="E287">
        <v>78099</v>
      </c>
      <c r="F287">
        <v>43558</v>
      </c>
      <c r="G287" t="s">
        <v>976</v>
      </c>
      <c r="H287" s="1">
        <v>116.8</v>
      </c>
      <c r="I287" s="1">
        <v>128.19999999999999</v>
      </c>
      <c r="J287" s="10">
        <v>0.44700000000000001</v>
      </c>
      <c r="K287" s="10">
        <f t="shared" ca="1" si="78"/>
        <v>1.5777312825700072E-2</v>
      </c>
      <c r="L287" s="7">
        <v>5.9900000000000002E-2</v>
      </c>
      <c r="M287" s="7">
        <f t="shared" ca="1" si="79"/>
        <v>1.9196885164005125E-3</v>
      </c>
      <c r="N287" s="7">
        <v>0.85982999999999998</v>
      </c>
      <c r="O287" s="8">
        <v>16.694489999999998</v>
      </c>
      <c r="P287" s="8">
        <f t="shared" ca="1" si="80"/>
        <v>0.53502871514063621</v>
      </c>
      <c r="Q287" s="9">
        <v>5.4239999999999997E-2</v>
      </c>
      <c r="R287" s="9">
        <f t="shared" ca="1" si="81"/>
        <v>1.3075515439171031E-3</v>
      </c>
      <c r="S287" s="8">
        <f t="shared" si="82"/>
        <v>0.41432679429399144</v>
      </c>
      <c r="T287" s="11">
        <v>1.9769999999999999E-2</v>
      </c>
      <c r="U287" s="11">
        <f t="shared" ca="1" si="83"/>
        <v>6.1419960924767765E-4</v>
      </c>
      <c r="V287" s="6" t="e">
        <f ca="1">IF(agePb6U8(1/O287)&lt;1400,age7corr(1/O287,Q287,$W$2),agePb76(Q287))</f>
        <v>#NAME?</v>
      </c>
      <c r="W287" s="6" t="e">
        <f ca="1">IF(agePb6U8(1/O287)&lt;1400,ageer7corr(V287,1/O287,P287/O287*(1/O287),Q287,R287,$W$2,0.05),ageerPb76(Q287,R287))</f>
        <v>#NAME?</v>
      </c>
      <c r="X287" s="4" t="e">
        <f ca="1">agePb6U8(L287)/agePb7u5(J287)</f>
        <v>#NAME?</v>
      </c>
      <c r="Z287" s="1">
        <v>0.44700000000000001</v>
      </c>
      <c r="AA287" s="1">
        <v>1.2999999999999999E-2</v>
      </c>
      <c r="AB287" s="1">
        <v>5.9900000000000002E-2</v>
      </c>
      <c r="AC287" s="1">
        <v>1.5E-3</v>
      </c>
      <c r="AD287" s="1">
        <v>0.85982999999999998</v>
      </c>
      <c r="AE287" s="1">
        <v>16.694489999999998</v>
      </c>
      <c r="AF287" s="1">
        <v>0.41805900000000001</v>
      </c>
      <c r="AG287" s="1">
        <v>5.4239999999999997E-2</v>
      </c>
      <c r="AH287" s="1">
        <v>7.2999999999999996E-4</v>
      </c>
      <c r="AI287" s="1">
        <v>3.8467000000000001E-2</v>
      </c>
      <c r="AJ287" s="1">
        <v>1.9769999999999999E-2</v>
      </c>
      <c r="AK287" s="1">
        <v>4.6999999999999999E-4</v>
      </c>
      <c r="AL287" s="1">
        <v>2.95</v>
      </c>
      <c r="AM287" s="1">
        <v>0.1</v>
      </c>
      <c r="AN287" s="1">
        <v>375</v>
      </c>
      <c r="AO287" s="1">
        <v>9.1</v>
      </c>
      <c r="AP287" s="1">
        <v>375.1</v>
      </c>
      <c r="AQ287" s="1">
        <v>9.1999999999999993</v>
      </c>
      <c r="AR287" s="1">
        <v>395.7</v>
      </c>
      <c r="AS287" s="1">
        <v>9.4</v>
      </c>
      <c r="AT287" s="1">
        <v>379</v>
      </c>
      <c r="AU287" s="1">
        <v>31</v>
      </c>
      <c r="AV287" s="1">
        <v>25.02</v>
      </c>
      <c r="AW287" s="1">
        <v>0.71</v>
      </c>
      <c r="AX287" s="1">
        <v>10.050000000000001</v>
      </c>
      <c r="AY287" s="1">
        <v>0.4</v>
      </c>
      <c r="AZ287" s="1">
        <v>16152.21</v>
      </c>
      <c r="BA287" s="1">
        <v>385.02</v>
      </c>
      <c r="BB287" s="1">
        <v>3154.6800000000003</v>
      </c>
      <c r="BC287" s="1">
        <v>68.31</v>
      </c>
      <c r="BD287" s="1">
        <v>59119.200000000004</v>
      </c>
      <c r="BE287" s="1">
        <v>1242</v>
      </c>
      <c r="BF287" s="1">
        <v>-0.74519999999999997</v>
      </c>
      <c r="BG287" s="1">
        <v>6.0858000000000008</v>
      </c>
      <c r="BH287" s="1">
        <f t="shared" si="84"/>
        <v>-79333.333333333343</v>
      </c>
      <c r="BI287" s="1">
        <f t="shared" si="85"/>
        <v>-647891.03259997128</v>
      </c>
    </row>
    <row r="288" spans="1:61" x14ac:dyDescent="0.2">
      <c r="A288" t="s">
        <v>785</v>
      </c>
      <c r="B288" t="s">
        <v>38</v>
      </c>
      <c r="C288" t="s">
        <v>786</v>
      </c>
      <c r="D288" t="s">
        <v>787</v>
      </c>
      <c r="E288">
        <v>78708</v>
      </c>
      <c r="F288">
        <v>41446</v>
      </c>
      <c r="G288" t="s">
        <v>787</v>
      </c>
      <c r="H288" s="1">
        <v>192.1</v>
      </c>
      <c r="I288" s="1">
        <v>49.7</v>
      </c>
      <c r="J288" s="10">
        <v>1.57</v>
      </c>
      <c r="K288" s="10">
        <f t="shared" ca="1" si="78"/>
        <v>4.0767143633077853E-2</v>
      </c>
      <c r="L288" s="7">
        <v>0.15870000000000001</v>
      </c>
      <c r="M288" s="7">
        <f t="shared" ca="1" si="79"/>
        <v>3.9792305788933623E-3</v>
      </c>
      <c r="N288" s="7">
        <v>0.95460999999999996</v>
      </c>
      <c r="O288" s="8">
        <v>6.3011970000000002</v>
      </c>
      <c r="P288" s="8">
        <f t="shared" ca="1" si="80"/>
        <v>0.15799569215585502</v>
      </c>
      <c r="Q288" s="9">
        <v>7.1760000000000004E-2</v>
      </c>
      <c r="R288" s="9">
        <f t="shared" ca="1" si="81"/>
        <v>1.4821265263127844E-3</v>
      </c>
      <c r="S288" s="8">
        <f t="shared" si="82"/>
        <v>0.38710291467071911</v>
      </c>
      <c r="T288" s="11">
        <v>5.2699999999999997E-2</v>
      </c>
      <c r="U288" s="11">
        <f t="shared" ca="1" si="83"/>
        <v>1.5971587272403454E-3</v>
      </c>
      <c r="V288" s="6" t="e">
        <f ca="1">IF(agePb6U8(1/O288)&lt;1400,age7corr(1/O288,Q288,$W$2),agePb76(Q288))</f>
        <v>#NAME?</v>
      </c>
      <c r="W288" s="6" t="e">
        <f ca="1">IF(agePb6U8(1/O288)&lt;1400,ageer7corr(V288,1/O288,P288/O288*(1/O288),Q288,R288,$W$2,0.05),ageerPb76(Q288,R288))</f>
        <v>#NAME?</v>
      </c>
      <c r="X288" s="4" t="e">
        <f ca="1">agePb6U8(L288)/agePb7u5(J288)</f>
        <v>#NAME?</v>
      </c>
      <c r="Z288" s="1">
        <v>1.57</v>
      </c>
      <c r="AA288" s="1">
        <v>2.5999999999999999E-2</v>
      </c>
      <c r="AB288" s="1">
        <v>0.15870000000000001</v>
      </c>
      <c r="AC288" s="1">
        <v>2.3999999999999998E-3</v>
      </c>
      <c r="AD288" s="1">
        <v>0.95460999999999996</v>
      </c>
      <c r="AE288" s="1">
        <v>6.3011970000000002</v>
      </c>
      <c r="AF288" s="1">
        <v>9.5292210000000002E-2</v>
      </c>
      <c r="AG288" s="1">
        <v>7.1760000000000004E-2</v>
      </c>
      <c r="AH288" s="1">
        <v>3.6999999999999999E-4</v>
      </c>
      <c r="AI288" s="1">
        <v>-0.39576</v>
      </c>
      <c r="AJ288" s="1">
        <v>5.2699999999999997E-2</v>
      </c>
      <c r="AK288" s="1">
        <v>1.1999999999999999E-3</v>
      </c>
      <c r="AL288" s="1">
        <v>12.34</v>
      </c>
      <c r="AM288" s="1">
        <v>0.12</v>
      </c>
      <c r="AN288" s="1">
        <v>958</v>
      </c>
      <c r="AO288" s="1">
        <v>10</v>
      </c>
      <c r="AP288" s="1">
        <v>949</v>
      </c>
      <c r="AQ288" s="1">
        <v>14</v>
      </c>
      <c r="AR288" s="1">
        <v>1039</v>
      </c>
      <c r="AS288" s="1">
        <v>22</v>
      </c>
      <c r="AT288" s="1">
        <v>979</v>
      </c>
      <c r="AU288" s="1">
        <v>11</v>
      </c>
      <c r="AV288" s="1">
        <v>41.42</v>
      </c>
      <c r="AW288" s="1">
        <v>0.82</v>
      </c>
      <c r="AX288" s="1">
        <v>3.91</v>
      </c>
      <c r="AY288" s="1">
        <v>0.11</v>
      </c>
      <c r="AZ288" s="1">
        <v>16816.680000000004</v>
      </c>
      <c r="BA288" s="1">
        <v>260.82</v>
      </c>
      <c r="BB288" s="1">
        <v>18282.239999999998</v>
      </c>
      <c r="BC288" s="1">
        <v>304.28999999999996</v>
      </c>
      <c r="BD288" s="1">
        <v>257528.69999999995</v>
      </c>
      <c r="BE288" s="1">
        <v>3726.0000000000005</v>
      </c>
      <c r="BF288" s="1">
        <v>8.0729999999999986</v>
      </c>
      <c r="BG288" s="1">
        <v>6.8310000000000004</v>
      </c>
      <c r="BH288" s="1">
        <f t="shared" si="84"/>
        <v>31900</v>
      </c>
      <c r="BI288" s="1">
        <f t="shared" si="85"/>
        <v>26996.253301295212</v>
      </c>
    </row>
    <row r="289" spans="1:61" x14ac:dyDescent="0.2">
      <c r="A289" t="s">
        <v>977</v>
      </c>
      <c r="B289" t="s">
        <v>38</v>
      </c>
      <c r="C289" t="s">
        <v>978</v>
      </c>
      <c r="D289" t="s">
        <v>979</v>
      </c>
      <c r="E289">
        <v>78106</v>
      </c>
      <c r="F289">
        <v>43751</v>
      </c>
      <c r="G289" t="s">
        <v>979</v>
      </c>
      <c r="H289" s="1">
        <v>562</v>
      </c>
      <c r="I289" s="1">
        <v>50.8</v>
      </c>
      <c r="J289" s="10">
        <v>0.42899999999999999</v>
      </c>
      <c r="K289" s="10">
        <f t="shared" ca="1" si="78"/>
        <v>9.9813025202124817E-3</v>
      </c>
      <c r="L289" s="7">
        <v>5.7070000000000003E-2</v>
      </c>
      <c r="M289" s="7">
        <f t="shared" ca="1" si="79"/>
        <v>1.3337518359874899E-3</v>
      </c>
      <c r="N289" s="7">
        <v>0.86040000000000005</v>
      </c>
      <c r="O289" s="8">
        <v>17.52234</v>
      </c>
      <c r="P289" s="8">
        <f t="shared" ca="1" si="80"/>
        <v>0.40950506592226671</v>
      </c>
      <c r="Q289" s="9">
        <v>5.457E-2</v>
      </c>
      <c r="R289" s="9">
        <f t="shared" ca="1" si="81"/>
        <v>1.1658704730800932E-3</v>
      </c>
      <c r="S289" s="8">
        <f t="shared" si="82"/>
        <v>0.46586579644861309</v>
      </c>
      <c r="T289" s="11">
        <v>1.941E-2</v>
      </c>
      <c r="U289" s="11">
        <f t="shared" ca="1" si="83"/>
        <v>6.2513937645936209E-4</v>
      </c>
      <c r="V289" s="6" t="e">
        <f ca="1">IF(agePb6U8(1/O289)&lt;1400,age7corr(1/O289,Q289,$W$2),agePb76(Q289))</f>
        <v>#NAME?</v>
      </c>
      <c r="W289" s="6" t="e">
        <f ca="1">IF(agePb6U8(1/O289)&lt;1400,ageer7corr(V289,1/O289,P289/O289*(1/O289),Q289,R289,$W$2,0.05),ageerPb76(Q289,R289))</f>
        <v>#NAME?</v>
      </c>
      <c r="X289" s="4" t="e">
        <f ca="1">agePb6U8(L289)/agePb7u5(J289)</f>
        <v>#NAME?</v>
      </c>
      <c r="Z289" s="1">
        <v>0.42899999999999999</v>
      </c>
      <c r="AA289" s="1">
        <v>5.1000000000000004E-3</v>
      </c>
      <c r="AB289" s="1">
        <v>5.7070000000000003E-2</v>
      </c>
      <c r="AC289" s="1">
        <v>6.8999999999999997E-4</v>
      </c>
      <c r="AD289" s="1">
        <v>0.86040000000000005</v>
      </c>
      <c r="AE289" s="1">
        <v>17.52234</v>
      </c>
      <c r="AF289" s="1">
        <v>0.2118524</v>
      </c>
      <c r="AG289" s="1">
        <v>5.457E-2</v>
      </c>
      <c r="AH289" s="1">
        <v>4.0999999999999999E-4</v>
      </c>
      <c r="AI289" s="1">
        <v>0.26396999999999998</v>
      </c>
      <c r="AJ289" s="1">
        <v>1.941E-2</v>
      </c>
      <c r="AK289" s="1">
        <v>4.8999999999999998E-4</v>
      </c>
      <c r="AL289" s="1">
        <v>33.4</v>
      </c>
      <c r="AM289" s="1">
        <v>1.7</v>
      </c>
      <c r="AN289" s="1">
        <v>362.5</v>
      </c>
      <c r="AO289" s="1">
        <v>3.6</v>
      </c>
      <c r="AP289" s="1">
        <v>357.8</v>
      </c>
      <c r="AQ289" s="1">
        <v>4.2</v>
      </c>
      <c r="AR289" s="1">
        <v>388.5</v>
      </c>
      <c r="AS289" s="1">
        <v>9.8000000000000007</v>
      </c>
      <c r="AT289" s="1">
        <v>398</v>
      </c>
      <c r="AU289" s="1">
        <v>18</v>
      </c>
      <c r="AV289" s="1">
        <v>120</v>
      </c>
      <c r="AW289" s="1">
        <v>12</v>
      </c>
      <c r="AX289" s="1">
        <v>3.9839999999999995</v>
      </c>
      <c r="AY289" s="1">
        <v>9.1999999999999998E-2</v>
      </c>
      <c r="AZ289" s="1">
        <v>6408.72</v>
      </c>
      <c r="BA289" s="1">
        <v>285.65999999999997</v>
      </c>
      <c r="BB289" s="1">
        <v>14531.4</v>
      </c>
      <c r="BC289" s="1">
        <v>1428.3</v>
      </c>
      <c r="BD289" s="1">
        <v>268272</v>
      </c>
      <c r="BE289" s="1">
        <v>24840</v>
      </c>
      <c r="BF289" s="1">
        <v>5.1543000000000001</v>
      </c>
      <c r="BG289" s="1">
        <v>5.7752999999999997</v>
      </c>
      <c r="BH289" s="1">
        <f t="shared" si="84"/>
        <v>52048.192771084337</v>
      </c>
      <c r="BI289" s="1">
        <f t="shared" si="85"/>
        <v>58517.844437834887</v>
      </c>
    </row>
    <row r="290" spans="1:61" x14ac:dyDescent="0.2">
      <c r="A290" t="s">
        <v>980</v>
      </c>
      <c r="B290" t="s">
        <v>38</v>
      </c>
      <c r="C290" t="s">
        <v>981</v>
      </c>
      <c r="D290" t="s">
        <v>982</v>
      </c>
      <c r="E290">
        <v>78212</v>
      </c>
      <c r="F290">
        <v>43989</v>
      </c>
      <c r="G290" t="s">
        <v>982</v>
      </c>
      <c r="H290" s="1">
        <v>107.1</v>
      </c>
      <c r="I290" s="1">
        <v>78.599999999999994</v>
      </c>
      <c r="J290" s="10">
        <v>0.32900000000000001</v>
      </c>
      <c r="K290" s="10">
        <f t="shared" ca="1" si="78"/>
        <v>2.2962935352432625E-2</v>
      </c>
      <c r="L290" s="7">
        <v>3.0980000000000001E-2</v>
      </c>
      <c r="M290" s="7">
        <f t="shared" ca="1" si="79"/>
        <v>9.9614464813098293E-4</v>
      </c>
      <c r="N290" s="7">
        <v>0.47209000000000001</v>
      </c>
      <c r="O290" s="8">
        <v>32.278889999999997</v>
      </c>
      <c r="P290" s="8">
        <f t="shared" ca="1" si="80"/>
        <v>1.0379096959662146</v>
      </c>
      <c r="Q290" s="9">
        <v>7.7600000000000002E-2</v>
      </c>
      <c r="R290" s="9">
        <f t="shared" ca="1" si="81"/>
        <v>4.6656943749028403E-3</v>
      </c>
      <c r="S290" s="8">
        <f t="shared" si="82"/>
        <v>0.37077855900040113</v>
      </c>
      <c r="T290" s="11">
        <v>1.349E-2</v>
      </c>
      <c r="U290" s="11">
        <f t="shared" ca="1" si="83"/>
        <v>6.4876192859939007E-4</v>
      </c>
      <c r="V290" s="6" t="e">
        <f ca="1">IF(agePb6U8(1/O290)&lt;1400,age7corr(1/O290,Q290,$W$2),agePb76(Q290))</f>
        <v>#NAME?</v>
      </c>
      <c r="W290" s="6" t="e">
        <f ca="1">IF(agePb6U8(1/O290)&lt;1400,ageer7corr(V290,1/O290,P290/O290*(1/O290),Q290,R290,$W$2,0.05),ageerPb76(Q290,R290))</f>
        <v>#NAME?</v>
      </c>
      <c r="X290" s="4" t="e">
        <f ca="1">agePb6U8(L290)/agePb7u5(J290)</f>
        <v>#NAME?</v>
      </c>
      <c r="Z290" s="1">
        <v>0.32900000000000001</v>
      </c>
      <c r="AA290" s="1">
        <v>2.1999999999999999E-2</v>
      </c>
      <c r="AB290" s="1">
        <v>3.0980000000000001E-2</v>
      </c>
      <c r="AC290" s="1">
        <v>7.7999999999999999E-4</v>
      </c>
      <c r="AD290" s="1">
        <v>0.47209000000000001</v>
      </c>
      <c r="AE290" s="1">
        <v>32.278889999999997</v>
      </c>
      <c r="AF290" s="1">
        <v>0.81270279999999995</v>
      </c>
      <c r="AG290" s="1">
        <v>7.7600000000000002E-2</v>
      </c>
      <c r="AH290" s="1">
        <v>4.4000000000000003E-3</v>
      </c>
      <c r="AI290" s="1">
        <v>-9.0712000000000001E-2</v>
      </c>
      <c r="AJ290" s="1">
        <v>1.349E-2</v>
      </c>
      <c r="AK290" s="1">
        <v>5.9000000000000003E-4</v>
      </c>
      <c r="AL290" s="1">
        <v>3.367</v>
      </c>
      <c r="AM290" s="1">
        <v>8.1000000000000003E-2</v>
      </c>
      <c r="AN290" s="1">
        <v>288</v>
      </c>
      <c r="AO290" s="1">
        <v>17</v>
      </c>
      <c r="AP290" s="1">
        <v>196.7</v>
      </c>
      <c r="AQ290" s="1">
        <v>4.9000000000000004</v>
      </c>
      <c r="AR290" s="1">
        <v>271</v>
      </c>
      <c r="AS290" s="1">
        <v>12</v>
      </c>
      <c r="AT290" s="1">
        <v>1120</v>
      </c>
      <c r="AU290" s="1">
        <v>110</v>
      </c>
      <c r="AV290" s="1">
        <v>22.950000000000003</v>
      </c>
      <c r="AW290" s="1">
        <v>0.8</v>
      </c>
      <c r="AX290" s="1">
        <v>6.1599999999999993</v>
      </c>
      <c r="AY290" s="1">
        <v>0.16</v>
      </c>
      <c r="AZ290" s="1">
        <v>6694.38</v>
      </c>
      <c r="BA290" s="1">
        <v>136.62</v>
      </c>
      <c r="BB290" s="1">
        <v>2148.66</v>
      </c>
      <c r="BC290" s="1">
        <v>86.94</v>
      </c>
      <c r="BD290" s="1">
        <v>27945</v>
      </c>
      <c r="BE290" s="1">
        <v>807.3</v>
      </c>
      <c r="BF290" s="1">
        <v>58.994999999999997</v>
      </c>
      <c r="BG290" s="1">
        <v>11.177999999999999</v>
      </c>
      <c r="BH290" s="1">
        <f t="shared" si="84"/>
        <v>473.68421052631584</v>
      </c>
      <c r="BI290" s="1">
        <f t="shared" si="85"/>
        <v>90.787909028060241</v>
      </c>
    </row>
    <row r="291" spans="1:61" x14ac:dyDescent="0.2">
      <c r="A291" t="s">
        <v>989</v>
      </c>
      <c r="B291" t="s">
        <v>38</v>
      </c>
      <c r="C291" t="s">
        <v>990</v>
      </c>
      <c r="D291" t="s">
        <v>991</v>
      </c>
      <c r="E291">
        <v>78255</v>
      </c>
      <c r="F291">
        <v>44320</v>
      </c>
      <c r="G291" t="s">
        <v>991</v>
      </c>
      <c r="H291" s="1">
        <v>562</v>
      </c>
      <c r="I291" s="1">
        <v>194.1</v>
      </c>
      <c r="J291" s="10">
        <v>3.6640000000000001</v>
      </c>
      <c r="K291" s="10">
        <f t="shared" ca="1" si="78"/>
        <v>0.10273246030345035</v>
      </c>
      <c r="L291" s="7">
        <v>0.2545</v>
      </c>
      <c r="M291" s="7">
        <f t="shared" ca="1" si="79"/>
        <v>7.1349912403590246E-3</v>
      </c>
      <c r="N291" s="7">
        <v>0.98848000000000003</v>
      </c>
      <c r="O291" s="8">
        <v>3.9292729999999998</v>
      </c>
      <c r="P291" s="8">
        <f t="shared" ca="1" si="80"/>
        <v>0.11015845919391075</v>
      </c>
      <c r="Q291" s="9">
        <v>0.10466</v>
      </c>
      <c r="R291" s="9">
        <f t="shared" ca="1" si="81"/>
        <v>2.1453172818956174E-3</v>
      </c>
      <c r="S291" s="8">
        <f t="shared" si="82"/>
        <v>0.41370948725933188</v>
      </c>
      <c r="T291" s="11">
        <v>8.0100000000000005E-2</v>
      </c>
      <c r="U291" s="11">
        <f t="shared" ca="1" si="83"/>
        <v>2.1946307206452756E-3</v>
      </c>
      <c r="V291" s="6" t="e">
        <f ca="1">IF(agePb6U8(1/O291)&lt;1400,age7corr(1/O291,Q291,$W$2),agePb76(Q291))</f>
        <v>#NAME?</v>
      </c>
      <c r="W291" s="6" t="e">
        <f ca="1">IF(agePb6U8(1/O291)&lt;1400,ageer7corr(V291,1/O291,P291/O291*(1/O291),Q291,R291,$W$2,0.05),ageerPb76(Q291,R291))</f>
        <v>#NAME?</v>
      </c>
      <c r="X291" s="4" t="e">
        <f ca="1">agePb6U8(L291)/agePb7u5(J291)</f>
        <v>#NAME?</v>
      </c>
      <c r="Z291" s="1">
        <v>3.6640000000000001</v>
      </c>
      <c r="AA291" s="1">
        <v>7.1999999999999995E-2</v>
      </c>
      <c r="AB291" s="1">
        <v>0.2545</v>
      </c>
      <c r="AC291" s="1">
        <v>5.0000000000000001E-3</v>
      </c>
      <c r="AD291" s="1">
        <v>0.98848000000000003</v>
      </c>
      <c r="AE291" s="1">
        <v>3.9292729999999998</v>
      </c>
      <c r="AF291" s="1">
        <v>7.7195929999999996E-2</v>
      </c>
      <c r="AG291" s="1">
        <v>0.10466</v>
      </c>
      <c r="AH291" s="1">
        <v>4.6999999999999999E-4</v>
      </c>
      <c r="AI291" s="1">
        <v>2.8381E-2</v>
      </c>
      <c r="AJ291" s="1">
        <v>8.0100000000000005E-2</v>
      </c>
      <c r="AK291" s="1">
        <v>1.5E-3</v>
      </c>
      <c r="AL291" s="1">
        <v>9.9019999999999992</v>
      </c>
      <c r="AM291" s="1">
        <v>9.7000000000000003E-2</v>
      </c>
      <c r="AN291" s="1">
        <v>1563</v>
      </c>
      <c r="AO291" s="1">
        <v>16</v>
      </c>
      <c r="AP291" s="1">
        <v>1461</v>
      </c>
      <c r="AQ291" s="1">
        <v>26</v>
      </c>
      <c r="AR291" s="1">
        <v>1557</v>
      </c>
      <c r="AS291" s="1">
        <v>29</v>
      </c>
      <c r="AT291" s="1">
        <v>1708.2</v>
      </c>
      <c r="AU291" s="1">
        <v>8.3000000000000007</v>
      </c>
      <c r="AV291" s="1">
        <v>120.39999999999999</v>
      </c>
      <c r="AW291" s="1">
        <v>4.8</v>
      </c>
      <c r="AX291" s="1">
        <v>15.219999999999999</v>
      </c>
      <c r="AY291" s="1">
        <v>0.33</v>
      </c>
      <c r="AZ291" s="1">
        <v>98180.099999999991</v>
      </c>
      <c r="BA291" s="1">
        <v>3850.2</v>
      </c>
      <c r="BB291" s="1">
        <v>125069.40000000001</v>
      </c>
      <c r="BC291" s="1">
        <v>4347</v>
      </c>
      <c r="BD291" s="1">
        <v>1209087.0000000002</v>
      </c>
      <c r="BE291" s="1">
        <v>37881</v>
      </c>
      <c r="BF291" s="1">
        <v>5.4027000000000003</v>
      </c>
      <c r="BG291" s="1">
        <v>5.9615999999999998</v>
      </c>
      <c r="BH291" s="1">
        <f t="shared" si="84"/>
        <v>223793.10344827588</v>
      </c>
      <c r="BI291" s="1">
        <f t="shared" si="85"/>
        <v>247043.63291713921</v>
      </c>
    </row>
    <row r="292" spans="1:61" x14ac:dyDescent="0.2">
      <c r="A292" t="s">
        <v>992</v>
      </c>
      <c r="B292" t="s">
        <v>38</v>
      </c>
      <c r="C292" t="s">
        <v>993</v>
      </c>
      <c r="D292" t="s">
        <v>994</v>
      </c>
      <c r="E292">
        <v>78299</v>
      </c>
      <c r="F292">
        <v>44461</v>
      </c>
      <c r="G292" t="s">
        <v>994</v>
      </c>
      <c r="H292" s="1">
        <v>245</v>
      </c>
      <c r="I292" s="1">
        <v>263</v>
      </c>
      <c r="J292" s="10">
        <v>0.18310000000000001</v>
      </c>
      <c r="K292" s="10">
        <f t="shared" ca="1" si="78"/>
        <v>4.6712144031290197E-3</v>
      </c>
      <c r="L292" s="7">
        <v>2.6669999999999999E-2</v>
      </c>
      <c r="M292" s="7">
        <f t="shared" ca="1" si="79"/>
        <v>6.6076891573378356E-4</v>
      </c>
      <c r="N292" s="7">
        <v>0.75822000000000001</v>
      </c>
      <c r="O292" s="8">
        <v>37.495310000000003</v>
      </c>
      <c r="P292" s="8">
        <f t="shared" ca="1" si="80"/>
        <v>0.92897397026967332</v>
      </c>
      <c r="Q292" s="9">
        <v>4.9779999999999998E-2</v>
      </c>
      <c r="R292" s="9">
        <f t="shared" ca="1" si="81"/>
        <v>1.1374178475828485E-3</v>
      </c>
      <c r="S292" s="8">
        <f t="shared" si="82"/>
        <v>0.51945959828914989</v>
      </c>
      <c r="T292" s="11">
        <v>8.3099999999999997E-3</v>
      </c>
      <c r="U292" s="11">
        <f t="shared" ca="1" si="83"/>
        <v>1.939650483979008E-4</v>
      </c>
      <c r="V292" s="6" t="e">
        <f ca="1">IF(agePb6U8(1/O292)&lt;1400,age7corr(1/O292,Q292,$W$2),agePb76(Q292))</f>
        <v>#NAME?</v>
      </c>
      <c r="W292" s="6" t="e">
        <f ca="1">IF(agePb6U8(1/O292)&lt;1400,ageer7corr(V292,1/O292,P292/O292*(1/O292),Q292,R292,$W$2,0.05),ageerPb76(Q292,R292))</f>
        <v>#NAME?</v>
      </c>
      <c r="X292" s="4" t="e">
        <f ca="1">agePb6U8(L292)/agePb7u5(J292)</f>
        <v>#NAME?</v>
      </c>
      <c r="Z292" s="1">
        <v>0.18310000000000001</v>
      </c>
      <c r="AA292" s="1">
        <v>2.8999999999999998E-3</v>
      </c>
      <c r="AB292" s="1">
        <v>2.6669999999999999E-2</v>
      </c>
      <c r="AC292" s="1">
        <v>3.8999999999999999E-4</v>
      </c>
      <c r="AD292" s="1">
        <v>0.75822000000000001</v>
      </c>
      <c r="AE292" s="1">
        <v>37.495310000000003</v>
      </c>
      <c r="AF292" s="1">
        <v>0.54830040000000002</v>
      </c>
      <c r="AG292" s="1">
        <v>4.9779999999999998E-2</v>
      </c>
      <c r="AH292" s="1">
        <v>5.5000000000000003E-4</v>
      </c>
      <c r="AI292" s="1">
        <v>0.18561</v>
      </c>
      <c r="AJ292" s="1">
        <v>8.3099999999999997E-3</v>
      </c>
      <c r="AK292" s="1">
        <v>1E-4</v>
      </c>
      <c r="AL292" s="1">
        <v>3.181</v>
      </c>
      <c r="AM292" s="1">
        <v>1.7000000000000001E-2</v>
      </c>
      <c r="AN292" s="1">
        <v>170.7</v>
      </c>
      <c r="AO292" s="1">
        <v>2.5</v>
      </c>
      <c r="AP292" s="1">
        <v>169.7</v>
      </c>
      <c r="AQ292" s="1">
        <v>2.5</v>
      </c>
      <c r="AR292" s="1">
        <v>167.3</v>
      </c>
      <c r="AS292" s="1">
        <v>2</v>
      </c>
      <c r="AT292" s="1">
        <v>183</v>
      </c>
      <c r="AU292" s="1">
        <v>26</v>
      </c>
      <c r="AV292" s="1">
        <v>52.5</v>
      </c>
      <c r="AW292" s="1">
        <v>1.5</v>
      </c>
      <c r="AX292" s="1">
        <v>20.6</v>
      </c>
      <c r="AY292" s="1">
        <v>1</v>
      </c>
      <c r="AZ292" s="1">
        <v>13953.869999999999</v>
      </c>
      <c r="BA292" s="1">
        <v>496.8</v>
      </c>
      <c r="BB292" s="1">
        <v>2726.19</v>
      </c>
      <c r="BC292" s="1">
        <v>93.15</v>
      </c>
      <c r="BD292" s="1">
        <v>55206.9</v>
      </c>
      <c r="BE292" s="1">
        <v>1800.9</v>
      </c>
      <c r="BF292" s="1">
        <v>-7.5141000000000009</v>
      </c>
      <c r="BG292" s="1">
        <v>3.7881000000000005</v>
      </c>
      <c r="BH292" s="1">
        <f t="shared" si="84"/>
        <v>-7347.1074380165282</v>
      </c>
      <c r="BI292" s="1">
        <f t="shared" si="85"/>
        <v>-3711.6597210575151</v>
      </c>
    </row>
    <row r="293" spans="1:61" x14ac:dyDescent="0.2">
      <c r="A293" t="s">
        <v>995</v>
      </c>
      <c r="B293" t="s">
        <v>38</v>
      </c>
      <c r="C293" t="s">
        <v>996</v>
      </c>
      <c r="D293" t="s">
        <v>997</v>
      </c>
      <c r="E293">
        <v>78223</v>
      </c>
      <c r="F293">
        <v>44608</v>
      </c>
      <c r="G293" t="s">
        <v>997</v>
      </c>
      <c r="H293" s="1">
        <v>137.30000000000001</v>
      </c>
      <c r="I293" s="1">
        <v>115.9</v>
      </c>
      <c r="J293" s="10">
        <v>1.806</v>
      </c>
      <c r="K293" s="10">
        <f t="shared" ca="1" si="78"/>
        <v>5.3894845764692563E-2</v>
      </c>
      <c r="L293" s="7">
        <v>0.1736</v>
      </c>
      <c r="M293" s="7">
        <f t="shared" ca="1" si="79"/>
        <v>5.0014781814979462E-3</v>
      </c>
      <c r="N293" s="7">
        <v>0.95223999999999998</v>
      </c>
      <c r="O293" s="8">
        <v>5.7603689999999999</v>
      </c>
      <c r="P293" s="8">
        <f t="shared" ca="1" si="80"/>
        <v>0.1659582533880867</v>
      </c>
      <c r="Q293" s="9">
        <v>7.5200000000000003E-2</v>
      </c>
      <c r="R293" s="9">
        <f t="shared" ca="1" si="81"/>
        <v>1.5980037546889558E-3</v>
      </c>
      <c r="S293" s="8">
        <f t="shared" si="82"/>
        <v>0.47920470169037477</v>
      </c>
      <c r="T293" s="11">
        <v>5.3800000000000001E-2</v>
      </c>
      <c r="U293" s="11">
        <f t="shared" ca="1" si="83"/>
        <v>1.4689370306449493E-3</v>
      </c>
      <c r="V293" s="6" t="e">
        <f ca="1">IF(agePb6U8(1/O293)&lt;1400,age7corr(1/O293,Q293,$W$2),agePb76(Q293))</f>
        <v>#NAME?</v>
      </c>
      <c r="W293" s="6" t="e">
        <f ca="1">IF(agePb6U8(1/O293)&lt;1400,ageer7corr(V293,1/O293,P293/O293*(1/O293),Q293,R293,$W$2,0.05),ageerPb76(Q293,R293))</f>
        <v>#NAME?</v>
      </c>
      <c r="X293" s="4" t="e">
        <f ca="1">agePb6U8(L293)/agePb7u5(J293)</f>
        <v>#NAME?</v>
      </c>
      <c r="Z293" s="1">
        <v>1.806</v>
      </c>
      <c r="AA293" s="1">
        <v>0.04</v>
      </c>
      <c r="AB293" s="1">
        <v>0.1736</v>
      </c>
      <c r="AC293" s="1">
        <v>3.5999999999999999E-3</v>
      </c>
      <c r="AD293" s="1">
        <v>0.95223999999999998</v>
      </c>
      <c r="AE293" s="1">
        <v>5.7603689999999999</v>
      </c>
      <c r="AF293" s="1">
        <v>0.11945459999999999</v>
      </c>
      <c r="AG293" s="1">
        <v>7.5200000000000003E-2</v>
      </c>
      <c r="AH293" s="1">
        <v>5.4000000000000001E-4</v>
      </c>
      <c r="AI293" s="1">
        <v>-0.23637</v>
      </c>
      <c r="AJ293" s="1">
        <v>5.3800000000000001E-2</v>
      </c>
      <c r="AK293" s="1">
        <v>1E-3</v>
      </c>
      <c r="AL293" s="1">
        <v>4.0430000000000001</v>
      </c>
      <c r="AM293" s="1">
        <v>9.5000000000000001E-2</v>
      </c>
      <c r="AN293" s="1">
        <v>1047</v>
      </c>
      <c r="AO293" s="1">
        <v>14</v>
      </c>
      <c r="AP293" s="1">
        <v>1032</v>
      </c>
      <c r="AQ293" s="1">
        <v>20</v>
      </c>
      <c r="AR293" s="1">
        <v>1059</v>
      </c>
      <c r="AS293" s="1">
        <v>20</v>
      </c>
      <c r="AT293" s="1">
        <v>1073</v>
      </c>
      <c r="AU293" s="1">
        <v>14</v>
      </c>
      <c r="AV293" s="1">
        <v>29.4</v>
      </c>
      <c r="AW293" s="1">
        <v>1</v>
      </c>
      <c r="AX293" s="1">
        <v>9.08</v>
      </c>
      <c r="AY293" s="1">
        <v>0.18000000000000002</v>
      </c>
      <c r="AZ293" s="1">
        <v>39557.699999999997</v>
      </c>
      <c r="BA293" s="1">
        <v>745.2</v>
      </c>
      <c r="BB293" s="1">
        <v>14754.960000000001</v>
      </c>
      <c r="BC293" s="1">
        <v>459.54</v>
      </c>
      <c r="BD293" s="1">
        <v>198720</v>
      </c>
      <c r="BE293" s="1">
        <v>6210</v>
      </c>
      <c r="BF293" s="1">
        <v>9.3770999999999987</v>
      </c>
      <c r="BG293" s="1">
        <v>5.8995000000000006</v>
      </c>
      <c r="BH293" s="1">
        <f t="shared" si="84"/>
        <v>21192.052980132452</v>
      </c>
      <c r="BI293" s="1">
        <f t="shared" si="85"/>
        <v>13349.185799783738</v>
      </c>
    </row>
    <row r="294" spans="1:61" x14ac:dyDescent="0.2">
      <c r="A294" t="s">
        <v>998</v>
      </c>
      <c r="B294" t="s">
        <v>38</v>
      </c>
      <c r="C294" t="s">
        <v>999</v>
      </c>
      <c r="D294" t="s">
        <v>1000</v>
      </c>
      <c r="E294">
        <v>78203</v>
      </c>
      <c r="F294">
        <v>44776</v>
      </c>
      <c r="G294" t="s">
        <v>1000</v>
      </c>
      <c r="H294" s="1">
        <v>314</v>
      </c>
      <c r="I294" s="1">
        <v>143.5</v>
      </c>
      <c r="J294" s="10">
        <v>0.52700000000000002</v>
      </c>
      <c r="K294" s="10">
        <f t="shared" ca="1" si="78"/>
        <v>1.6735937380379984E-2</v>
      </c>
      <c r="L294" s="7">
        <v>6.4000000000000001E-2</v>
      </c>
      <c r="M294" s="7">
        <f t="shared" ca="1" si="79"/>
        <v>1.9719026345131748E-3</v>
      </c>
      <c r="N294" s="7">
        <v>0.94688000000000005</v>
      </c>
      <c r="O294" s="8">
        <v>15.625</v>
      </c>
      <c r="P294" s="8">
        <f t="shared" ca="1" si="80"/>
        <v>0.48142151310344455</v>
      </c>
      <c r="Q294" s="9">
        <v>6.0100000000000001E-2</v>
      </c>
      <c r="R294" s="9">
        <f t="shared" ca="1" si="81"/>
        <v>1.2732650941575364E-3</v>
      </c>
      <c r="S294" s="8">
        <f t="shared" si="82"/>
        <v>0.43715642665525162</v>
      </c>
      <c r="T294" s="11">
        <v>2.334E-2</v>
      </c>
      <c r="U294" s="11">
        <f t="shared" ca="1" si="83"/>
        <v>6.8403380033445725E-4</v>
      </c>
      <c r="V294" s="6" t="e">
        <f ca="1">IF(agePb6U8(1/O294)&lt;1400,age7corr(1/O294,Q294,$W$2),agePb76(Q294))</f>
        <v>#NAME?</v>
      </c>
      <c r="W294" s="6" t="e">
        <f ca="1">IF(agePb6U8(1/O294)&lt;1400,ageer7corr(V294,1/O294,P294/O294*(1/O294),Q294,R294,$W$2,0.05),ageerPb76(Q294,R294))</f>
        <v>#NAME?</v>
      </c>
      <c r="X294" s="4" t="e">
        <f ca="1">agePb6U8(L294)/agePb7u5(J294)</f>
        <v>#NAME?</v>
      </c>
      <c r="Z294" s="1">
        <v>0.52700000000000002</v>
      </c>
      <c r="AA294" s="1">
        <v>1.2999999999999999E-2</v>
      </c>
      <c r="AB294" s="1">
        <v>6.4000000000000001E-2</v>
      </c>
      <c r="AC294" s="1">
        <v>1.5E-3</v>
      </c>
      <c r="AD294" s="1">
        <v>0.94688000000000005</v>
      </c>
      <c r="AE294" s="1">
        <v>15.625</v>
      </c>
      <c r="AF294" s="1">
        <v>0.36621090000000001</v>
      </c>
      <c r="AG294" s="1">
        <v>6.0100000000000001E-2</v>
      </c>
      <c r="AH294" s="1">
        <v>4.2000000000000002E-4</v>
      </c>
      <c r="AI294" s="1">
        <v>-0.29558000000000001</v>
      </c>
      <c r="AJ294" s="1">
        <v>2.334E-2</v>
      </c>
      <c r="AK294" s="1">
        <v>5.0000000000000001E-4</v>
      </c>
      <c r="AL294" s="1">
        <v>6.44</v>
      </c>
      <c r="AM294" s="1">
        <v>0.13</v>
      </c>
      <c r="AN294" s="1">
        <v>429.5</v>
      </c>
      <c r="AO294" s="1">
        <v>8.8000000000000007</v>
      </c>
      <c r="AP294" s="1">
        <v>399.7</v>
      </c>
      <c r="AQ294" s="1">
        <v>9.1999999999999993</v>
      </c>
      <c r="AR294" s="1">
        <v>466.3</v>
      </c>
      <c r="AS294" s="1">
        <v>9.9</v>
      </c>
      <c r="AT294" s="1">
        <v>607</v>
      </c>
      <c r="AU294" s="1">
        <v>15</v>
      </c>
      <c r="AV294" s="1">
        <v>67.2</v>
      </c>
      <c r="AW294" s="1">
        <v>2.2000000000000002</v>
      </c>
      <c r="AX294" s="1">
        <v>11.25</v>
      </c>
      <c r="AY294" s="1">
        <v>0.19</v>
      </c>
      <c r="AZ294" s="1">
        <v>21064.32</v>
      </c>
      <c r="BA294" s="1">
        <v>385.02</v>
      </c>
      <c r="BB294" s="1">
        <v>10178.189999999999</v>
      </c>
      <c r="BC294" s="1">
        <v>217.35</v>
      </c>
      <c r="BD294" s="1">
        <v>169781.4</v>
      </c>
      <c r="BE294" s="1">
        <v>4036.4999999999991</v>
      </c>
      <c r="BF294" s="1">
        <v>70.173000000000002</v>
      </c>
      <c r="BG294" s="1">
        <v>7.4519999999999991</v>
      </c>
      <c r="BH294" s="1">
        <f t="shared" si="84"/>
        <v>2419.4690265486724</v>
      </c>
      <c r="BI294" s="1">
        <f t="shared" si="85"/>
        <v>263.29502013517225</v>
      </c>
    </row>
    <row r="295" spans="1:61" x14ac:dyDescent="0.2">
      <c r="A295" t="s">
        <v>1001</v>
      </c>
      <c r="B295" t="s">
        <v>38</v>
      </c>
      <c r="C295" t="s">
        <v>1002</v>
      </c>
      <c r="D295" t="s">
        <v>1003</v>
      </c>
      <c r="E295">
        <v>78340</v>
      </c>
      <c r="F295">
        <v>45603</v>
      </c>
      <c r="G295" t="s">
        <v>1003</v>
      </c>
      <c r="H295" s="1">
        <v>182.3</v>
      </c>
      <c r="I295" s="1">
        <v>67.900000000000006</v>
      </c>
      <c r="J295" s="10">
        <v>2.0110000000000001</v>
      </c>
      <c r="K295" s="10">
        <f t="shared" ca="1" si="78"/>
        <v>5.7433861092564556E-2</v>
      </c>
      <c r="L295" s="7">
        <v>0.18940000000000001</v>
      </c>
      <c r="M295" s="7">
        <f t="shared" ca="1" si="79"/>
        <v>5.4368137727900893E-3</v>
      </c>
      <c r="N295" s="7">
        <v>0.95574000000000003</v>
      </c>
      <c r="O295" s="8">
        <v>5.2798309999999997</v>
      </c>
      <c r="P295" s="8">
        <f t="shared" ca="1" si="80"/>
        <v>0.15155996710498587</v>
      </c>
      <c r="Q295" s="9">
        <v>7.7880000000000005E-2</v>
      </c>
      <c r="R295" s="9">
        <f t="shared" ca="1" si="81"/>
        <v>1.6241052182663538E-3</v>
      </c>
      <c r="S295" s="8">
        <f t="shared" si="82"/>
        <v>0.4608719577469319</v>
      </c>
      <c r="T295" s="11">
        <v>5.8099999999999999E-2</v>
      </c>
      <c r="U295" s="11">
        <f t="shared" ca="1" si="83"/>
        <v>1.6704023467416465E-3</v>
      </c>
      <c r="V295" s="6" t="e">
        <f ca="1">IF(agePb6U8(1/O295)&lt;1400,age7corr(1/O295,Q295,$W$2),agePb76(Q295))</f>
        <v>#NAME?</v>
      </c>
      <c r="W295" s="6" t="e">
        <f ca="1">IF(agePb6U8(1/O295)&lt;1400,ageer7corr(V295,1/O295,P295/O295*(1/O295),Q295,R295,$W$2,0.05),ageerPb76(Q295,R295))</f>
        <v>#NAME?</v>
      </c>
      <c r="X295" s="4" t="e">
        <f ca="1">agePb6U8(L295)/agePb7u5(J295)</f>
        <v>#NAME?</v>
      </c>
      <c r="Z295" s="1">
        <v>2.0110000000000001</v>
      </c>
      <c r="AA295" s="1">
        <v>4.1000000000000002E-2</v>
      </c>
      <c r="AB295" s="1">
        <v>0.18940000000000001</v>
      </c>
      <c r="AC295" s="1">
        <v>3.8999999999999998E-3</v>
      </c>
      <c r="AD295" s="1">
        <v>0.95574000000000003</v>
      </c>
      <c r="AE295" s="1">
        <v>5.2798309999999997</v>
      </c>
      <c r="AF295" s="1">
        <v>0.1087188</v>
      </c>
      <c r="AG295" s="1">
        <v>7.7880000000000005E-2</v>
      </c>
      <c r="AH295" s="1">
        <v>4.6000000000000001E-4</v>
      </c>
      <c r="AI295" s="1">
        <v>0.16206000000000001</v>
      </c>
      <c r="AJ295" s="1">
        <v>5.8099999999999999E-2</v>
      </c>
      <c r="AK295" s="1">
        <v>1.1999999999999999E-3</v>
      </c>
      <c r="AL295" s="1">
        <v>9.1059999999999999</v>
      </c>
      <c r="AM295" s="1">
        <v>2.5999999999999999E-2</v>
      </c>
      <c r="AN295" s="1">
        <v>1119</v>
      </c>
      <c r="AO295" s="1">
        <v>14</v>
      </c>
      <c r="AP295" s="1">
        <v>1118</v>
      </c>
      <c r="AQ295" s="1">
        <v>21</v>
      </c>
      <c r="AR295" s="1">
        <v>1141</v>
      </c>
      <c r="AS295" s="1">
        <v>22</v>
      </c>
      <c r="AT295" s="1">
        <v>1144</v>
      </c>
      <c r="AU295" s="1">
        <v>12</v>
      </c>
      <c r="AV295" s="1">
        <v>39.03</v>
      </c>
      <c r="AW295" s="1">
        <v>0.79</v>
      </c>
      <c r="AX295" s="1">
        <v>5.3229999999999995</v>
      </c>
      <c r="AY295" s="1">
        <v>9.1999999999999998E-2</v>
      </c>
      <c r="AZ295" s="1">
        <v>25554.149999999998</v>
      </c>
      <c r="BA295" s="1">
        <v>490.59000000000003</v>
      </c>
      <c r="BB295" s="1">
        <v>22120.019999999997</v>
      </c>
      <c r="BC295" s="1">
        <v>422.28000000000003</v>
      </c>
      <c r="BD295" s="1">
        <v>286902</v>
      </c>
      <c r="BE295" s="1">
        <v>5216.3999999999996</v>
      </c>
      <c r="BF295" s="1">
        <v>6.8310000000000004</v>
      </c>
      <c r="BG295" s="1">
        <v>5.2164000000000001</v>
      </c>
      <c r="BH295" s="1">
        <f t="shared" si="84"/>
        <v>42000</v>
      </c>
      <c r="BI295" s="1">
        <f t="shared" si="85"/>
        <v>32081.816893789095</v>
      </c>
    </row>
    <row r="296" spans="1:61" x14ac:dyDescent="0.2">
      <c r="A296" t="s">
        <v>1004</v>
      </c>
      <c r="B296" t="s">
        <v>38</v>
      </c>
      <c r="C296" t="s">
        <v>1005</v>
      </c>
      <c r="D296" t="s">
        <v>1006</v>
      </c>
      <c r="E296">
        <v>78405</v>
      </c>
      <c r="F296">
        <v>45658</v>
      </c>
      <c r="G296" t="s">
        <v>1006</v>
      </c>
      <c r="H296" s="1">
        <v>153</v>
      </c>
      <c r="I296" s="1">
        <v>110.9</v>
      </c>
      <c r="J296" s="10">
        <v>0.35370000000000001</v>
      </c>
      <c r="K296" s="10">
        <f t="shared" ca="1" si="78"/>
        <v>1.0981870332507119E-2</v>
      </c>
      <c r="L296" s="7">
        <v>4.845E-2</v>
      </c>
      <c r="M296" s="7">
        <f t="shared" ca="1" si="79"/>
        <v>1.1837909443816505E-3</v>
      </c>
      <c r="N296" s="7">
        <v>0.93837000000000004</v>
      </c>
      <c r="O296" s="8">
        <v>20.63983</v>
      </c>
      <c r="P296" s="8">
        <f t="shared" ca="1" si="80"/>
        <v>0.50429816196291055</v>
      </c>
      <c r="Q296" s="9">
        <v>5.2690000000000001E-2</v>
      </c>
      <c r="R296" s="9">
        <f t="shared" ca="1" si="81"/>
        <v>1.188694426671548E-3</v>
      </c>
      <c r="S296" s="8">
        <f t="shared" si="82"/>
        <v>0.44444622660483113</v>
      </c>
      <c r="T296" s="11">
        <v>1.6469999999999999E-2</v>
      </c>
      <c r="U296" s="11">
        <f t="shared" ca="1" si="83"/>
        <v>4.4553828118355885E-4</v>
      </c>
      <c r="V296" s="6" t="e">
        <f ca="1">IF(agePb6U8(1/O296)&lt;1400,age7corr(1/O296,Q296,$W$2),agePb76(Q296))</f>
        <v>#NAME?</v>
      </c>
      <c r="W296" s="6" t="e">
        <f ca="1">IF(agePb6U8(1/O296)&lt;1400,ageer7corr(V296,1/O296,P296/O296*(1/O296),Q296,R296,$W$2,0.05),ageerPb76(Q296,R296))</f>
        <v>#NAME?</v>
      </c>
      <c r="X296" s="4" t="e">
        <f ca="1">agePb6U8(L296)/agePb7u5(J296)</f>
        <v>#NAME?</v>
      </c>
      <c r="Z296" s="1">
        <v>0.35370000000000001</v>
      </c>
      <c r="AA296" s="1">
        <v>8.3999999999999995E-3</v>
      </c>
      <c r="AB296" s="1">
        <v>4.845E-2</v>
      </c>
      <c r="AC296" s="1">
        <v>6.8000000000000005E-4</v>
      </c>
      <c r="AD296" s="1">
        <v>0.93837000000000004</v>
      </c>
      <c r="AE296" s="1">
        <v>20.63983</v>
      </c>
      <c r="AF296" s="1">
        <v>0.28968189999999999</v>
      </c>
      <c r="AG296" s="1">
        <v>5.2690000000000001E-2</v>
      </c>
      <c r="AH296" s="1">
        <v>5.5000000000000003E-4</v>
      </c>
      <c r="AI296" s="1">
        <v>-0.27106000000000002</v>
      </c>
      <c r="AJ296" s="1">
        <v>1.6469999999999999E-2</v>
      </c>
      <c r="AK296" s="1">
        <v>2.9999999999999997E-4</v>
      </c>
      <c r="AL296" s="1">
        <v>4.4290000000000003</v>
      </c>
      <c r="AM296" s="1">
        <v>7.6999999999999999E-2</v>
      </c>
      <c r="AN296" s="1">
        <v>307.39999999999998</v>
      </c>
      <c r="AO296" s="1">
        <v>6.3</v>
      </c>
      <c r="AP296" s="1">
        <v>305</v>
      </c>
      <c r="AQ296" s="1">
        <v>4.2</v>
      </c>
      <c r="AR296" s="1">
        <v>330.3</v>
      </c>
      <c r="AS296" s="1">
        <v>5.9</v>
      </c>
      <c r="AT296" s="1">
        <v>315</v>
      </c>
      <c r="AU296" s="1">
        <v>24</v>
      </c>
      <c r="AV296" s="1">
        <v>32.700000000000003</v>
      </c>
      <c r="AW296" s="1">
        <v>2.2000000000000002</v>
      </c>
      <c r="AX296" s="1">
        <v>8.69</v>
      </c>
      <c r="AY296" s="1">
        <v>0.55999999999999994</v>
      </c>
      <c r="AZ296" s="1">
        <v>11302.199999999999</v>
      </c>
      <c r="BA296" s="1">
        <v>807.3</v>
      </c>
      <c r="BB296" s="1">
        <v>3247.83</v>
      </c>
      <c r="BC296" s="1">
        <v>186.3</v>
      </c>
      <c r="BD296" s="1">
        <v>62410.500000000007</v>
      </c>
      <c r="BE296" s="1">
        <v>3477.6</v>
      </c>
      <c r="BF296" s="1">
        <v>5.0301</v>
      </c>
      <c r="BG296" s="1">
        <v>5.6510999999999996</v>
      </c>
      <c r="BH296" s="1">
        <f t="shared" si="84"/>
        <v>12407.407407407409</v>
      </c>
      <c r="BI296" s="1">
        <f t="shared" si="85"/>
        <v>13956.320612533063</v>
      </c>
    </row>
    <row r="297" spans="1:61" x14ac:dyDescent="0.2">
      <c r="A297" t="s">
        <v>1007</v>
      </c>
      <c r="B297" t="s">
        <v>38</v>
      </c>
      <c r="C297" t="s">
        <v>1008</v>
      </c>
      <c r="D297" t="s">
        <v>1009</v>
      </c>
      <c r="E297">
        <v>78409</v>
      </c>
      <c r="F297">
        <v>45730</v>
      </c>
      <c r="G297" t="s">
        <v>1009</v>
      </c>
      <c r="H297" s="1">
        <v>149.1</v>
      </c>
      <c r="I297" s="1">
        <v>29.83</v>
      </c>
      <c r="J297" s="10">
        <v>1.5680000000000001</v>
      </c>
      <c r="K297" s="10">
        <f t="shared" ref="K297:K302" ca="1" si="86">SQRT(K$2^2+(AA297/Z297)^2)*J297</f>
        <v>5.5672700670975177E-2</v>
      </c>
      <c r="L297" s="7">
        <v>0.15540000000000001</v>
      </c>
      <c r="M297" s="7">
        <f t="shared" ref="M297:M302" ca="1" si="87">SQRT(M$2^2+(AC297/AB297)^2)*L297</f>
        <v>4.9091408616987143E-3</v>
      </c>
      <c r="N297" s="7">
        <v>0.87351999999999996</v>
      </c>
      <c r="O297" s="8">
        <v>6.4350059999999996</v>
      </c>
      <c r="P297" s="8">
        <f t="shared" ref="P297:P302" ca="1" si="88">SQRT(P$2^2+(AF297/AE297)^2)*O297</f>
        <v>0.20328414300474693</v>
      </c>
      <c r="Q297" s="9">
        <v>7.3599999999999999E-2</v>
      </c>
      <c r="R297" s="9">
        <f t="shared" ref="R297:R302" ca="1" si="89">SQRT(R$2^2+(AH297/AG297)^2)*Q297</f>
        <v>1.8376027862408134E-3</v>
      </c>
      <c r="S297" s="8">
        <f t="shared" ref="S297:S302" si="90">(((BE297/BD297)^2+(AW297/AV297)^2)+((BE297/BD297)^2+(BC297/BB297)^2)-((BC297/BB297)^2+(AW297/AV297)^2))/(2*SQRT((BE297/BD297)^2+(AW297/AV297)^2)*SQRT((BE297/BD297)^2+(BC297/BB297)^2))</f>
        <v>0.39846048643784587</v>
      </c>
      <c r="T297" s="11">
        <v>5.5300000000000002E-2</v>
      </c>
      <c r="U297" s="11">
        <f t="shared" ref="U297:U302" ca="1" si="91">SQRT(U$2^2+(AK297/AJ297)^2)*T297</f>
        <v>1.8636619865200878E-3</v>
      </c>
      <c r="V297" s="6" t="e">
        <f ca="1">IF(agePb6U8(1/O297)&lt;1400,age7corr(1/O297,Q297,$W$2),agePb76(Q297))</f>
        <v>#NAME?</v>
      </c>
      <c r="W297" s="6" t="e">
        <f ca="1">IF(agePb6U8(1/O297)&lt;1400,ageer7corr(V297,1/O297,P297/O297*(1/O297),Q297,R297,$W$2,0.05),ageerPb76(Q297,R297))</f>
        <v>#NAME?</v>
      </c>
      <c r="X297" s="4" t="e">
        <f ca="1">agePb6U8(L297)/agePb7u5(J297)</f>
        <v>#NAME?</v>
      </c>
      <c r="Z297" s="1">
        <v>1.5680000000000001</v>
      </c>
      <c r="AA297" s="1">
        <v>4.5999999999999999E-2</v>
      </c>
      <c r="AB297" s="1">
        <v>0.15540000000000001</v>
      </c>
      <c r="AC297" s="1">
        <v>3.8E-3</v>
      </c>
      <c r="AD297" s="1">
        <v>0.87351999999999996</v>
      </c>
      <c r="AE297" s="1">
        <v>6.4350059999999996</v>
      </c>
      <c r="AF297" s="1">
        <v>0.15735540000000001</v>
      </c>
      <c r="AG297" s="1">
        <v>7.3599999999999999E-2</v>
      </c>
      <c r="AH297" s="1">
        <v>1.1000000000000001E-3</v>
      </c>
      <c r="AI297" s="1">
        <v>-0.35260999999999998</v>
      </c>
      <c r="AJ297" s="1">
        <v>5.5300000000000002E-2</v>
      </c>
      <c r="AK297" s="1">
        <v>1.5E-3</v>
      </c>
      <c r="AL297" s="1">
        <v>15.18</v>
      </c>
      <c r="AM297" s="1">
        <v>0.28999999999999998</v>
      </c>
      <c r="AN297" s="1">
        <v>957</v>
      </c>
      <c r="AO297" s="1">
        <v>18</v>
      </c>
      <c r="AP297" s="1">
        <v>931</v>
      </c>
      <c r="AQ297" s="1">
        <v>21</v>
      </c>
      <c r="AR297" s="1">
        <v>1089</v>
      </c>
      <c r="AS297" s="1">
        <v>28</v>
      </c>
      <c r="AT297" s="1">
        <v>1030</v>
      </c>
      <c r="AU297" s="1">
        <v>29</v>
      </c>
      <c r="AV297" s="1">
        <v>31.91</v>
      </c>
      <c r="AW297" s="1">
        <v>0.82</v>
      </c>
      <c r="AX297" s="1">
        <v>2.3370000000000002</v>
      </c>
      <c r="AY297" s="1">
        <v>4.1999999999999996E-2</v>
      </c>
      <c r="AZ297" s="1">
        <v>10395.539999999999</v>
      </c>
      <c r="BA297" s="1">
        <v>378.81</v>
      </c>
      <c r="BB297" s="1">
        <v>14165.01</v>
      </c>
      <c r="BC297" s="1">
        <v>478.17000000000007</v>
      </c>
      <c r="BD297" s="1">
        <v>195428.7</v>
      </c>
      <c r="BE297" s="1">
        <v>4719.5999999999995</v>
      </c>
      <c r="BF297" s="1">
        <v>34.155000000000001</v>
      </c>
      <c r="BG297" s="1">
        <v>16.145999999999997</v>
      </c>
      <c r="BH297" s="1">
        <f t="shared" ref="BH297:BH302" si="92">BD297/BF297</f>
        <v>5721.818181818182</v>
      </c>
      <c r="BI297" s="1">
        <f t="shared" ref="BI297:BI302" si="93">SQRT((BG297/BF297)^2+(BE297/BD297)^2)*BH297</f>
        <v>2708.386817271582</v>
      </c>
    </row>
    <row r="298" spans="1:61" x14ac:dyDescent="0.2">
      <c r="A298" t="s">
        <v>1010</v>
      </c>
      <c r="B298" t="s">
        <v>38</v>
      </c>
      <c r="C298" t="s">
        <v>1011</v>
      </c>
      <c r="D298" t="s">
        <v>1012</v>
      </c>
      <c r="E298">
        <v>78409</v>
      </c>
      <c r="F298">
        <v>45817</v>
      </c>
      <c r="G298" t="s">
        <v>1012</v>
      </c>
      <c r="H298" s="1">
        <v>49.3</v>
      </c>
      <c r="I298" s="1">
        <v>73.58</v>
      </c>
      <c r="J298" s="10">
        <v>0.19289999999999999</v>
      </c>
      <c r="K298" s="10">
        <f t="shared" ca="1" si="86"/>
        <v>9.4257182219712049E-3</v>
      </c>
      <c r="L298" s="7">
        <v>2.5510000000000001E-2</v>
      </c>
      <c r="M298" s="7">
        <f t="shared" ca="1" si="87"/>
        <v>8.0293464242116232E-4</v>
      </c>
      <c r="N298" s="7">
        <v>0.70126999999999995</v>
      </c>
      <c r="O298" s="8">
        <v>39.200310000000002</v>
      </c>
      <c r="P298" s="8">
        <f t="shared" ca="1" si="88"/>
        <v>1.2338411508222766</v>
      </c>
      <c r="Q298" s="9">
        <v>5.5899999999999998E-2</v>
      </c>
      <c r="R298" s="9">
        <f t="shared" ca="1" si="89"/>
        <v>2.2912712628582414E-3</v>
      </c>
      <c r="S298" s="8">
        <f t="shared" si="90"/>
        <v>0.37147735890198924</v>
      </c>
      <c r="T298" s="11">
        <v>9.1599999999999997E-3</v>
      </c>
      <c r="U298" s="11">
        <f t="shared" ca="1" si="91"/>
        <v>2.7122359779340735E-4</v>
      </c>
      <c r="V298" s="6" t="e">
        <f ca="1">IF(agePb6U8(1/O298)&lt;1400,age7corr(1/O298,Q298,$W$2),agePb76(Q298))</f>
        <v>#NAME?</v>
      </c>
      <c r="W298" s="6" t="e">
        <f ca="1">IF(agePb6U8(1/O298)&lt;1400,ageer7corr(V298,1/O298,P298/O298*(1/O298),Q298,R298,$W$2,0.05),ageerPb76(Q298,R298))</f>
        <v>#NAME?</v>
      </c>
      <c r="X298" s="4" t="e">
        <f ca="1">agePb6U8(L298)/agePb7u5(J298)</f>
        <v>#NAME?</v>
      </c>
      <c r="Z298" s="1">
        <v>0.19289999999999999</v>
      </c>
      <c r="AA298" s="1">
        <v>8.6E-3</v>
      </c>
      <c r="AB298" s="1">
        <v>2.5510000000000001E-2</v>
      </c>
      <c r="AC298" s="1">
        <v>6.2E-4</v>
      </c>
      <c r="AD298" s="1">
        <v>0.70126999999999995</v>
      </c>
      <c r="AE298" s="1">
        <v>39.200310000000002</v>
      </c>
      <c r="AF298" s="1">
        <v>0.95273200000000002</v>
      </c>
      <c r="AG298" s="1">
        <v>5.5899999999999998E-2</v>
      </c>
      <c r="AH298" s="1">
        <v>2E-3</v>
      </c>
      <c r="AI298" s="1">
        <v>-0.15095</v>
      </c>
      <c r="AJ298" s="1">
        <v>9.1599999999999997E-3</v>
      </c>
      <c r="AK298" s="1">
        <v>2.0000000000000001E-4</v>
      </c>
      <c r="AL298" s="1">
        <v>1.9910000000000001</v>
      </c>
      <c r="AM298" s="1">
        <v>1.6E-2</v>
      </c>
      <c r="AN298" s="1">
        <v>179</v>
      </c>
      <c r="AO298" s="1">
        <v>7.2</v>
      </c>
      <c r="AP298" s="1">
        <v>162.4</v>
      </c>
      <c r="AQ298" s="1">
        <v>3.9</v>
      </c>
      <c r="AR298" s="1">
        <v>184.4</v>
      </c>
      <c r="AS298" s="1">
        <v>4</v>
      </c>
      <c r="AT298" s="1">
        <v>439</v>
      </c>
      <c r="AU298" s="1">
        <v>78</v>
      </c>
      <c r="AV298" s="1">
        <v>10.55</v>
      </c>
      <c r="AW298" s="1">
        <v>0.34</v>
      </c>
      <c r="AX298" s="1">
        <v>5.7650000000000006</v>
      </c>
      <c r="AY298" s="1">
        <v>7.5999999999999998E-2</v>
      </c>
      <c r="AZ298" s="1">
        <v>4235.22</v>
      </c>
      <c r="BA298" s="1">
        <v>167.67000000000002</v>
      </c>
      <c r="BB298" s="1">
        <v>578.15100000000007</v>
      </c>
      <c r="BC298" s="1">
        <v>35.397000000000006</v>
      </c>
      <c r="BD298" s="1">
        <v>10668.78</v>
      </c>
      <c r="BE298" s="1">
        <v>378.81</v>
      </c>
      <c r="BF298" s="1">
        <v>10.8675</v>
      </c>
      <c r="BG298" s="1">
        <v>5.6510999999999996</v>
      </c>
      <c r="BH298" s="1">
        <f t="shared" si="92"/>
        <v>981.71428571428578</v>
      </c>
      <c r="BI298" s="1">
        <f t="shared" si="93"/>
        <v>511.68009444677563</v>
      </c>
    </row>
    <row r="299" spans="1:61" s="23" customFormat="1" x14ac:dyDescent="0.2">
      <c r="A299" s="23" t="s">
        <v>788</v>
      </c>
      <c r="B299" s="23" t="s">
        <v>38</v>
      </c>
      <c r="C299" s="23" t="s">
        <v>789</v>
      </c>
      <c r="D299" s="23" t="s">
        <v>790</v>
      </c>
      <c r="E299" s="23">
        <v>78678</v>
      </c>
      <c r="F299" s="23">
        <v>41649</v>
      </c>
      <c r="G299" s="23" t="s">
        <v>790</v>
      </c>
      <c r="H299" s="24">
        <v>80.099999999999994</v>
      </c>
      <c r="I299" s="24">
        <v>41.62</v>
      </c>
      <c r="J299" s="25">
        <v>2.524</v>
      </c>
      <c r="K299" s="25">
        <f t="shared" ca="1" si="86"/>
        <v>8.711618908101984E-2</v>
      </c>
      <c r="L299" s="26">
        <v>0.1792</v>
      </c>
      <c r="M299" s="26">
        <f t="shared" ca="1" si="87"/>
        <v>4.8718637090953195E-3</v>
      </c>
      <c r="N299" s="26">
        <v>0.69599999999999995</v>
      </c>
      <c r="O299" s="26">
        <v>5.5803570000000002</v>
      </c>
      <c r="P299" s="26">
        <f t="shared" ca="1" si="88"/>
        <v>0.15171173166854832</v>
      </c>
      <c r="Q299" s="25">
        <v>0.1041</v>
      </c>
      <c r="R299" s="25">
        <f t="shared" ca="1" si="89"/>
        <v>3.1772195391568392E-3</v>
      </c>
      <c r="S299" s="26">
        <f t="shared" si="90"/>
        <v>0.21284378480614866</v>
      </c>
      <c r="T299" s="25">
        <v>8.09E-2</v>
      </c>
      <c r="U299" s="25">
        <f t="shared" ca="1" si="91"/>
        <v>3.233871364170195E-3</v>
      </c>
      <c r="V299" s="24" t="e">
        <f ca="1">IF(agePb6U8(1/O299)&lt;1400,age7corr(1/O299,Q299,$W$2),agePb76(Q299))</f>
        <v>#NAME?</v>
      </c>
      <c r="W299" s="24" t="e">
        <f ca="1">IF(agePb6U8(1/O299)&lt;1400,ageer7corr(V299,1/O299,P299/O299*(1/O299),Q299,R299,$W$2,0.05),ageerPb76(Q299,R299))</f>
        <v>#NAME?</v>
      </c>
      <c r="X299" s="26" t="e">
        <f ca="1">agePb6U8(L299)/agePb7u5(J299)</f>
        <v>#NAME?</v>
      </c>
      <c r="Y299" s="24"/>
      <c r="Z299" s="24">
        <v>2.524</v>
      </c>
      <c r="AA299" s="24">
        <v>7.0999999999999994E-2</v>
      </c>
      <c r="AB299" s="24">
        <v>0.1792</v>
      </c>
      <c r="AC299" s="24">
        <v>3.3E-3</v>
      </c>
      <c r="AD299" s="24">
        <v>0.69599999999999995</v>
      </c>
      <c r="AE299" s="24">
        <v>5.5803570000000002</v>
      </c>
      <c r="AF299" s="24">
        <v>0.1027633</v>
      </c>
      <c r="AG299" s="24">
        <v>0.1041</v>
      </c>
      <c r="AH299" s="24">
        <v>2.3999999999999998E-3</v>
      </c>
      <c r="AI299" s="24">
        <v>3.5904999999999999E-2</v>
      </c>
      <c r="AJ299" s="24">
        <v>8.09E-2</v>
      </c>
      <c r="AK299" s="24">
        <v>2.8E-3</v>
      </c>
      <c r="AL299" s="24">
        <v>4.46</v>
      </c>
      <c r="AM299" s="24">
        <v>0.12</v>
      </c>
      <c r="AN299" s="24">
        <v>1278</v>
      </c>
      <c r="AO299" s="24">
        <v>20</v>
      </c>
      <c r="AP299" s="24">
        <v>1062</v>
      </c>
      <c r="AQ299" s="24">
        <v>18</v>
      </c>
      <c r="AR299" s="24">
        <v>1571</v>
      </c>
      <c r="AS299" s="24">
        <v>52</v>
      </c>
      <c r="AT299" s="24">
        <v>1696</v>
      </c>
      <c r="AU299" s="24">
        <v>43</v>
      </c>
      <c r="AV299" s="24">
        <v>17.27</v>
      </c>
      <c r="AW299" s="24">
        <v>0.34</v>
      </c>
      <c r="AX299" s="24">
        <v>3.2729999999999997</v>
      </c>
      <c r="AY299" s="24">
        <v>6.8000000000000005E-2</v>
      </c>
      <c r="AZ299" s="24">
        <v>21859.199999999997</v>
      </c>
      <c r="BA299" s="24">
        <v>869.4</v>
      </c>
      <c r="BB299" s="24">
        <v>12351.69</v>
      </c>
      <c r="BC299" s="24">
        <v>403.65</v>
      </c>
      <c r="BD299" s="24">
        <v>120722.4</v>
      </c>
      <c r="BE299" s="24">
        <v>1614.6</v>
      </c>
      <c r="BF299" s="24">
        <v>261.44100000000003</v>
      </c>
      <c r="BG299" s="24">
        <v>24.839999999999996</v>
      </c>
      <c r="BH299" s="24">
        <f t="shared" si="92"/>
        <v>461.75771971496431</v>
      </c>
      <c r="BI299" s="24">
        <f t="shared" si="93"/>
        <v>44.305006014657451</v>
      </c>
    </row>
    <row r="300" spans="1:61" s="23" customFormat="1" x14ac:dyDescent="0.2">
      <c r="A300" s="23" t="s">
        <v>1013</v>
      </c>
      <c r="B300" s="23" t="s">
        <v>38</v>
      </c>
      <c r="C300" s="23" t="s">
        <v>1014</v>
      </c>
      <c r="D300" s="23" t="s">
        <v>1015</v>
      </c>
      <c r="E300" s="23">
        <v>78340</v>
      </c>
      <c r="F300" s="23">
        <v>45951</v>
      </c>
      <c r="G300" s="23" t="s">
        <v>1015</v>
      </c>
      <c r="H300" s="24">
        <v>168.2</v>
      </c>
      <c r="I300" s="24">
        <v>48.3</v>
      </c>
      <c r="J300" s="25">
        <v>2.2519999999999998</v>
      </c>
      <c r="K300" s="25">
        <f t="shared" ca="1" si="86"/>
        <v>6.582250071214249E-2</v>
      </c>
      <c r="L300" s="26">
        <v>0.1971</v>
      </c>
      <c r="M300" s="26">
        <f t="shared" ca="1" si="87"/>
        <v>5.4064187777122848E-3</v>
      </c>
      <c r="N300" s="26">
        <v>0.75356000000000001</v>
      </c>
      <c r="O300" s="26">
        <v>5.0735669999999997</v>
      </c>
      <c r="P300" s="26">
        <f t="shared" ca="1" si="88"/>
        <v>0.13916705608927601</v>
      </c>
      <c r="Q300" s="25">
        <v>8.3000000000000004E-2</v>
      </c>
      <c r="R300" s="25">
        <f t="shared" ca="1" si="89"/>
        <v>2.1084591530309525E-3</v>
      </c>
      <c r="S300" s="26">
        <f t="shared" si="90"/>
        <v>0.58620570445053044</v>
      </c>
      <c r="T300" s="25">
        <v>6.8500000000000005E-2</v>
      </c>
      <c r="U300" s="25">
        <f t="shared" ca="1" si="91"/>
        <v>2.5916982849089514E-3</v>
      </c>
      <c r="V300" s="24" t="e">
        <f ca="1">IF(agePb6U8(1/O300)&lt;1400,age7corr(1/O300,Q300,$W$2),agePb76(Q300))</f>
        <v>#NAME?</v>
      </c>
      <c r="W300" s="24" t="e">
        <f ca="1">IF(agePb6U8(1/O300)&lt;1400,ageer7corr(V300,1/O300,P300/O300*(1/O300),Q300,R300,$W$2,0.05),ageerPb76(Q300,R300))</f>
        <v>#NAME?</v>
      </c>
      <c r="X300" s="26" t="e">
        <f ca="1">agePb6U8(L300)/agePb7u5(J300)</f>
        <v>#NAME?</v>
      </c>
      <c r="Y300" s="24"/>
      <c r="Z300" s="24">
        <v>2.2519999999999998</v>
      </c>
      <c r="AA300" s="24">
        <v>4.8000000000000001E-2</v>
      </c>
      <c r="AB300" s="24">
        <v>0.1971</v>
      </c>
      <c r="AC300" s="24">
        <v>3.7000000000000002E-3</v>
      </c>
      <c r="AD300" s="24">
        <v>0.75356000000000001</v>
      </c>
      <c r="AE300" s="24">
        <v>5.0735669999999997</v>
      </c>
      <c r="AF300" s="24">
        <v>9.5241989999999999E-2</v>
      </c>
      <c r="AG300" s="24">
        <v>8.3000000000000004E-2</v>
      </c>
      <c r="AH300" s="24">
        <v>1.2999999999999999E-3</v>
      </c>
      <c r="AI300" s="24">
        <v>-9.5945000000000006E-3</v>
      </c>
      <c r="AJ300" s="24">
        <v>6.8500000000000005E-2</v>
      </c>
      <c r="AK300" s="24">
        <v>2.2000000000000001E-3</v>
      </c>
      <c r="AL300" s="24">
        <v>10.73</v>
      </c>
      <c r="AM300" s="24">
        <v>0.12</v>
      </c>
      <c r="AN300" s="24">
        <v>1197</v>
      </c>
      <c r="AO300" s="24">
        <v>15</v>
      </c>
      <c r="AP300" s="24">
        <v>1160</v>
      </c>
      <c r="AQ300" s="24">
        <v>20</v>
      </c>
      <c r="AR300" s="24">
        <v>1339</v>
      </c>
      <c r="AS300" s="24">
        <v>41</v>
      </c>
      <c r="AT300" s="24">
        <v>1268</v>
      </c>
      <c r="AU300" s="24">
        <v>31</v>
      </c>
      <c r="AV300" s="24">
        <v>35.99</v>
      </c>
      <c r="AW300" s="24">
        <v>0.56999999999999995</v>
      </c>
      <c r="AX300" s="24">
        <v>3.79</v>
      </c>
      <c r="AY300" s="24">
        <v>0.19</v>
      </c>
      <c r="AZ300" s="24">
        <v>20971.169999999998</v>
      </c>
      <c r="BA300" s="24">
        <v>322.91999999999996</v>
      </c>
      <c r="BB300" s="24">
        <v>22840.38</v>
      </c>
      <c r="BC300" s="24">
        <v>310.5</v>
      </c>
      <c r="BD300" s="24">
        <v>279946.8</v>
      </c>
      <c r="BE300" s="24">
        <v>4905.8999999999996</v>
      </c>
      <c r="BF300" s="24">
        <v>62.721000000000004</v>
      </c>
      <c r="BG300" s="24">
        <v>26.702999999999999</v>
      </c>
      <c r="BH300" s="24">
        <f t="shared" si="92"/>
        <v>4463.3663366336632</v>
      </c>
      <c r="BI300" s="24">
        <f t="shared" si="93"/>
        <v>1901.8541923482346</v>
      </c>
    </row>
    <row r="301" spans="1:61" x14ac:dyDescent="0.2">
      <c r="A301" t="s">
        <v>791</v>
      </c>
      <c r="B301" t="s">
        <v>38</v>
      </c>
      <c r="C301" t="s">
        <v>792</v>
      </c>
      <c r="D301" t="s">
        <v>793</v>
      </c>
      <c r="E301">
        <v>78735</v>
      </c>
      <c r="F301">
        <v>42066</v>
      </c>
      <c r="G301" t="s">
        <v>793</v>
      </c>
      <c r="H301" s="1">
        <v>343</v>
      </c>
      <c r="I301" s="1">
        <v>189</v>
      </c>
      <c r="J301" s="10">
        <v>0.1734</v>
      </c>
      <c r="K301" s="10">
        <f t="shared" ca="1" si="86"/>
        <v>6.0849834839545782E-3</v>
      </c>
      <c r="L301" s="7">
        <v>2.5669999999999998E-2</v>
      </c>
      <c r="M301" s="7">
        <f t="shared" ca="1" si="87"/>
        <v>8.3616957610283817E-4</v>
      </c>
      <c r="N301" s="7">
        <v>0.93572</v>
      </c>
      <c r="O301" s="8">
        <v>38.955979999999997</v>
      </c>
      <c r="P301" s="8">
        <f t="shared" ca="1" si="88"/>
        <v>1.2689444019062301</v>
      </c>
      <c r="Q301" s="9">
        <v>4.9200000000000001E-2</v>
      </c>
      <c r="R301" s="9">
        <f t="shared" ca="1" si="89"/>
        <v>1.1738211107319549E-3</v>
      </c>
      <c r="S301" s="8">
        <f t="shared" si="90"/>
        <v>0.53791092737448398</v>
      </c>
      <c r="T301" s="11">
        <v>8.7299999999999999E-3</v>
      </c>
      <c r="U301" s="11">
        <f t="shared" ca="1" si="91"/>
        <v>2.8086502096202724E-4</v>
      </c>
      <c r="V301" s="6" t="e">
        <f ca="1">IF(agePb6U8(1/O301)&lt;1400,age7corr(1/O301,Q301,$W$2),agePb76(Q301))</f>
        <v>#NAME?</v>
      </c>
      <c r="W301" s="6" t="e">
        <f ca="1">IF(agePb6U8(1/O301)&lt;1400,ageer7corr(V301,1/O301,P301/O301*(1/O301),Q301,R301,$W$2,0.05),ageerPb76(Q301,R301))</f>
        <v>#NAME?</v>
      </c>
      <c r="X301" s="4" t="e">
        <f ca="1">agePb6U8(L301)/agePb7u5(J301)</f>
        <v>#NAME?</v>
      </c>
      <c r="Z301" s="1">
        <v>0.1734</v>
      </c>
      <c r="AA301" s="1">
        <v>5.0000000000000001E-3</v>
      </c>
      <c r="AB301" s="1">
        <v>2.5669999999999998E-2</v>
      </c>
      <c r="AC301" s="1">
        <v>6.6E-4</v>
      </c>
      <c r="AD301" s="1">
        <v>0.93572</v>
      </c>
      <c r="AE301" s="1">
        <v>38.955979999999997</v>
      </c>
      <c r="AF301" s="1">
        <v>1.001595</v>
      </c>
      <c r="AG301" s="1">
        <v>4.9200000000000001E-2</v>
      </c>
      <c r="AH301" s="1">
        <v>6.4000000000000005E-4</v>
      </c>
      <c r="AI301" s="1">
        <v>-0.16522999999999999</v>
      </c>
      <c r="AJ301" s="1">
        <v>8.7299999999999999E-3</v>
      </c>
      <c r="AK301" s="1">
        <v>2.2000000000000001E-4</v>
      </c>
      <c r="AL301" s="1">
        <v>5.6870000000000003</v>
      </c>
      <c r="AM301" s="1">
        <v>9.2999999999999999E-2</v>
      </c>
      <c r="AN301" s="1">
        <v>162.30000000000001</v>
      </c>
      <c r="AO301" s="1">
        <v>4.3</v>
      </c>
      <c r="AP301" s="1">
        <v>163.4</v>
      </c>
      <c r="AQ301" s="1">
        <v>4.2</v>
      </c>
      <c r="AR301" s="1">
        <v>175.7</v>
      </c>
      <c r="AS301" s="1">
        <v>4.3</v>
      </c>
      <c r="AT301" s="1">
        <v>156</v>
      </c>
      <c r="AU301" s="1">
        <v>30</v>
      </c>
      <c r="AV301" s="1">
        <v>74</v>
      </c>
      <c r="AW301" s="1">
        <v>2.2999999999999998</v>
      </c>
      <c r="AX301" s="1">
        <v>14.86</v>
      </c>
      <c r="AY301" s="1">
        <v>0.91</v>
      </c>
      <c r="AZ301" s="1">
        <v>10625.31</v>
      </c>
      <c r="BA301" s="1">
        <v>484.38</v>
      </c>
      <c r="BB301" s="1">
        <v>3645.2699999999995</v>
      </c>
      <c r="BC301" s="1">
        <v>86.94</v>
      </c>
      <c r="BD301" s="1">
        <v>75389.399999999994</v>
      </c>
      <c r="BE301" s="1">
        <v>2235.6000000000004</v>
      </c>
      <c r="BF301" s="1">
        <v>31.05</v>
      </c>
      <c r="BG301" s="1">
        <v>6.2099999999999991</v>
      </c>
      <c r="BH301" s="1">
        <f t="shared" si="92"/>
        <v>2427.9999999999995</v>
      </c>
      <c r="BI301" s="1">
        <f t="shared" si="93"/>
        <v>490.90870841735921</v>
      </c>
    </row>
    <row r="302" spans="1:61" x14ac:dyDescent="0.2">
      <c r="A302" t="s">
        <v>794</v>
      </c>
      <c r="B302" t="s">
        <v>38</v>
      </c>
      <c r="C302" t="s">
        <v>795</v>
      </c>
      <c r="D302" t="s">
        <v>796</v>
      </c>
      <c r="E302">
        <v>78793</v>
      </c>
      <c r="F302">
        <v>42291</v>
      </c>
      <c r="G302" t="s">
        <v>796</v>
      </c>
      <c r="H302" s="1">
        <v>330</v>
      </c>
      <c r="I302" s="1">
        <v>261.8</v>
      </c>
      <c r="J302" s="10">
        <v>0.48599999999999999</v>
      </c>
      <c r="K302" s="10">
        <f t="shared" ca="1" si="86"/>
        <v>2.4051577910814914E-2</v>
      </c>
      <c r="L302" s="7">
        <v>6.3299999999999995E-2</v>
      </c>
      <c r="M302" s="7">
        <f t="shared" ca="1" si="87"/>
        <v>2.8918430109533952E-3</v>
      </c>
      <c r="N302" s="7">
        <v>0.99095999999999995</v>
      </c>
      <c r="O302" s="8">
        <v>15.797790000000001</v>
      </c>
      <c r="P302" s="8">
        <f t="shared" ca="1" si="88"/>
        <v>0.72171760876878299</v>
      </c>
      <c r="Q302" s="9">
        <v>5.5509999999999997E-2</v>
      </c>
      <c r="R302" s="9">
        <f t="shared" ca="1" si="89"/>
        <v>1.1834880819002783E-3</v>
      </c>
      <c r="S302" s="8">
        <f t="shared" si="90"/>
        <v>0.47320429374440076</v>
      </c>
      <c r="T302" s="11">
        <v>2.1069999999999998E-2</v>
      </c>
      <c r="U302" s="11">
        <f t="shared" ca="1" si="91"/>
        <v>9.3977548382579118E-4</v>
      </c>
      <c r="V302" s="6" t="e">
        <f ca="1">IF(agePb6U8(1/O302)&lt;1400,age7corr(1/O302,Q302,$W$2),agePb76(Q302))</f>
        <v>#NAME?</v>
      </c>
      <c r="W302" s="6" t="e">
        <f ca="1">IF(agePb6U8(1/O302)&lt;1400,ageer7corr(V302,1/O302,P302/O302*(1/O302),Q302,R302,$W$2,0.05),ageerPb76(Q302,R302))</f>
        <v>#NAME?</v>
      </c>
      <c r="X302" s="4" t="e">
        <f ca="1">agePb6U8(L302)/agePb7u5(J302)</f>
        <v>#NAME?</v>
      </c>
      <c r="Z302" s="1">
        <v>0.48599999999999999</v>
      </c>
      <c r="AA302" s="1">
        <v>2.1999999999999999E-2</v>
      </c>
      <c r="AB302" s="1">
        <v>6.3299999999999995E-2</v>
      </c>
      <c r="AC302" s="1">
        <v>2.5999999999999999E-3</v>
      </c>
      <c r="AD302" s="1">
        <v>0.99095999999999995</v>
      </c>
      <c r="AE302" s="1">
        <v>15.797790000000001</v>
      </c>
      <c r="AF302" s="1">
        <v>0.64888230000000002</v>
      </c>
      <c r="AG302" s="1">
        <v>5.5509999999999997E-2</v>
      </c>
      <c r="AH302" s="1">
        <v>4.0999999999999999E-4</v>
      </c>
      <c r="AI302" s="1">
        <v>-0.61565000000000003</v>
      </c>
      <c r="AJ302" s="1">
        <v>2.1069999999999998E-2</v>
      </c>
      <c r="AK302" s="1">
        <v>8.4000000000000003E-4</v>
      </c>
      <c r="AL302" s="1">
        <v>4.1390000000000002</v>
      </c>
      <c r="AM302" s="1">
        <v>6.9000000000000006E-2</v>
      </c>
      <c r="AN302" s="1">
        <v>401</v>
      </c>
      <c r="AO302" s="1">
        <v>15</v>
      </c>
      <c r="AP302" s="1">
        <v>396</v>
      </c>
      <c r="AQ302" s="1">
        <v>16</v>
      </c>
      <c r="AR302" s="1">
        <v>421</v>
      </c>
      <c r="AS302" s="1">
        <v>17</v>
      </c>
      <c r="AT302" s="1">
        <v>433</v>
      </c>
      <c r="AU302" s="1">
        <v>16</v>
      </c>
      <c r="AV302" s="1">
        <v>71.2</v>
      </c>
      <c r="AW302" s="1">
        <v>2.2999999999999998</v>
      </c>
      <c r="AX302" s="1">
        <v>20.580000000000002</v>
      </c>
      <c r="AY302" s="1">
        <v>0.78</v>
      </c>
      <c r="AZ302" s="1">
        <v>34713.9</v>
      </c>
      <c r="BA302" s="1">
        <v>1614.6</v>
      </c>
      <c r="BB302" s="1">
        <v>9824.2200000000012</v>
      </c>
      <c r="BC302" s="1">
        <v>391.23</v>
      </c>
      <c r="BD302" s="1">
        <v>178102.8</v>
      </c>
      <c r="BE302" s="1">
        <v>6085.8</v>
      </c>
      <c r="BF302" s="1">
        <v>14.283000000000001</v>
      </c>
      <c r="BG302" s="1">
        <v>8.6940000000000008</v>
      </c>
      <c r="BH302" s="1">
        <f t="shared" si="92"/>
        <v>12469.565217391302</v>
      </c>
      <c r="BI302" s="1">
        <f t="shared" si="93"/>
        <v>7602.1202787221537</v>
      </c>
    </row>
    <row r="303" spans="1:61" x14ac:dyDescent="0.2">
      <c r="X303" s="4"/>
    </row>
    <row r="304" spans="1:61" x14ac:dyDescent="0.2">
      <c r="X304" s="4"/>
    </row>
    <row r="305" spans="1:61" x14ac:dyDescent="0.2">
      <c r="A305" t="s">
        <v>335</v>
      </c>
      <c r="B305" t="s">
        <v>38</v>
      </c>
      <c r="C305" t="s">
        <v>336</v>
      </c>
      <c r="D305" t="s">
        <v>337</v>
      </c>
      <c r="E305">
        <v>43991</v>
      </c>
      <c r="F305">
        <v>51630</v>
      </c>
      <c r="G305" t="s">
        <v>337</v>
      </c>
      <c r="H305" s="1">
        <v>4.5999999999999999E-2</v>
      </c>
      <c r="I305" s="1">
        <v>0.05</v>
      </c>
      <c r="J305" s="10" t="s">
        <v>338</v>
      </c>
      <c r="K305" s="10" t="e">
        <f ca="1">SQRT(K$2^2+(AA305/Z305)^2)*J305</f>
        <v>#VALUE!</v>
      </c>
      <c r="L305" s="7" t="s">
        <v>338</v>
      </c>
      <c r="M305" s="7" t="e">
        <f ca="1">SQRT(M$2^2+(AC305/AB305)^2)*L305</f>
        <v>#VALUE!</v>
      </c>
      <c r="N305" s="7" t="s">
        <v>340</v>
      </c>
      <c r="P305" s="8" t="e">
        <f ca="1">SQRT(P$2^2+(AF305/AE305)^2)*O305</f>
        <v>#DIV/0!</v>
      </c>
      <c r="Q305" s="9" t="s">
        <v>338</v>
      </c>
      <c r="R305" s="9" t="e">
        <f ca="1">SQRT(R$2^2+(AH305/AG305)^2)*Q305</f>
        <v>#VALUE!</v>
      </c>
      <c r="S305" s="8">
        <f>(((BE305/BD305)^2+(AW305/AV305)^2)+((BE305/BD305)^2+(BC305/BB305)^2)-((BC305/BB305)^2+(AW305/AV305)^2))/(2*SQRT((BE305/BD305)^2+(AW305/AV305)^2)*SQRT((BE305/BD305)^2+(BC305/BB305)^2))</f>
        <v>4.4770581839431098E-2</v>
      </c>
      <c r="T305" s="11" t="s">
        <v>338</v>
      </c>
      <c r="U305" s="11" t="e">
        <f ca="1">SQRT(U$2^2+(AK305/AJ305)^2)*T305</f>
        <v>#VALUE!</v>
      </c>
      <c r="V305" s="6" t="e">
        <f ca="1">IF(agePb6U8(1/O305)&lt;1400,age7corr(1/O305,Q305,$W$2),agePb76(Q305))</f>
        <v>#NAME?</v>
      </c>
      <c r="W305" s="6" t="e">
        <f ca="1">IF(agePb6U8(1/O305)&lt;1400,ageer7corr(V305,1/O305,P305/O305*(1/O305),Q305,R305,$W$2,0.05),ageerPb76(Q305,R305))</f>
        <v>#NAME?</v>
      </c>
      <c r="X305" s="4" t="e">
        <f ca="1">agePb6U8(L305)/agePb7u5(J305)</f>
        <v>#NAME?</v>
      </c>
      <c r="Z305" s="1" t="s">
        <v>338</v>
      </c>
      <c r="AA305" s="1" t="s">
        <v>339</v>
      </c>
      <c r="AB305" s="1" t="s">
        <v>338</v>
      </c>
      <c r="AC305" s="1" t="s">
        <v>339</v>
      </c>
      <c r="AD305" s="1" t="s">
        <v>340</v>
      </c>
      <c r="AG305" s="1" t="s">
        <v>338</v>
      </c>
      <c r="AH305" s="1" t="s">
        <v>339</v>
      </c>
      <c r="AI305" s="1" t="s">
        <v>340</v>
      </c>
      <c r="AJ305" s="1" t="s">
        <v>338</v>
      </c>
      <c r="AK305" s="1" t="s">
        <v>339</v>
      </c>
      <c r="AL305" s="1" t="s">
        <v>338</v>
      </c>
      <c r="AM305" s="1" t="s">
        <v>339</v>
      </c>
      <c r="AN305" s="1" t="s">
        <v>338</v>
      </c>
      <c r="AO305" s="1" t="s">
        <v>339</v>
      </c>
      <c r="AP305" s="1" t="s">
        <v>338</v>
      </c>
      <c r="AQ305" s="1" t="s">
        <v>339</v>
      </c>
      <c r="AR305" s="1" t="s">
        <v>338</v>
      </c>
      <c r="AS305" s="1" t="s">
        <v>339</v>
      </c>
      <c r="AT305" s="1" t="s">
        <v>338</v>
      </c>
      <c r="AU305" s="1" t="s">
        <v>339</v>
      </c>
      <c r="AV305" s="1">
        <v>0.01</v>
      </c>
      <c r="AW305" s="1">
        <v>1.8000000000000002E-2</v>
      </c>
      <c r="AX305" s="1">
        <v>4.0000000000000001E-3</v>
      </c>
      <c r="AY305" s="1">
        <v>2.0999999999999998E-2</v>
      </c>
      <c r="AZ305" s="1">
        <v>4347</v>
      </c>
      <c r="BA305" s="1">
        <v>459.54</v>
      </c>
      <c r="BB305" s="1">
        <v>2347.38</v>
      </c>
      <c r="BC305" s="1">
        <v>248.4</v>
      </c>
      <c r="BD305" s="1">
        <v>2620.62</v>
      </c>
      <c r="BE305" s="1">
        <v>291.87</v>
      </c>
      <c r="BF305" s="1">
        <v>162.08099999999999</v>
      </c>
      <c r="BG305" s="1">
        <v>18.009</v>
      </c>
      <c r="BH305" s="1">
        <f>BD305/BF305</f>
        <v>16.168582375478927</v>
      </c>
      <c r="BI305" s="1">
        <f>SQRT((BG305/BF305)^2+(BE305/BD305)^2)*BH305</f>
        <v>2.5436596360530679</v>
      </c>
    </row>
    <row r="306" spans="1:61" x14ac:dyDescent="0.2">
      <c r="A306" t="s">
        <v>662</v>
      </c>
      <c r="B306" t="s">
        <v>38</v>
      </c>
      <c r="C306" t="s">
        <v>663</v>
      </c>
      <c r="D306" t="s">
        <v>664</v>
      </c>
      <c r="E306">
        <v>44025</v>
      </c>
      <c r="F306">
        <v>51630</v>
      </c>
      <c r="G306" t="s">
        <v>664</v>
      </c>
      <c r="H306" s="1">
        <v>-0.111</v>
      </c>
      <c r="I306" s="1">
        <v>1.65</v>
      </c>
      <c r="J306" s="10" t="s">
        <v>338</v>
      </c>
      <c r="K306" s="10" t="e">
        <f ca="1">SQRT(K$2^2+(AA306/Z306)^2)*J306</f>
        <v>#VALUE!</v>
      </c>
      <c r="L306" s="7" t="s">
        <v>338</v>
      </c>
      <c r="M306" s="7" t="e">
        <f ca="1">SQRT(M$2^2+(AC306/AB306)^2)*L306</f>
        <v>#VALUE!</v>
      </c>
      <c r="N306" s="7" t="s">
        <v>340</v>
      </c>
      <c r="P306" s="8" t="e">
        <f ca="1">SQRT(P$2^2+(AF306/AE306)^2)*O306</f>
        <v>#DIV/0!</v>
      </c>
      <c r="Q306" s="9" t="s">
        <v>338</v>
      </c>
      <c r="R306" s="9" t="e">
        <f ca="1">SQRT(R$2^2+(AH306/AG306)^2)*Q306</f>
        <v>#VALUE!</v>
      </c>
      <c r="S306" s="8">
        <f>(((BE306/BD306)^2+(AW306/AV306)^2)+((BE306/BD306)^2+(BC306/BB306)^2)-((BC306/BB306)^2+(AW306/AV306)^2))/(2*SQRT((BE306/BD306)^2+(AW306/AV306)^2)*SQRT((BE306/BD306)^2+(BC306/BB306)^2))</f>
        <v>1.8151011259096284E-2</v>
      </c>
      <c r="T306" s="11" t="s">
        <v>338</v>
      </c>
      <c r="U306" s="11" t="e">
        <f ca="1">SQRT(U$2^2+(AK306/AJ306)^2)*T306</f>
        <v>#VALUE!</v>
      </c>
      <c r="V306" s="6" t="e">
        <f ca="1">IF(agePb6U8(1/O306)&lt;1400,age7corr(1/O306,Q306,$W$2),agePb76(Q306))</f>
        <v>#NAME?</v>
      </c>
      <c r="W306" s="6" t="e">
        <f ca="1">IF(agePb6U8(1/O306)&lt;1400,ageer7corr(V306,1/O306,P306/O306*(1/O306),Q306,R306,$W$2,0.05),ageerPb76(Q306,R306))</f>
        <v>#NAME?</v>
      </c>
      <c r="X306" s="4" t="e">
        <f ca="1">agePb6U8(L306)/agePb7u5(J306)</f>
        <v>#NAME?</v>
      </c>
      <c r="Z306" s="1" t="s">
        <v>338</v>
      </c>
      <c r="AA306" s="1" t="s">
        <v>339</v>
      </c>
      <c r="AB306" s="1" t="s">
        <v>338</v>
      </c>
      <c r="AC306" s="1" t="s">
        <v>339</v>
      </c>
      <c r="AD306" s="1" t="s">
        <v>340</v>
      </c>
      <c r="AG306" s="1" t="s">
        <v>338</v>
      </c>
      <c r="AH306" s="1" t="s">
        <v>339</v>
      </c>
      <c r="AI306" s="1" t="s">
        <v>340</v>
      </c>
      <c r="AJ306" s="1" t="s">
        <v>338</v>
      </c>
      <c r="AK306" s="1" t="s">
        <v>339</v>
      </c>
      <c r="AL306" s="1" t="s">
        <v>338</v>
      </c>
      <c r="AM306" s="1" t="s">
        <v>339</v>
      </c>
      <c r="AN306" s="1" t="s">
        <v>338</v>
      </c>
      <c r="AO306" s="1" t="s">
        <v>339</v>
      </c>
      <c r="AP306" s="1" t="s">
        <v>338</v>
      </c>
      <c r="AQ306" s="1" t="s">
        <v>339</v>
      </c>
      <c r="AR306" s="1" t="s">
        <v>338</v>
      </c>
      <c r="AS306" s="1" t="s">
        <v>339</v>
      </c>
      <c r="AT306" s="1" t="s">
        <v>338</v>
      </c>
      <c r="AU306" s="1" t="s">
        <v>339</v>
      </c>
      <c r="AV306" s="1">
        <v>-2.4E-2</v>
      </c>
      <c r="AW306" s="1">
        <v>0.02</v>
      </c>
      <c r="AX306" s="1">
        <v>0.12999999999999998</v>
      </c>
      <c r="AY306" s="1">
        <v>4.5999999999999999E-2</v>
      </c>
      <c r="AZ306" s="1">
        <v>3372.03</v>
      </c>
      <c r="BA306" s="1">
        <v>93.15</v>
      </c>
      <c r="BB306" s="1">
        <v>1791.585</v>
      </c>
      <c r="BC306" s="1">
        <v>52.785000000000004</v>
      </c>
      <c r="BD306" s="1">
        <v>1968.57</v>
      </c>
      <c r="BE306" s="1">
        <v>47.196000000000005</v>
      </c>
      <c r="BF306" s="1">
        <v>126.68400000000001</v>
      </c>
      <c r="BG306" s="1">
        <v>11.799000000000001</v>
      </c>
      <c r="BH306" s="1">
        <f>BD306/BF306</f>
        <v>15.539215686274508</v>
      </c>
      <c r="BI306" s="1">
        <f>SQRT((BG306/BF306)^2+(BE306/BD306)^2)*BH306</f>
        <v>1.4944603905118319</v>
      </c>
    </row>
    <row r="307" spans="1:61" x14ac:dyDescent="0.2">
      <c r="A307" t="s">
        <v>878</v>
      </c>
      <c r="B307" t="s">
        <v>38</v>
      </c>
      <c r="C307" t="s">
        <v>879</v>
      </c>
      <c r="D307" t="s">
        <v>880</v>
      </c>
      <c r="E307">
        <v>43781</v>
      </c>
      <c r="F307">
        <v>51156</v>
      </c>
      <c r="G307" t="s">
        <v>880</v>
      </c>
      <c r="H307" s="1">
        <v>73.5</v>
      </c>
      <c r="I307" s="1">
        <v>46.35</v>
      </c>
      <c r="J307" s="10">
        <v>1.879</v>
      </c>
      <c r="K307" s="10">
        <f ca="1">SQRT(K$2^2+(AA307/Z307)^2)*J307</f>
        <v>6.7440762154649461E-2</v>
      </c>
      <c r="L307" s="7">
        <v>0.18049999999999999</v>
      </c>
      <c r="M307" s="7">
        <f ca="1">SQRT(M$2^2+(AC307/AB307)^2)*L307</f>
        <v>6.2483677868704242E-3</v>
      </c>
      <c r="N307" s="7">
        <v>0.94447999999999999</v>
      </c>
      <c r="O307" s="8">
        <v>5.5401660000000001</v>
      </c>
      <c r="P307" s="8">
        <f ca="1">SQRT(P$2^2+(AF307/AE307)^2)*O307</f>
        <v>0.19178394839658086</v>
      </c>
      <c r="Q307" s="9">
        <v>7.6139999999999999E-2</v>
      </c>
      <c r="R307" s="9">
        <f ca="1">SQRT(R$2^2+(AH307/AG307)^2)*Q307</f>
        <v>1.6930799862971625E-3</v>
      </c>
      <c r="S307" s="8">
        <f>(((BE307/BD307)^2+(AW307/AV307)^2)+((BE307/BD307)^2+(BC307/BB307)^2)-((BC307/BB307)^2+(AW307/AV307)^2))/(2*SQRT((BE307/BD307)^2+(AW307/AV307)^2)*SQRT((BE307/BD307)^2+(BC307/BB307)^2))</f>
        <v>0.45886335812941442</v>
      </c>
      <c r="T307" s="11">
        <v>5.45E-2</v>
      </c>
      <c r="U307" s="11">
        <f ca="1">SQRT(U$2^2+(AK307/AJ307)^2)*T307</f>
        <v>1.6964963896218582E-3</v>
      </c>
      <c r="V307" s="6" t="e">
        <f ca="1">IF(agePb6U8(1/O307)&lt;1400,age7corr(1/O307,Q307,$W$2),agePb76(Q307))</f>
        <v>#NAME?</v>
      </c>
      <c r="W307" s="6" t="e">
        <f ca="1">IF(agePb6U8(1/O307)&lt;1400,ageer7corr(V307,1/O307,P307/O307*(1/O307),Q307,R307,$W$2,0.05),ageerPb76(Q307,R307))</f>
        <v>#NAME?</v>
      </c>
      <c r="X307" s="4" t="e">
        <f ca="1">agePb6U8(L307)/agePb7u5(J307)</f>
        <v>#NAME?</v>
      </c>
      <c r="Z307" s="1">
        <v>1.879</v>
      </c>
      <c r="AA307" s="1">
        <v>5.6000000000000001E-2</v>
      </c>
      <c r="AB307" s="1">
        <v>0.18049999999999999</v>
      </c>
      <c r="AC307" s="1">
        <v>5.1000000000000004E-3</v>
      </c>
      <c r="AD307" s="1">
        <v>0.94447999999999999</v>
      </c>
      <c r="AE307" s="1">
        <v>5.5401660000000001</v>
      </c>
      <c r="AF307" s="1">
        <v>0.1565366</v>
      </c>
      <c r="AG307" s="1">
        <v>7.6139999999999999E-2</v>
      </c>
      <c r="AH307" s="1">
        <v>7.3999999999999999E-4</v>
      </c>
      <c r="AI307" s="1">
        <v>-0.28952</v>
      </c>
      <c r="AJ307" s="1">
        <v>5.45E-2</v>
      </c>
      <c r="AK307" s="1">
        <v>1.2999999999999999E-3</v>
      </c>
      <c r="AL307" s="1">
        <v>5.5730000000000004</v>
      </c>
      <c r="AM307" s="1">
        <v>3.1E-2</v>
      </c>
      <c r="AN307" s="1">
        <v>1078</v>
      </c>
      <c r="AO307" s="1">
        <v>21</v>
      </c>
      <c r="AP307" s="1">
        <v>1069</v>
      </c>
      <c r="AQ307" s="1">
        <v>28</v>
      </c>
      <c r="AR307" s="1">
        <v>1073</v>
      </c>
      <c r="AS307" s="1">
        <v>24</v>
      </c>
      <c r="AT307" s="1">
        <v>1098</v>
      </c>
      <c r="AU307" s="1">
        <v>20</v>
      </c>
      <c r="AV307" s="1">
        <v>15.8</v>
      </c>
      <c r="AW307" s="1">
        <v>0.3</v>
      </c>
      <c r="AX307" s="1">
        <v>3.6389999999999998</v>
      </c>
      <c r="AY307" s="1">
        <v>6.0999999999999999E-2</v>
      </c>
      <c r="AZ307" s="1">
        <v>15978.330000000002</v>
      </c>
      <c r="BA307" s="1">
        <v>273.24</v>
      </c>
      <c r="BB307" s="1">
        <v>8358.66</v>
      </c>
      <c r="BC307" s="1">
        <v>167.67000000000002</v>
      </c>
      <c r="BD307" s="1">
        <v>110537.99999999999</v>
      </c>
      <c r="BE307" s="1">
        <v>1987.2</v>
      </c>
      <c r="BF307" s="1">
        <v>6.1478999999999999</v>
      </c>
      <c r="BG307" s="1">
        <v>5.7752999999999997</v>
      </c>
      <c r="BH307" s="1">
        <f>BD307/BF307</f>
        <v>17979.797979797979</v>
      </c>
      <c r="BI307" s="1">
        <f>SQRT((BG307/BF307)^2+(BE307/BD307)^2)*BH307</f>
        <v>16893.205878674144</v>
      </c>
    </row>
    <row r="308" spans="1:61" x14ac:dyDescent="0.2">
      <c r="A308" t="s">
        <v>1094</v>
      </c>
      <c r="B308" t="s">
        <v>38</v>
      </c>
      <c r="C308" t="s">
        <v>1095</v>
      </c>
      <c r="D308" t="s">
        <v>1096</v>
      </c>
      <c r="E308">
        <v>44164</v>
      </c>
      <c r="F308">
        <v>51395</v>
      </c>
      <c r="G308" t="s">
        <v>1096</v>
      </c>
      <c r="H308" s="1">
        <v>283.39999999999998</v>
      </c>
      <c r="I308" s="1">
        <v>176.5</v>
      </c>
      <c r="J308" s="10">
        <v>1.8979999999999999</v>
      </c>
      <c r="K308" s="10">
        <f ca="1">SQRT(K$2^2+(AA308/Z308)^2)*J308</f>
        <v>5.3711838546078458E-2</v>
      </c>
      <c r="L308" s="7">
        <v>0.1794</v>
      </c>
      <c r="M308" s="7">
        <f ca="1">SQRT(M$2^2+(AC308/AB308)^2)*L308</f>
        <v>5.0826906260365689E-3</v>
      </c>
      <c r="N308" s="7">
        <v>0.98568</v>
      </c>
      <c r="O308" s="8">
        <v>5.5741360000000002</v>
      </c>
      <c r="P308" s="8">
        <f ca="1">SQRT(P$2^2+(AF308/AE308)^2)*O308</f>
        <v>0.15792426067567453</v>
      </c>
      <c r="Q308" s="9">
        <v>7.6829999999999996E-2</v>
      </c>
      <c r="R308" s="9">
        <f ca="1">SQRT(R$2^2+(AH308/AG308)^2)*Q308</f>
        <v>1.5695666790550822E-3</v>
      </c>
      <c r="S308" s="8">
        <f>(((BE308/BD308)^2+(AW308/AV308)^2)+((BE308/BD308)^2+(BC308/BB308)^2)-((BC308/BB308)^2+(AW308/AV308)^2))/(2*SQRT((BE308/BD308)^2+(AW308/AV308)^2)*SQRT((BE308/BD308)^2+(BC308/BB308)^2))</f>
        <v>0.31453984666637846</v>
      </c>
      <c r="T308" s="11">
        <v>5.6000000000000001E-2</v>
      </c>
      <c r="U308" s="11">
        <f ca="1">SQRT(U$2^2+(AK308/AJ308)^2)*T308</f>
        <v>1.4686388255796589E-3</v>
      </c>
      <c r="V308" s="6" t="e">
        <f ca="1">IF(agePb6U8(1/O308)&lt;1400,age7corr(1/O308,Q308,$W$2),agePb76(Q308))</f>
        <v>#NAME?</v>
      </c>
      <c r="W308" s="6" t="e">
        <f ca="1">IF(agePb6U8(1/O308)&lt;1400,ageer7corr(V308,1/O308,P308/O308*(1/O308),Q308,R308,$W$2,0.05),ageerPb76(Q308,R308))</f>
        <v>#NAME?</v>
      </c>
      <c r="X308" s="4" t="e">
        <f ca="1">agePb6U8(L308)/agePb7u5(J308)</f>
        <v>#NAME?</v>
      </c>
      <c r="Z308" s="1">
        <v>1.8979999999999999</v>
      </c>
      <c r="AA308" s="1">
        <v>3.7999999999999999E-2</v>
      </c>
      <c r="AB308" s="1">
        <v>0.1794</v>
      </c>
      <c r="AC308" s="1">
        <v>3.5999999999999999E-3</v>
      </c>
      <c r="AD308" s="1">
        <v>0.98568</v>
      </c>
      <c r="AE308" s="1">
        <v>5.5741360000000002</v>
      </c>
      <c r="AF308" s="1">
        <v>0.1118556</v>
      </c>
      <c r="AG308" s="1">
        <v>7.6829999999999996E-2</v>
      </c>
      <c r="AH308" s="1">
        <v>3.2000000000000003E-4</v>
      </c>
      <c r="AI308" s="1">
        <v>-5.0081000000000001E-2</v>
      </c>
      <c r="AJ308" s="1">
        <v>5.6000000000000001E-2</v>
      </c>
      <c r="AK308" s="1">
        <v>9.5E-4</v>
      </c>
      <c r="AL308" s="1">
        <v>5.4459999999999997</v>
      </c>
      <c r="AM308" s="1">
        <v>1.2999999999999999E-2</v>
      </c>
      <c r="AN308" s="1">
        <v>1080</v>
      </c>
      <c r="AO308" s="1">
        <v>13</v>
      </c>
      <c r="AP308" s="1">
        <v>1064</v>
      </c>
      <c r="AQ308" s="1">
        <v>20</v>
      </c>
      <c r="AR308" s="1">
        <v>1101</v>
      </c>
      <c r="AS308" s="1">
        <v>18</v>
      </c>
      <c r="AT308" s="1">
        <v>1116.5999999999999</v>
      </c>
      <c r="AU308" s="1">
        <v>8.3000000000000007</v>
      </c>
      <c r="AV308" s="1">
        <v>60.5</v>
      </c>
      <c r="AW308" s="1">
        <v>1</v>
      </c>
      <c r="AX308" s="1">
        <v>13.809999999999999</v>
      </c>
      <c r="AY308" s="1">
        <v>0.24000000000000002</v>
      </c>
      <c r="AZ308" s="1">
        <v>62838.99</v>
      </c>
      <c r="BA308" s="1">
        <v>608.57999999999993</v>
      </c>
      <c r="BB308" s="1">
        <v>32478.300000000003</v>
      </c>
      <c r="BC308" s="1">
        <v>397.43999999999994</v>
      </c>
      <c r="BD308" s="1">
        <v>428800.49999999994</v>
      </c>
      <c r="BE308" s="1">
        <v>4160.7</v>
      </c>
      <c r="BF308" s="1">
        <v>8.6940000000000008</v>
      </c>
      <c r="BG308" s="1">
        <v>7.4519999999999991</v>
      </c>
      <c r="BH308" s="1">
        <f>BD308/BF308</f>
        <v>49321.428571428558</v>
      </c>
      <c r="BI308" s="1">
        <f>SQRT((BG308/BF308)^2+(BE308/BD308)^2)*BH308</f>
        <v>42278.218903208937</v>
      </c>
    </row>
    <row r="309" spans="1:61" x14ac:dyDescent="0.2">
      <c r="X309" s="4"/>
    </row>
    <row r="310" spans="1:61" x14ac:dyDescent="0.2">
      <c r="X310" s="4"/>
    </row>
    <row r="311" spans="1:61" x14ac:dyDescent="0.2">
      <c r="A311" t="s">
        <v>485</v>
      </c>
      <c r="B311" t="s">
        <v>38</v>
      </c>
      <c r="C311" t="s">
        <v>486</v>
      </c>
      <c r="D311" t="s">
        <v>487</v>
      </c>
      <c r="E311">
        <v>41701</v>
      </c>
      <c r="F311">
        <v>46313</v>
      </c>
      <c r="G311" t="s">
        <v>487</v>
      </c>
      <c r="H311" s="1">
        <v>236.6</v>
      </c>
      <c r="I311" s="1">
        <v>8.98</v>
      </c>
      <c r="J311" s="10">
        <v>0.80100000000000005</v>
      </c>
      <c r="K311" s="10">
        <f t="shared" ref="K311:K316" ca="1" si="94">SQRT(K$2^2+(AA311/Z311)^2)*J311</f>
        <v>2.6412883220125746E-2</v>
      </c>
      <c r="L311" s="7">
        <v>9.5699999999999993E-2</v>
      </c>
      <c r="M311" s="7">
        <f t="shared" ref="M311:M316" ca="1" si="95">SQRT(M$2^2+(AC311/AB311)^2)*L311</f>
        <v>3.4746792657740365E-3</v>
      </c>
      <c r="N311" s="7">
        <v>0.98158000000000001</v>
      </c>
      <c r="O311" s="8">
        <v>10.44932</v>
      </c>
      <c r="P311" s="8">
        <f t="shared" ref="P311:P316" ca="1" si="96">SQRT(P$2^2+(AF311/AE311)^2)*O311</f>
        <v>0.37939434369817637</v>
      </c>
      <c r="Q311" s="9">
        <v>6.0229999999999999E-2</v>
      </c>
      <c r="R311" s="9">
        <f t="shared" ref="R311:R316" ca="1" si="97">SQRT(R$2^2+(AH311/AG311)^2)*Q311</f>
        <v>1.2601433093104926E-3</v>
      </c>
      <c r="S311" s="8">
        <f t="shared" ref="S311:S316" si="98">(((BE311/BD311)^2+(AW311/AV311)^2)+((BE311/BD311)^2+(BC311/BB311)^2)-((BC311/BB311)^2+(AW311/AV311)^2))/(2*SQRT((BE311/BD311)^2+(AW311/AV311)^2)*SQRT((BE311/BD311)^2+(BC311/BB311)^2))</f>
        <v>0.45125381662523339</v>
      </c>
      <c r="T311" s="11">
        <v>3.0499999999999999E-2</v>
      </c>
      <c r="U311" s="11">
        <f t="shared" ref="U311:U316" ca="1" si="99">SQRT(U$2^2+(AK311/AJ311)^2)*T311</f>
        <v>1.5271214751944259E-3</v>
      </c>
      <c r="V311" s="6" t="e">
        <f ca="1">IF(agePb6U8(1/O311)&lt;1400,age7corr(1/O311,Q311,$W$2),agePb76(Q311))</f>
        <v>#NAME?</v>
      </c>
      <c r="W311" s="6" t="e">
        <f ca="1">IF(agePb6U8(1/O311)&lt;1400,ageer7corr(V311,1/O311,P311/O311*(1/O311),Q311,R311,$W$2,0.05),ageerPb76(Q311,R311))</f>
        <v>#NAME?</v>
      </c>
      <c r="X311" s="4" t="e">
        <f ca="1">agePb6U8(L311)/agePb7u5(J311)</f>
        <v>#NAME?</v>
      </c>
      <c r="Z311" s="1">
        <v>0.80100000000000005</v>
      </c>
      <c r="AA311" s="1">
        <v>2.1000000000000001E-2</v>
      </c>
      <c r="AB311" s="1">
        <v>9.5699999999999993E-2</v>
      </c>
      <c r="AC311" s="1">
        <v>2.8999999999999998E-3</v>
      </c>
      <c r="AD311" s="1">
        <v>0.98158000000000001</v>
      </c>
      <c r="AE311" s="1">
        <v>10.44932</v>
      </c>
      <c r="AF311" s="1">
        <v>0.31664609999999999</v>
      </c>
      <c r="AG311" s="1">
        <v>6.0229999999999999E-2</v>
      </c>
      <c r="AH311" s="1">
        <v>3.6999999999999999E-4</v>
      </c>
      <c r="AI311" s="1">
        <v>0.18393999999999999</v>
      </c>
      <c r="AJ311" s="1">
        <v>3.0499999999999999E-2</v>
      </c>
      <c r="AK311" s="1">
        <v>1.4E-3</v>
      </c>
      <c r="AL311" s="1">
        <v>87.6</v>
      </c>
      <c r="AM311" s="1">
        <v>1.3</v>
      </c>
      <c r="AN311" s="1">
        <v>597</v>
      </c>
      <c r="AO311" s="1">
        <v>12</v>
      </c>
      <c r="AP311" s="1">
        <v>589</v>
      </c>
      <c r="AQ311" s="1">
        <v>17</v>
      </c>
      <c r="AR311" s="1">
        <v>606</v>
      </c>
      <c r="AS311" s="1">
        <v>28</v>
      </c>
      <c r="AT311" s="1">
        <v>615</v>
      </c>
      <c r="AU311" s="1">
        <v>14</v>
      </c>
      <c r="AV311" s="1">
        <v>51.5</v>
      </c>
      <c r="AW311" s="1">
        <v>1.1000000000000001</v>
      </c>
      <c r="AX311" s="1">
        <v>0.70899999999999996</v>
      </c>
      <c r="AY311" s="1">
        <v>2.1999999999999999E-2</v>
      </c>
      <c r="AZ311" s="1">
        <v>1765.5029999999999</v>
      </c>
      <c r="BA311" s="1">
        <v>37.26</v>
      </c>
      <c r="BB311" s="1">
        <v>11476.08</v>
      </c>
      <c r="BC311" s="1">
        <v>198.71999999999997</v>
      </c>
      <c r="BD311" s="1">
        <v>191330.1</v>
      </c>
      <c r="BE311" s="1">
        <v>3353.4</v>
      </c>
      <c r="BF311" s="1">
        <v>18.63</v>
      </c>
      <c r="BG311" s="1">
        <v>8.6940000000000008</v>
      </c>
      <c r="BH311" s="1">
        <f t="shared" ref="BH311:BH316" si="100">BD311/BF311</f>
        <v>10270</v>
      </c>
      <c r="BI311" s="1">
        <f t="shared" ref="BI311:BI316" si="101">SQRT((BG311/BF311)^2+(BE311/BD311)^2)*BH311</f>
        <v>4796.0456396679319</v>
      </c>
    </row>
    <row r="312" spans="1:61" x14ac:dyDescent="0.2">
      <c r="A312" t="s">
        <v>122</v>
      </c>
      <c r="B312" t="s">
        <v>38</v>
      </c>
      <c r="C312" t="s">
        <v>123</v>
      </c>
      <c r="D312" t="s">
        <v>124</v>
      </c>
      <c r="E312">
        <v>41521</v>
      </c>
      <c r="F312">
        <v>46399</v>
      </c>
      <c r="G312" t="s">
        <v>124</v>
      </c>
      <c r="H312" s="1">
        <v>231.8</v>
      </c>
      <c r="I312" s="1">
        <v>9.36</v>
      </c>
      <c r="J312" s="10">
        <v>0.80300000000000005</v>
      </c>
      <c r="K312" s="10">
        <f t="shared" ca="1" si="94"/>
        <v>2.887773536827291E-2</v>
      </c>
      <c r="L312" s="7">
        <v>9.7900000000000001E-2</v>
      </c>
      <c r="M312" s="7">
        <f t="shared" ca="1" si="95"/>
        <v>3.4991090294530687E-3</v>
      </c>
      <c r="N312" s="7">
        <v>0.97245999999999999</v>
      </c>
      <c r="O312" s="8">
        <v>10.214499999999999</v>
      </c>
      <c r="P312" s="8">
        <f t="shared" ca="1" si="96"/>
        <v>0.36508335100369882</v>
      </c>
      <c r="Q312" s="9">
        <v>5.919E-2</v>
      </c>
      <c r="R312" s="9">
        <f t="shared" ca="1" si="97"/>
        <v>1.2463877566792768E-3</v>
      </c>
      <c r="S312" s="8">
        <f t="shared" si="98"/>
        <v>0.46667243423790378</v>
      </c>
      <c r="T312" s="11">
        <v>3.04E-2</v>
      </c>
      <c r="U312" s="11">
        <f t="shared" ca="1" si="99"/>
        <v>1.7116261274004905E-3</v>
      </c>
      <c r="V312" s="6" t="e">
        <f ca="1">IF(agePb6U8(1/O312)&lt;1400,age7corr(1/O312,Q312,$W$2),agePb76(Q312))</f>
        <v>#NAME?</v>
      </c>
      <c r="W312" s="6" t="e">
        <f ca="1">IF(agePb6U8(1/O312)&lt;1400,ageer7corr(V312,1/O312,P312/O312*(1/O312),Q312,R312,$W$2,0.05),ageerPb76(Q312,R312))</f>
        <v>#NAME?</v>
      </c>
      <c r="X312" s="4" t="e">
        <f ca="1">agePb6U8(L312)/agePb7u5(J312)</f>
        <v>#NAME?</v>
      </c>
      <c r="Z312" s="1">
        <v>0.80300000000000005</v>
      </c>
      <c r="AA312" s="1">
        <v>2.4E-2</v>
      </c>
      <c r="AB312" s="1">
        <v>9.7900000000000001E-2</v>
      </c>
      <c r="AC312" s="1">
        <v>2.8999999999999998E-3</v>
      </c>
      <c r="AD312" s="1">
        <v>0.97245999999999999</v>
      </c>
      <c r="AE312" s="1">
        <v>10.214499999999999</v>
      </c>
      <c r="AF312" s="1">
        <v>0.30257469999999997</v>
      </c>
      <c r="AG312" s="1">
        <v>5.919E-2</v>
      </c>
      <c r="AH312" s="1">
        <v>3.8999999999999999E-4</v>
      </c>
      <c r="AI312" s="1">
        <v>0.10084</v>
      </c>
      <c r="AJ312" s="1">
        <v>3.04E-2</v>
      </c>
      <c r="AK312" s="1">
        <v>1.6000000000000001E-3</v>
      </c>
      <c r="AL312" s="1">
        <v>88.1</v>
      </c>
      <c r="AM312" s="1">
        <v>1</v>
      </c>
      <c r="AN312" s="1">
        <v>598</v>
      </c>
      <c r="AO312" s="1">
        <v>13</v>
      </c>
      <c r="AP312" s="1">
        <v>602</v>
      </c>
      <c r="AQ312" s="1">
        <v>17</v>
      </c>
      <c r="AR312" s="1">
        <v>605</v>
      </c>
      <c r="AS312" s="1">
        <v>31</v>
      </c>
      <c r="AT312" s="1">
        <v>574</v>
      </c>
      <c r="AU312" s="1">
        <v>14</v>
      </c>
      <c r="AV312" s="1">
        <v>51.1</v>
      </c>
      <c r="AW312" s="1">
        <v>1</v>
      </c>
      <c r="AX312" s="1">
        <v>0.74299999999999999</v>
      </c>
      <c r="AY312" s="1">
        <v>3.6000000000000004E-2</v>
      </c>
      <c r="AZ312" s="1">
        <v>1825.1190000000001</v>
      </c>
      <c r="BA312" s="1">
        <v>40.985999999999997</v>
      </c>
      <c r="BB312" s="1">
        <v>11463.66</v>
      </c>
      <c r="BC312" s="1">
        <v>180.09</v>
      </c>
      <c r="BD312" s="1">
        <v>192013.2</v>
      </c>
      <c r="BE312" s="1">
        <v>3167.1</v>
      </c>
      <c r="BF312" s="1">
        <v>6.6447000000000003</v>
      </c>
      <c r="BG312" s="1">
        <v>5.4647999999999994</v>
      </c>
      <c r="BH312" s="1">
        <f t="shared" si="100"/>
        <v>28897.196261682242</v>
      </c>
      <c r="BI312" s="1">
        <f t="shared" si="101"/>
        <v>23770.697503405892</v>
      </c>
    </row>
    <row r="313" spans="1:61" x14ac:dyDescent="0.2">
      <c r="A313" t="s">
        <v>227</v>
      </c>
      <c r="B313" t="s">
        <v>38</v>
      </c>
      <c r="C313" t="s">
        <v>228</v>
      </c>
      <c r="D313" t="s">
        <v>229</v>
      </c>
      <c r="E313">
        <v>41558</v>
      </c>
      <c r="F313">
        <v>46399</v>
      </c>
      <c r="G313" t="s">
        <v>229</v>
      </c>
      <c r="H313" s="1">
        <v>234.7</v>
      </c>
      <c r="I313" s="1">
        <v>9</v>
      </c>
      <c r="J313" s="10">
        <v>0.80600000000000005</v>
      </c>
      <c r="K313" s="10">
        <f t="shared" ca="1" si="94"/>
        <v>2.0708800061809474E-2</v>
      </c>
      <c r="L313" s="7">
        <v>9.7600000000000006E-2</v>
      </c>
      <c r="M313" s="7">
        <f t="shared" ca="1" si="95"/>
        <v>2.4617684700231255E-3</v>
      </c>
      <c r="N313" s="7">
        <v>0.95867999999999998</v>
      </c>
      <c r="O313" s="8">
        <v>10.245900000000001</v>
      </c>
      <c r="P313" s="8">
        <f t="shared" ca="1" si="96"/>
        <v>0.25843276642260365</v>
      </c>
      <c r="Q313" s="9">
        <v>5.9799999999999999E-2</v>
      </c>
      <c r="R313" s="9">
        <f t="shared" ca="1" si="97"/>
        <v>1.2380694649332081E-3</v>
      </c>
      <c r="S313" s="8">
        <f t="shared" si="98"/>
        <v>0.41363623283475009</v>
      </c>
      <c r="T313" s="11">
        <v>3.04E-2</v>
      </c>
      <c r="U313" s="11">
        <f t="shared" ca="1" si="99"/>
        <v>1.1703264501838791E-3</v>
      </c>
      <c r="V313" s="6" t="e">
        <f ca="1">IF(agePb6U8(1/O313)&lt;1400,age7corr(1/O313,Q313,$W$2),agePb76(Q313))</f>
        <v>#NAME?</v>
      </c>
      <c r="W313" s="6" t="e">
        <f ca="1">IF(agePb6U8(1/O313)&lt;1400,ageer7corr(V313,1/O313,P313/O313*(1/O313),Q313,R313,$W$2,0.05),ageerPb76(Q313,R313))</f>
        <v>#NAME?</v>
      </c>
      <c r="X313" s="4" t="e">
        <f ca="1">agePb6U8(L313)/agePb7u5(J313)</f>
        <v>#NAME?</v>
      </c>
      <c r="Z313" s="1">
        <v>0.80600000000000005</v>
      </c>
      <c r="AA313" s="1">
        <v>1.2999999999999999E-2</v>
      </c>
      <c r="AB313" s="1">
        <v>9.7600000000000006E-2</v>
      </c>
      <c r="AC313" s="1">
        <v>1.5E-3</v>
      </c>
      <c r="AD313" s="1">
        <v>0.95867999999999998</v>
      </c>
      <c r="AE313" s="1">
        <v>10.245900000000001</v>
      </c>
      <c r="AF313" s="1">
        <v>0.15746779999999999</v>
      </c>
      <c r="AG313" s="1">
        <v>5.9799999999999999E-2</v>
      </c>
      <c r="AH313" s="1">
        <v>3.2000000000000003E-4</v>
      </c>
      <c r="AI313" s="1">
        <v>9.7846000000000002E-2</v>
      </c>
      <c r="AJ313" s="1">
        <v>3.04E-2</v>
      </c>
      <c r="AK313" s="1">
        <v>1E-3</v>
      </c>
      <c r="AL313" s="1">
        <v>90.2</v>
      </c>
      <c r="AM313" s="1">
        <v>1.1000000000000001</v>
      </c>
      <c r="AN313" s="1">
        <v>600</v>
      </c>
      <c r="AO313" s="1">
        <v>7.5</v>
      </c>
      <c r="AP313" s="1">
        <v>600</v>
      </c>
      <c r="AQ313" s="1">
        <v>8.9</v>
      </c>
      <c r="AR313" s="1">
        <v>604</v>
      </c>
      <c r="AS313" s="1">
        <v>20</v>
      </c>
      <c r="AT313" s="1">
        <v>596</v>
      </c>
      <c r="AU313" s="1">
        <v>11</v>
      </c>
      <c r="AV313" s="1">
        <v>51.589999999999996</v>
      </c>
      <c r="AW313" s="1">
        <v>0.67</v>
      </c>
      <c r="AX313" s="1">
        <v>0.71299999999999997</v>
      </c>
      <c r="AY313" s="1">
        <v>2.5000000000000001E-2</v>
      </c>
      <c r="AZ313" s="1">
        <v>1761.1559999999999</v>
      </c>
      <c r="BA313" s="1">
        <v>29.186999999999998</v>
      </c>
      <c r="BB313" s="1">
        <v>11594.07</v>
      </c>
      <c r="BC313" s="1">
        <v>149.04</v>
      </c>
      <c r="BD313" s="1">
        <v>194559.3</v>
      </c>
      <c r="BE313" s="1">
        <v>2111.4</v>
      </c>
      <c r="BF313" s="1">
        <v>37.26</v>
      </c>
      <c r="BG313" s="1">
        <v>6.8310000000000004</v>
      </c>
      <c r="BH313" s="1">
        <f t="shared" si="100"/>
        <v>5221.666666666667</v>
      </c>
      <c r="BI313" s="1">
        <f t="shared" si="101"/>
        <v>958.98124997762193</v>
      </c>
    </row>
    <row r="314" spans="1:61" x14ac:dyDescent="0.2">
      <c r="A314" t="s">
        <v>554</v>
      </c>
      <c r="B314" t="s">
        <v>38</v>
      </c>
      <c r="C314" t="s">
        <v>555</v>
      </c>
      <c r="D314" t="s">
        <v>556</v>
      </c>
      <c r="E314">
        <v>41596</v>
      </c>
      <c r="F314">
        <v>46400</v>
      </c>
      <c r="G314" t="s">
        <v>556</v>
      </c>
      <c r="H314" s="1">
        <v>238</v>
      </c>
      <c r="I314" s="1">
        <v>9.31</v>
      </c>
      <c r="J314" s="10">
        <v>0.79800000000000004</v>
      </c>
      <c r="K314" s="10">
        <f t="shared" ca="1" si="94"/>
        <v>2.481373813031805E-2</v>
      </c>
      <c r="L314" s="7">
        <v>9.5799999999999996E-2</v>
      </c>
      <c r="M314" s="7">
        <f t="shared" ca="1" si="95"/>
        <v>2.9935022966418451E-3</v>
      </c>
      <c r="N314" s="7">
        <v>0.97968999999999995</v>
      </c>
      <c r="O314" s="8">
        <v>10.438409999999999</v>
      </c>
      <c r="P314" s="8">
        <f t="shared" ca="1" si="96"/>
        <v>0.32617339305046017</v>
      </c>
      <c r="Q314" s="9">
        <v>6.0600000000000001E-2</v>
      </c>
      <c r="R314" s="9">
        <f t="shared" ca="1" si="97"/>
        <v>1.2561226054808505E-3</v>
      </c>
      <c r="S314" s="8">
        <f t="shared" si="98"/>
        <v>0.51021230845244203</v>
      </c>
      <c r="T314" s="11">
        <v>3.0300000000000001E-2</v>
      </c>
      <c r="U314" s="11">
        <f t="shared" ca="1" si="99"/>
        <v>1.2558805675700218E-3</v>
      </c>
      <c r="V314" s="6" t="e">
        <f ca="1">IF(agePb6U8(1/O314)&lt;1400,age7corr(1/O314,Q314,$W$2),agePb76(Q314))</f>
        <v>#NAME?</v>
      </c>
      <c r="W314" s="6" t="e">
        <f ca="1">IF(agePb6U8(1/O314)&lt;1400,ageer7corr(V314,1/O314,P314/O314*(1/O314),Q314,R314,$W$2,0.05),ageerPb76(Q314,R314))</f>
        <v>#NAME?</v>
      </c>
      <c r="X314" s="4" t="e">
        <f ca="1">agePb6U8(L314)/agePb7u5(J314)</f>
        <v>#NAME?</v>
      </c>
      <c r="Z314" s="1">
        <v>0.79800000000000004</v>
      </c>
      <c r="AA314" s="1">
        <v>1.9E-2</v>
      </c>
      <c r="AB314" s="1">
        <v>9.5799999999999996E-2</v>
      </c>
      <c r="AC314" s="1">
        <v>2.3E-3</v>
      </c>
      <c r="AD314" s="1">
        <v>0.97968999999999995</v>
      </c>
      <c r="AE314" s="1">
        <v>10.438409999999999</v>
      </c>
      <c r="AF314" s="1">
        <v>0.25060909999999997</v>
      </c>
      <c r="AG314" s="1">
        <v>6.0600000000000001E-2</v>
      </c>
      <c r="AH314" s="1">
        <v>3.3E-4</v>
      </c>
      <c r="AI314" s="1">
        <v>0.13786999999999999</v>
      </c>
      <c r="AJ314" s="1">
        <v>3.0300000000000001E-2</v>
      </c>
      <c r="AK314" s="1">
        <v>1.1000000000000001E-3</v>
      </c>
      <c r="AL314" s="1">
        <v>87.1</v>
      </c>
      <c r="AM314" s="1">
        <v>1.3</v>
      </c>
      <c r="AN314" s="1">
        <v>595</v>
      </c>
      <c r="AO314" s="1">
        <v>11</v>
      </c>
      <c r="AP314" s="1">
        <v>590</v>
      </c>
      <c r="AQ314" s="1">
        <v>14</v>
      </c>
      <c r="AR314" s="1">
        <v>603</v>
      </c>
      <c r="AS314" s="1">
        <v>22</v>
      </c>
      <c r="AT314" s="1">
        <v>625</v>
      </c>
      <c r="AU314" s="1">
        <v>12</v>
      </c>
      <c r="AV314" s="1">
        <v>51.73</v>
      </c>
      <c r="AW314" s="1">
        <v>0.94</v>
      </c>
      <c r="AX314" s="1">
        <v>0.73499999999999999</v>
      </c>
      <c r="AY314" s="1">
        <v>2.5000000000000001E-2</v>
      </c>
      <c r="AZ314" s="1">
        <v>1797.7950000000001</v>
      </c>
      <c r="BA314" s="1">
        <v>46.575000000000003</v>
      </c>
      <c r="BB314" s="1">
        <v>11780.37</v>
      </c>
      <c r="BC314" s="1">
        <v>217.35</v>
      </c>
      <c r="BD314" s="1">
        <v>196049.7</v>
      </c>
      <c r="BE314" s="1">
        <v>3663.8999999999996</v>
      </c>
      <c r="BF314" s="1">
        <v>8.0729999999999986</v>
      </c>
      <c r="BG314" s="1">
        <v>8.0729999999999986</v>
      </c>
      <c r="BH314" s="1">
        <f t="shared" si="100"/>
        <v>24284.61538461539</v>
      </c>
      <c r="BI314" s="1">
        <f t="shared" si="101"/>
        <v>24288.85589545254</v>
      </c>
    </row>
    <row r="315" spans="1:61" x14ac:dyDescent="0.2">
      <c r="A315" t="s">
        <v>770</v>
      </c>
      <c r="B315" t="s">
        <v>38</v>
      </c>
      <c r="C315" t="s">
        <v>771</v>
      </c>
      <c r="D315" t="s">
        <v>772</v>
      </c>
      <c r="E315">
        <v>41678</v>
      </c>
      <c r="F315">
        <v>46619</v>
      </c>
      <c r="G315" t="s">
        <v>772</v>
      </c>
      <c r="H315" s="1">
        <v>241.7</v>
      </c>
      <c r="I315" s="1">
        <v>8.83</v>
      </c>
      <c r="J315" s="10">
        <v>0.80500000000000005</v>
      </c>
      <c r="K315" s="10">
        <f t="shared" ca="1" si="94"/>
        <v>2.8075077916187519E-2</v>
      </c>
      <c r="L315" s="7">
        <v>9.6699999999999994E-2</v>
      </c>
      <c r="M315" s="7">
        <f t="shared" ca="1" si="95"/>
        <v>3.4857360772152556E-3</v>
      </c>
      <c r="N315" s="7">
        <v>0.97184999999999999</v>
      </c>
      <c r="O315" s="8">
        <v>10.34126</v>
      </c>
      <c r="P315" s="8">
        <f t="shared" ca="1" si="96"/>
        <v>0.37277049036887294</v>
      </c>
      <c r="Q315" s="9">
        <v>6.003E-2</v>
      </c>
      <c r="R315" s="9">
        <f t="shared" ca="1" si="97"/>
        <v>1.2719435364826539E-3</v>
      </c>
      <c r="S315" s="8">
        <f t="shared" si="98"/>
        <v>0.53393933088594414</v>
      </c>
      <c r="T315" s="11">
        <v>3.2199999999999999E-2</v>
      </c>
      <c r="U315" s="11">
        <f t="shared" ca="1" si="99"/>
        <v>1.9117363835006124E-3</v>
      </c>
      <c r="V315" s="6" t="e">
        <f ca="1">IF(agePb6U8(1/O315)&lt;1400,age7corr(1/O315,Q315,$W$2),agePb76(Q315))</f>
        <v>#NAME?</v>
      </c>
      <c r="W315" s="6" t="e">
        <f ca="1">IF(agePb6U8(1/O315)&lt;1400,ageer7corr(V315,1/O315,P315/O315*(1/O315),Q315,R315,$W$2,0.05),ageerPb76(Q315,R315))</f>
        <v>#NAME?</v>
      </c>
      <c r="X315" s="4" t="e">
        <f ca="1">agePb6U8(L315)/agePb7u5(J315)</f>
        <v>#NAME?</v>
      </c>
      <c r="Z315" s="1">
        <v>0.80500000000000005</v>
      </c>
      <c r="AA315" s="1">
        <v>2.3E-2</v>
      </c>
      <c r="AB315" s="1">
        <v>9.6699999999999994E-2</v>
      </c>
      <c r="AC315" s="1">
        <v>2.8999999999999998E-3</v>
      </c>
      <c r="AD315" s="1">
        <v>0.97184999999999999</v>
      </c>
      <c r="AE315" s="1">
        <v>10.34126</v>
      </c>
      <c r="AF315" s="1">
        <v>0.31013089999999999</v>
      </c>
      <c r="AG315" s="1">
        <v>6.003E-2</v>
      </c>
      <c r="AH315" s="1">
        <v>4.2000000000000002E-4</v>
      </c>
      <c r="AI315" s="1">
        <v>-0.10853</v>
      </c>
      <c r="AJ315" s="1">
        <v>3.2199999999999999E-2</v>
      </c>
      <c r="AK315" s="1">
        <v>1.8E-3</v>
      </c>
      <c r="AL315" s="1">
        <v>86.77</v>
      </c>
      <c r="AM315" s="1">
        <v>0.98</v>
      </c>
      <c r="AN315" s="1">
        <v>599</v>
      </c>
      <c r="AO315" s="1">
        <v>13</v>
      </c>
      <c r="AP315" s="1">
        <v>595</v>
      </c>
      <c r="AQ315" s="1">
        <v>17</v>
      </c>
      <c r="AR315" s="1">
        <v>640</v>
      </c>
      <c r="AS315" s="1">
        <v>36</v>
      </c>
      <c r="AT315" s="1">
        <v>604</v>
      </c>
      <c r="AU315" s="1">
        <v>15</v>
      </c>
      <c r="AV315" s="1">
        <v>52.16</v>
      </c>
      <c r="AW315" s="1">
        <v>0.82</v>
      </c>
      <c r="AX315" s="1">
        <v>0.69399999999999995</v>
      </c>
      <c r="AY315" s="1">
        <v>0.05</v>
      </c>
      <c r="AZ315" s="1">
        <v>1795.932</v>
      </c>
      <c r="BA315" s="1">
        <v>40.364999999999995</v>
      </c>
      <c r="BB315" s="1">
        <v>11643.75</v>
      </c>
      <c r="BC315" s="1">
        <v>204.93</v>
      </c>
      <c r="BD315" s="1">
        <v>194994</v>
      </c>
      <c r="BE315" s="1">
        <v>3477.6</v>
      </c>
      <c r="BF315" s="1">
        <v>2.3598000000000003</v>
      </c>
      <c r="BG315" s="1">
        <v>5.8373999999999997</v>
      </c>
      <c r="BH315" s="1">
        <f t="shared" si="100"/>
        <v>82631.578947368413</v>
      </c>
      <c r="BI315" s="1">
        <f t="shared" si="101"/>
        <v>204409.74443688299</v>
      </c>
    </row>
    <row r="316" spans="1:61" x14ac:dyDescent="0.2">
      <c r="A316" t="s">
        <v>986</v>
      </c>
      <c r="B316" t="s">
        <v>38</v>
      </c>
      <c r="C316" t="s">
        <v>987</v>
      </c>
      <c r="D316" t="s">
        <v>988</v>
      </c>
      <c r="E316">
        <v>41670</v>
      </c>
      <c r="F316">
        <v>46401</v>
      </c>
      <c r="G316" t="s">
        <v>988</v>
      </c>
      <c r="H316" s="1">
        <v>237.2</v>
      </c>
      <c r="I316" s="1">
        <v>8.91</v>
      </c>
      <c r="J316" s="10">
        <v>0.79700000000000004</v>
      </c>
      <c r="K316" s="10">
        <f t="shared" ca="1" si="94"/>
        <v>2.0568996086343154E-2</v>
      </c>
      <c r="L316" s="7">
        <v>9.6699999999999994E-2</v>
      </c>
      <c r="M316" s="7">
        <f t="shared" ca="1" si="95"/>
        <v>2.5749477664605159E-3</v>
      </c>
      <c r="N316" s="7">
        <v>0.94238</v>
      </c>
      <c r="O316" s="8">
        <v>10.34126</v>
      </c>
      <c r="P316" s="8">
        <f t="shared" ca="1" si="96"/>
        <v>0.2753692622567922</v>
      </c>
      <c r="Q316" s="9">
        <v>5.994E-2</v>
      </c>
      <c r="R316" s="9">
        <f t="shared" ca="1" si="97"/>
        <v>1.2606432643694251E-3</v>
      </c>
      <c r="S316" s="8">
        <f t="shared" si="98"/>
        <v>0.46616399730726094</v>
      </c>
      <c r="T316" s="11">
        <v>3.1600000000000003E-2</v>
      </c>
      <c r="U316" s="11">
        <f t="shared" ca="1" si="99"/>
        <v>1.907727443845163E-3</v>
      </c>
      <c r="V316" s="6" t="e">
        <f ca="1">IF(agePb6U8(1/O316)&lt;1400,age7corr(1/O316,Q316,$W$2),agePb76(Q316))</f>
        <v>#NAME?</v>
      </c>
      <c r="W316" s="6" t="e">
        <f ca="1">IF(agePb6U8(1/O316)&lt;1400,ageer7corr(V316,1/O316,P316/O316*(1/O316),Q316,R316,$W$2,0.05),ageerPb76(Q316,R316))</f>
        <v>#NAME?</v>
      </c>
      <c r="X316" s="4" t="e">
        <f ca="1">agePb6U8(L316)/agePb7u5(J316)</f>
        <v>#NAME?</v>
      </c>
      <c r="Z316" s="1">
        <v>0.79700000000000004</v>
      </c>
      <c r="AA316" s="1">
        <v>1.2999999999999999E-2</v>
      </c>
      <c r="AB316" s="1">
        <v>9.6699999999999994E-2</v>
      </c>
      <c r="AC316" s="1">
        <v>1.6999999999999999E-3</v>
      </c>
      <c r="AD316" s="1">
        <v>0.94238</v>
      </c>
      <c r="AE316" s="1">
        <v>10.34126</v>
      </c>
      <c r="AF316" s="1">
        <v>0.18180089999999999</v>
      </c>
      <c r="AG316" s="1">
        <v>5.994E-2</v>
      </c>
      <c r="AH316" s="1">
        <v>3.8999999999999999E-4</v>
      </c>
      <c r="AI316" s="1">
        <v>0.36936999999999998</v>
      </c>
      <c r="AJ316" s="1">
        <v>3.1600000000000003E-2</v>
      </c>
      <c r="AK316" s="1">
        <v>1.8E-3</v>
      </c>
      <c r="AL316" s="1">
        <v>88.4</v>
      </c>
      <c r="AM316" s="1">
        <v>1.2</v>
      </c>
      <c r="AN316" s="1">
        <v>595.20000000000005</v>
      </c>
      <c r="AO316" s="1">
        <v>7.4</v>
      </c>
      <c r="AP316" s="1">
        <v>595</v>
      </c>
      <c r="AQ316" s="1">
        <v>10</v>
      </c>
      <c r="AR316" s="1">
        <v>629</v>
      </c>
      <c r="AS316" s="1">
        <v>36</v>
      </c>
      <c r="AT316" s="1">
        <v>604</v>
      </c>
      <c r="AU316" s="1">
        <v>13</v>
      </c>
      <c r="AV316" s="1">
        <v>50.79</v>
      </c>
      <c r="AW316" s="1">
        <v>0.67</v>
      </c>
      <c r="AX316" s="1">
        <v>0.69800000000000006</v>
      </c>
      <c r="AY316" s="1">
        <v>2.8000000000000001E-2</v>
      </c>
      <c r="AZ316" s="1">
        <v>1764.261</v>
      </c>
      <c r="BA316" s="1">
        <v>37.881</v>
      </c>
      <c r="BB316" s="1">
        <v>11389.140000000001</v>
      </c>
      <c r="BC316" s="1">
        <v>149.04</v>
      </c>
      <c r="BD316" s="1">
        <v>192199.5</v>
      </c>
      <c r="BE316" s="1">
        <v>2359.7999999999997</v>
      </c>
      <c r="BF316" s="1">
        <v>2.6082000000000001</v>
      </c>
      <c r="BG316" s="1">
        <v>4.6574999999999998</v>
      </c>
      <c r="BH316" s="1">
        <f t="shared" si="100"/>
        <v>73690.476190476184</v>
      </c>
      <c r="BI316" s="1">
        <f t="shared" si="101"/>
        <v>131593.24641076964</v>
      </c>
    </row>
    <row r="317" spans="1:61" x14ac:dyDescent="0.2">
      <c r="X317" s="4"/>
    </row>
    <row r="318" spans="1:61" x14ac:dyDescent="0.2">
      <c r="X318" s="4"/>
    </row>
    <row r="319" spans="1:61" x14ac:dyDescent="0.2">
      <c r="A319" t="s">
        <v>56</v>
      </c>
      <c r="B319" t="s">
        <v>38</v>
      </c>
      <c r="C319" t="s">
        <v>57</v>
      </c>
      <c r="D319" t="s">
        <v>58</v>
      </c>
      <c r="E319">
        <v>49908</v>
      </c>
      <c r="F319">
        <v>11135</v>
      </c>
      <c r="G319" t="s">
        <v>58</v>
      </c>
      <c r="H319" s="1">
        <v>107.5</v>
      </c>
      <c r="I319" s="1">
        <v>76.599999999999994</v>
      </c>
      <c r="J319" s="10">
        <v>1.29E-2</v>
      </c>
      <c r="K319" s="10">
        <f t="shared" ref="K319:K342" ca="1" si="102">SQRT(K$2^2+(AA319/Z319)^2)*J319</f>
        <v>1.2274216879296208E-3</v>
      </c>
      <c r="L319" s="7">
        <v>1.8680000000000001E-3</v>
      </c>
      <c r="M319" s="7">
        <f t="shared" ref="M319:M342" ca="1" si="103">SQRT(M$2^2+(AC319/AB319)^2)*L319</f>
        <v>6.5664066276769663E-5</v>
      </c>
      <c r="N319" s="7">
        <v>0.10208</v>
      </c>
      <c r="O319" s="8">
        <v>535.33190000000002</v>
      </c>
      <c r="P319" s="8">
        <f t="shared" ref="P319:P342" ca="1" si="104">SQRT(P$2^2+(AF319/AE319)^2)*O319</f>
        <v>18.81802157167283</v>
      </c>
      <c r="Q319" s="9">
        <v>5.11E-2</v>
      </c>
      <c r="R319" s="9">
        <f t="shared" ref="R319:R342" ca="1" si="105">SQRT(R$2^2+(AH319/AG319)^2)*Q319</f>
        <v>5.2994795970925292E-3</v>
      </c>
      <c r="S319" s="8">
        <f t="shared" ref="S319:S342" si="106">(((BE319/BD319)^2+(AW319/AV319)^2)+((BE319/BD319)^2+(BC319/BB319)^2)-((BC319/BB319)^2+(AW319/AV319)^2))/(2*SQRT((BE319/BD319)^2+(AW319/AV319)^2)*SQRT((BE319/BD319)^2+(BC319/BB319)^2))</f>
        <v>0.24934567039172495</v>
      </c>
      <c r="T319" s="11">
        <v>6.3500000000000004E-4</v>
      </c>
      <c r="U319" s="11">
        <f t="shared" ref="U319:U342" ca="1" si="107">SQRT(U$2^2+(AK319/AJ319)^2)*T319</f>
        <v>2.6273370548903695E-5</v>
      </c>
      <c r="V319" s="6" t="e">
        <f ca="1">IF(agePb6U8(1/O319)&lt;1400,age7corr(1/O319,Q319,$W$2),agePb76(Q319))</f>
        <v>#NAME?</v>
      </c>
      <c r="W319" s="6" t="e">
        <f ca="1">IF(agePb6U8(1/O319)&lt;1400,ageer7corr(V319,1/O319,P319/O319*(1/O319),Q319,R319,$W$2,0.05),ageerPb76(Q319,R319))</f>
        <v>#NAME?</v>
      </c>
      <c r="X319" s="4" t="e">
        <f ca="1">agePb6U8(L319)/agePb7u5(J319)</f>
        <v>#NAME?</v>
      </c>
      <c r="Z319" s="1">
        <v>1.29E-2</v>
      </c>
      <c r="AA319" s="1">
        <v>1.1999999999999999E-3</v>
      </c>
      <c r="AB319" s="1">
        <v>1.8680000000000001E-3</v>
      </c>
      <c r="AC319" s="1">
        <v>5.3999999999999998E-5</v>
      </c>
      <c r="AD319" s="1">
        <v>0.10208</v>
      </c>
      <c r="AE319" s="1">
        <v>535.33190000000002</v>
      </c>
      <c r="AF319" s="1">
        <v>15.47533</v>
      </c>
      <c r="AG319" s="1">
        <v>5.11E-2</v>
      </c>
      <c r="AH319" s="1">
        <v>5.1999999999999998E-3</v>
      </c>
      <c r="AI319" s="1">
        <v>0.11441</v>
      </c>
      <c r="AJ319" s="1">
        <v>6.3500000000000004E-4</v>
      </c>
      <c r="AK319" s="1">
        <v>2.3E-5</v>
      </c>
      <c r="AL319" s="1">
        <v>4.46</v>
      </c>
      <c r="AM319" s="1">
        <v>0.19</v>
      </c>
      <c r="AN319" s="1">
        <v>13</v>
      </c>
      <c r="AO319" s="1">
        <v>1.2</v>
      </c>
      <c r="AP319" s="1">
        <v>12.03</v>
      </c>
      <c r="AQ319" s="1">
        <v>0.34</v>
      </c>
      <c r="AR319" s="1">
        <v>12.82</v>
      </c>
      <c r="AS319" s="1">
        <v>0.47</v>
      </c>
      <c r="AT319" s="1">
        <v>220</v>
      </c>
      <c r="AU319" s="1">
        <v>200</v>
      </c>
      <c r="AV319" s="1">
        <v>23.76</v>
      </c>
      <c r="AW319" s="1">
        <v>0.97000000000000008</v>
      </c>
      <c r="AX319" s="1">
        <v>6.09</v>
      </c>
      <c r="AY319" s="1">
        <v>0.15</v>
      </c>
      <c r="AZ319" s="1">
        <v>320.43599999999998</v>
      </c>
      <c r="BA319" s="1">
        <v>10.556999999999999</v>
      </c>
      <c r="BB319" s="1">
        <v>83.835000000000008</v>
      </c>
      <c r="BC319" s="1">
        <v>8.6940000000000008</v>
      </c>
      <c r="BD319" s="1">
        <v>1720.1699999999998</v>
      </c>
      <c r="BE319" s="1">
        <v>68.31</v>
      </c>
      <c r="BF319" s="1">
        <v>2.484</v>
      </c>
      <c r="BG319" s="1">
        <v>4.1607000000000003</v>
      </c>
      <c r="BH319" s="1">
        <f t="shared" ref="BH319:BH342" si="108">BD319/BF319</f>
        <v>692.49999999999989</v>
      </c>
      <c r="BI319" s="1">
        <f t="shared" ref="BI319:BI342" si="109">SQRT((BG319/BF319)^2+(BE319/BD319)^2)*BH319</f>
        <v>1160.2634415968855</v>
      </c>
    </row>
    <row r="320" spans="1:61" x14ac:dyDescent="0.2">
      <c r="A320" t="s">
        <v>59</v>
      </c>
      <c r="B320" t="s">
        <v>38</v>
      </c>
      <c r="C320" t="s">
        <v>60</v>
      </c>
      <c r="D320" t="s">
        <v>61</v>
      </c>
      <c r="E320">
        <v>49910</v>
      </c>
      <c r="F320">
        <v>10810</v>
      </c>
      <c r="G320" t="s">
        <v>61</v>
      </c>
      <c r="H320" s="1">
        <v>376</v>
      </c>
      <c r="I320" s="1">
        <v>486</v>
      </c>
      <c r="J320" s="10">
        <v>0.317</v>
      </c>
      <c r="K320" s="10">
        <f t="shared" ca="1" si="102"/>
        <v>6.6303812861705017E-2</v>
      </c>
      <c r="L320" s="7">
        <v>4.5199999999999997E-3</v>
      </c>
      <c r="M320" s="7">
        <f t="shared" ca="1" si="103"/>
        <v>5.7712404212612728E-4</v>
      </c>
      <c r="N320" s="7">
        <v>0.99761</v>
      </c>
      <c r="O320" s="8">
        <v>221.2389</v>
      </c>
      <c r="P320" s="8">
        <f t="shared" ca="1" si="104"/>
        <v>28.248298010841008</v>
      </c>
      <c r="Q320" s="9">
        <v>0.47599999999999998</v>
      </c>
      <c r="R320" s="9">
        <f t="shared" ca="1" si="105"/>
        <v>4.6974784725424767E-2</v>
      </c>
      <c r="S320" s="8">
        <f t="shared" si="106"/>
        <v>0.47235519043868152</v>
      </c>
      <c r="T320" s="11">
        <v>5.3E-3</v>
      </c>
      <c r="U320" s="11">
        <f t="shared" ca="1" si="107"/>
        <v>1.0056023070777035E-3</v>
      </c>
      <c r="V320" s="6" t="e">
        <f ca="1">IF(agePb6U8(1/O320)&lt;1400,age7corr(1/O320,Q320,$W$2),agePb76(Q320))</f>
        <v>#NAME?</v>
      </c>
      <c r="W320" s="6" t="e">
        <f ca="1">IF(agePb6U8(1/O320)&lt;1400,ageer7corr(V320,1/O320,P320/O320*(1/O320),Q320,R320,$W$2,0.05),ageerPb76(Q320,R320))</f>
        <v>#NAME?</v>
      </c>
      <c r="X320" s="4" t="e">
        <f ca="1">agePb6U8(L320)/agePb7u5(J320)</f>
        <v>#NAME?</v>
      </c>
      <c r="Z320" s="1">
        <v>0.317</v>
      </c>
      <c r="AA320" s="1">
        <v>6.6000000000000003E-2</v>
      </c>
      <c r="AB320" s="1">
        <v>4.5199999999999997E-3</v>
      </c>
      <c r="AC320" s="1">
        <v>5.6999999999999998E-4</v>
      </c>
      <c r="AD320" s="1">
        <v>0.99761</v>
      </c>
      <c r="AE320" s="1">
        <v>221.2389</v>
      </c>
      <c r="AF320" s="1">
        <v>27.8996</v>
      </c>
      <c r="AG320" s="1">
        <v>0.47599999999999998</v>
      </c>
      <c r="AH320" s="1">
        <v>4.5999999999999999E-2</v>
      </c>
      <c r="AI320" s="1">
        <v>-0.98809999999999998</v>
      </c>
      <c r="AJ320" s="1">
        <v>5.3E-3</v>
      </c>
      <c r="AK320" s="1">
        <v>1E-3</v>
      </c>
      <c r="AL320" s="1">
        <v>0.78200000000000003</v>
      </c>
      <c r="AM320" s="1">
        <v>5.5E-2</v>
      </c>
      <c r="AN320" s="1">
        <v>273</v>
      </c>
      <c r="AO320" s="1">
        <v>51</v>
      </c>
      <c r="AP320" s="1">
        <v>29.1</v>
      </c>
      <c r="AQ320" s="1">
        <v>3.6</v>
      </c>
      <c r="AR320" s="1">
        <v>106</v>
      </c>
      <c r="AS320" s="1">
        <v>20</v>
      </c>
      <c r="AT320" s="1">
        <v>4160</v>
      </c>
      <c r="AU320" s="1">
        <v>140</v>
      </c>
      <c r="AV320" s="1">
        <v>83</v>
      </c>
      <c r="AW320" s="1">
        <v>4</v>
      </c>
      <c r="AX320" s="1">
        <v>38.6</v>
      </c>
      <c r="AY320" s="1">
        <v>1.1000000000000001</v>
      </c>
      <c r="AZ320" s="1">
        <v>16394.400000000001</v>
      </c>
      <c r="BA320" s="1">
        <v>3105</v>
      </c>
      <c r="BB320" s="1">
        <v>7327.7999999999993</v>
      </c>
      <c r="BC320" s="1">
        <v>1552.5</v>
      </c>
      <c r="BD320" s="1">
        <v>14469.3</v>
      </c>
      <c r="BE320" s="1">
        <v>1800.9</v>
      </c>
      <c r="BF320" s="1">
        <v>490.59000000000003</v>
      </c>
      <c r="BG320" s="1">
        <v>105.57000000000001</v>
      </c>
      <c r="BH320" s="1">
        <f t="shared" si="108"/>
        <v>29.493670886075947</v>
      </c>
      <c r="BI320" s="1">
        <f t="shared" si="109"/>
        <v>7.3318827311363854</v>
      </c>
    </row>
    <row r="321" spans="1:61" x14ac:dyDescent="0.2">
      <c r="A321" t="s">
        <v>62</v>
      </c>
      <c r="B321" t="s">
        <v>38</v>
      </c>
      <c r="C321" t="s">
        <v>63</v>
      </c>
      <c r="D321" t="s">
        <v>64</v>
      </c>
      <c r="E321">
        <v>49922</v>
      </c>
      <c r="F321">
        <v>10148</v>
      </c>
      <c r="G321" t="s">
        <v>64</v>
      </c>
      <c r="H321" s="1">
        <v>201.6</v>
      </c>
      <c r="I321" s="1">
        <v>236.4</v>
      </c>
      <c r="J321" s="10">
        <v>1.2619999999999999E-2</v>
      </c>
      <c r="K321" s="10">
        <f t="shared" ca="1" si="102"/>
        <v>7.8186044790614652E-4</v>
      </c>
      <c r="L321" s="7">
        <v>1.9449999999999999E-3</v>
      </c>
      <c r="M321" s="7">
        <f t="shared" ca="1" si="103"/>
        <v>6.1009917226628002E-5</v>
      </c>
      <c r="N321" s="7">
        <v>0.44003999999999999</v>
      </c>
      <c r="O321" s="8">
        <v>514.13879999999995</v>
      </c>
      <c r="P321" s="8">
        <f t="shared" ca="1" si="104"/>
        <v>16.127283417630384</v>
      </c>
      <c r="Q321" s="9">
        <v>4.6100000000000002E-2</v>
      </c>
      <c r="R321" s="9">
        <f t="shared" ca="1" si="105"/>
        <v>2.8530832444918254E-3</v>
      </c>
      <c r="S321" s="8">
        <f t="shared" si="106"/>
        <v>0.46761317797814356</v>
      </c>
      <c r="T321" s="11">
        <v>6.2500000000000001E-4</v>
      </c>
      <c r="U321" s="11">
        <f t="shared" ca="1" si="107"/>
        <v>2.3584952830141508E-5</v>
      </c>
      <c r="V321" s="6" t="e">
        <f ca="1">IF(agePb6U8(1/O321)&lt;1400,age7corr(1/O321,Q321,$W$2),agePb76(Q321))</f>
        <v>#NAME?</v>
      </c>
      <c r="W321" s="6" t="e">
        <f ca="1">IF(agePb6U8(1/O321)&lt;1400,ageer7corr(V321,1/O321,P321/O321*(1/O321),Q321,R321,$W$2,0.05),ageerPb76(Q321,R321))</f>
        <v>#NAME?</v>
      </c>
      <c r="X321" s="4" t="e">
        <f ca="1">agePb6U8(L321)/agePb7u5(J321)</f>
        <v>#NAME?</v>
      </c>
      <c r="Z321" s="1">
        <v>1.2619999999999999E-2</v>
      </c>
      <c r="AA321" s="1">
        <v>7.3999999999999999E-4</v>
      </c>
      <c r="AB321" s="1">
        <v>1.9449999999999999E-3</v>
      </c>
      <c r="AC321" s="1">
        <v>4.6999999999999997E-5</v>
      </c>
      <c r="AD321" s="1">
        <v>0.44003999999999999</v>
      </c>
      <c r="AE321" s="1">
        <v>514.13879999999995</v>
      </c>
      <c r="AF321" s="1">
        <v>12.423920000000001</v>
      </c>
      <c r="AG321" s="1">
        <v>4.6100000000000002E-2</v>
      </c>
      <c r="AH321" s="1">
        <v>2.7000000000000001E-3</v>
      </c>
      <c r="AI321" s="1">
        <v>8.3691000000000002E-2</v>
      </c>
      <c r="AJ321" s="1">
        <v>6.2500000000000001E-4</v>
      </c>
      <c r="AK321" s="1">
        <v>2.0000000000000002E-5</v>
      </c>
      <c r="AL321" s="1">
        <v>2.9279999999999999</v>
      </c>
      <c r="AM321" s="1">
        <v>6.0999999999999999E-2</v>
      </c>
      <c r="AN321" s="1">
        <v>12.73</v>
      </c>
      <c r="AO321" s="1">
        <v>0.74</v>
      </c>
      <c r="AP321" s="1">
        <v>12.52</v>
      </c>
      <c r="AQ321" s="1">
        <v>0.31</v>
      </c>
      <c r="AR321" s="1">
        <v>12.63</v>
      </c>
      <c r="AS321" s="1">
        <v>0.41</v>
      </c>
      <c r="AT321" s="1">
        <v>30</v>
      </c>
      <c r="AU321" s="1">
        <v>120</v>
      </c>
      <c r="AV321" s="1">
        <v>44.56</v>
      </c>
      <c r="AW321" s="1">
        <v>0.9</v>
      </c>
      <c r="AX321" s="1">
        <v>18.790000000000003</v>
      </c>
      <c r="AY321" s="1">
        <v>0.69</v>
      </c>
      <c r="AZ321" s="1">
        <v>960.68700000000001</v>
      </c>
      <c r="BA321" s="1">
        <v>45.954000000000001</v>
      </c>
      <c r="BB321" s="1">
        <v>160.21799999999999</v>
      </c>
      <c r="BC321" s="1">
        <v>9.3149999999999995</v>
      </c>
      <c r="BD321" s="1">
        <v>3384.4500000000003</v>
      </c>
      <c r="BE321" s="1">
        <v>124.2</v>
      </c>
      <c r="BF321" s="1">
        <v>3.6638999999999999</v>
      </c>
      <c r="BG321" s="1">
        <v>5.6510999999999996</v>
      </c>
      <c r="BH321" s="1">
        <f t="shared" si="108"/>
        <v>923.72881355932213</v>
      </c>
      <c r="BI321" s="1">
        <f t="shared" si="109"/>
        <v>1425.1374811638111</v>
      </c>
    </row>
    <row r="322" spans="1:61" x14ac:dyDescent="0.2">
      <c r="A322" t="s">
        <v>65</v>
      </c>
      <c r="B322" t="s">
        <v>38</v>
      </c>
      <c r="C322" t="s">
        <v>66</v>
      </c>
      <c r="D322" t="s">
        <v>67</v>
      </c>
      <c r="E322">
        <v>50341</v>
      </c>
      <c r="F322">
        <v>13867</v>
      </c>
      <c r="G322" t="s">
        <v>67</v>
      </c>
      <c r="H322" s="1">
        <v>470</v>
      </c>
      <c r="I322" s="1">
        <v>573</v>
      </c>
      <c r="J322" s="10">
        <v>1.494E-2</v>
      </c>
      <c r="K322" s="10">
        <f t="shared" ca="1" si="102"/>
        <v>9.9588224203466945E-4</v>
      </c>
      <c r="L322" s="7">
        <v>2.0110000000000002E-3</v>
      </c>
      <c r="M322" s="7">
        <f t="shared" ca="1" si="103"/>
        <v>7.4743885368637358E-5</v>
      </c>
      <c r="N322" s="7">
        <v>0.77676000000000001</v>
      </c>
      <c r="O322" s="8">
        <v>497.26499999999999</v>
      </c>
      <c r="P322" s="8">
        <f t="shared" ca="1" si="104"/>
        <v>18.48210952891742</v>
      </c>
      <c r="Q322" s="9">
        <v>5.4399999999999997E-2</v>
      </c>
      <c r="R322" s="9">
        <f t="shared" ca="1" si="105"/>
        <v>3.6652072247009447E-3</v>
      </c>
      <c r="S322" s="8">
        <f t="shared" si="106"/>
        <v>0.38442901398755636</v>
      </c>
      <c r="T322" s="11">
        <v>7.4399999999999998E-4</v>
      </c>
      <c r="U322" s="11">
        <f t="shared" ca="1" si="107"/>
        <v>3.1708270214567053E-5</v>
      </c>
      <c r="V322" s="6" t="e">
        <f ca="1">IF(agePb6U8(1/O322)&lt;1400,age7corr(1/O322,Q322,$W$2),agePb76(Q322))</f>
        <v>#NAME?</v>
      </c>
      <c r="W322" s="6" t="e">
        <f ca="1">IF(agePb6U8(1/O322)&lt;1400,ageer7corr(V322,1/O322,P322/O322*(1/O322),Q322,R322,$W$2,0.05),ageerPb76(Q322,R322))</f>
        <v>#NAME?</v>
      </c>
      <c r="X322" s="4" t="e">
        <f ca="1">agePb6U8(L322)/agePb7u5(J322)</f>
        <v>#NAME?</v>
      </c>
      <c r="Z322" s="1">
        <v>1.494E-2</v>
      </c>
      <c r="AA322" s="1">
        <v>9.5E-4</v>
      </c>
      <c r="AB322" s="1">
        <v>2.0110000000000002E-3</v>
      </c>
      <c r="AC322" s="1">
        <v>6.3E-5</v>
      </c>
      <c r="AD322" s="1">
        <v>0.77676000000000001</v>
      </c>
      <c r="AE322" s="1">
        <v>497.26499999999999</v>
      </c>
      <c r="AF322" s="1">
        <v>15.57817</v>
      </c>
      <c r="AG322" s="1">
        <v>5.4399999999999997E-2</v>
      </c>
      <c r="AH322" s="1">
        <v>3.5000000000000001E-3</v>
      </c>
      <c r="AI322" s="1">
        <v>-0.45023000000000002</v>
      </c>
      <c r="AJ322" s="1">
        <v>7.4399999999999998E-4</v>
      </c>
      <c r="AK322" s="1">
        <v>2.8E-5</v>
      </c>
      <c r="AL322" s="1">
        <v>2.48</v>
      </c>
      <c r="AM322" s="1">
        <v>0.06</v>
      </c>
      <c r="AN322" s="1">
        <v>15.06</v>
      </c>
      <c r="AO322" s="1">
        <v>0.95</v>
      </c>
      <c r="AP322" s="1">
        <v>12.95</v>
      </c>
      <c r="AQ322" s="1">
        <v>0.41</v>
      </c>
      <c r="AR322" s="1">
        <v>15.04</v>
      </c>
      <c r="AS322" s="1">
        <v>0.56999999999999995</v>
      </c>
      <c r="AT322" s="1">
        <v>400</v>
      </c>
      <c r="AU322" s="1">
        <v>150</v>
      </c>
      <c r="AV322" s="1">
        <v>103.9</v>
      </c>
      <c r="AW322" s="1">
        <v>6.7</v>
      </c>
      <c r="AX322" s="1">
        <v>45.6</v>
      </c>
      <c r="AY322" s="1">
        <v>2</v>
      </c>
      <c r="AZ322" s="1">
        <v>2757.2400000000002</v>
      </c>
      <c r="BA322" s="1">
        <v>242.19</v>
      </c>
      <c r="BB322" s="1">
        <v>442.15199999999999</v>
      </c>
      <c r="BC322" s="1">
        <v>52.164000000000001</v>
      </c>
      <c r="BD322" s="1">
        <v>8259.3000000000011</v>
      </c>
      <c r="BE322" s="1">
        <v>589.94999999999993</v>
      </c>
      <c r="BF322" s="1">
        <v>8.0729999999999986</v>
      </c>
      <c r="BG322" s="1">
        <v>7.4519999999999991</v>
      </c>
      <c r="BH322" s="1">
        <f t="shared" si="108"/>
        <v>1023.0769230769234</v>
      </c>
      <c r="BI322" s="1">
        <f t="shared" si="109"/>
        <v>947.20185934533379</v>
      </c>
    </row>
    <row r="323" spans="1:61" x14ac:dyDescent="0.2">
      <c r="A323" t="s">
        <v>68</v>
      </c>
      <c r="B323" t="s">
        <v>38</v>
      </c>
      <c r="C323" t="s">
        <v>69</v>
      </c>
      <c r="D323" t="s">
        <v>70</v>
      </c>
      <c r="E323">
        <v>50297</v>
      </c>
      <c r="F323">
        <v>13750</v>
      </c>
      <c r="G323" t="s">
        <v>70</v>
      </c>
      <c r="H323" s="1">
        <v>544</v>
      </c>
      <c r="I323" s="1">
        <v>686</v>
      </c>
      <c r="J323" s="10">
        <v>0.222</v>
      </c>
      <c r="K323" s="10">
        <f t="shared" ca="1" si="102"/>
        <v>7.0140670085193799E-2</v>
      </c>
      <c r="L323" s="7">
        <v>3.82E-3</v>
      </c>
      <c r="M323" s="7">
        <f t="shared" ca="1" si="103"/>
        <v>6.147657765360724E-4</v>
      </c>
      <c r="N323" s="7">
        <v>0.99309999999999998</v>
      </c>
      <c r="O323" s="8">
        <v>261.7801</v>
      </c>
      <c r="P323" s="8">
        <f t="shared" ca="1" si="104"/>
        <v>42.129173062840955</v>
      </c>
      <c r="Q323" s="9">
        <v>0.372</v>
      </c>
      <c r="R323" s="9">
        <f t="shared" ca="1" si="105"/>
        <v>8.0345215165559175E-2</v>
      </c>
      <c r="S323" s="8">
        <f t="shared" si="106"/>
        <v>0.46870186038081063</v>
      </c>
      <c r="T323" s="11">
        <v>3.8999999999999998E-3</v>
      </c>
      <c r="U323" s="11">
        <f t="shared" ca="1" si="107"/>
        <v>1.1027619870126102E-3</v>
      </c>
      <c r="V323" s="6" t="e">
        <f ca="1">IF(agePb6U8(1/O323)&lt;1400,age7corr(1/O323,Q323,$W$2),agePb76(Q323))</f>
        <v>#NAME?</v>
      </c>
      <c r="W323" s="6" t="e">
        <f ca="1">IF(agePb6U8(1/O323)&lt;1400,ageer7corr(V323,1/O323,P323/O323*(1/O323),Q323,R323,$W$2,0.05),ageerPb76(Q323,R323))</f>
        <v>#NAME?</v>
      </c>
      <c r="X323" s="4" t="e">
        <f ca="1">agePb6U8(L323)/agePb7u5(J323)</f>
        <v>#NAME?</v>
      </c>
      <c r="Z323" s="1">
        <v>0.222</v>
      </c>
      <c r="AA323" s="1">
        <v>7.0000000000000007E-2</v>
      </c>
      <c r="AB323" s="1">
        <v>3.82E-3</v>
      </c>
      <c r="AC323" s="1">
        <v>6.0999999999999997E-4</v>
      </c>
      <c r="AD323" s="1">
        <v>0.99309999999999998</v>
      </c>
      <c r="AE323" s="1">
        <v>261.7801</v>
      </c>
      <c r="AF323" s="1">
        <v>41.802579999999999</v>
      </c>
      <c r="AG323" s="1">
        <v>0.372</v>
      </c>
      <c r="AH323" s="1">
        <v>0.08</v>
      </c>
      <c r="AI323" s="1">
        <v>-0.97219999999999995</v>
      </c>
      <c r="AJ323" s="1">
        <v>3.8999999999999998E-3</v>
      </c>
      <c r="AK323" s="1">
        <v>1.1000000000000001E-3</v>
      </c>
      <c r="AL323" s="1">
        <v>1.06</v>
      </c>
      <c r="AM323" s="1">
        <v>0.25</v>
      </c>
      <c r="AN323" s="1">
        <v>195</v>
      </c>
      <c r="AO323" s="1">
        <v>58</v>
      </c>
      <c r="AP323" s="1">
        <v>24.5</v>
      </c>
      <c r="AQ323" s="1">
        <v>3.9</v>
      </c>
      <c r="AR323" s="1">
        <v>78</v>
      </c>
      <c r="AS323" s="1">
        <v>21</v>
      </c>
      <c r="AT323" s="1">
        <v>3530</v>
      </c>
      <c r="AU323" s="1">
        <v>510</v>
      </c>
      <c r="AV323" s="1">
        <v>120.1</v>
      </c>
      <c r="AW323" s="1">
        <v>4.5</v>
      </c>
      <c r="AX323" s="1">
        <v>54.6</v>
      </c>
      <c r="AY323" s="1">
        <v>3.2</v>
      </c>
      <c r="AZ323" s="1">
        <v>17698.5</v>
      </c>
      <c r="BA323" s="1">
        <v>5092.2</v>
      </c>
      <c r="BB323" s="1">
        <v>7824.6</v>
      </c>
      <c r="BC323" s="1">
        <v>2484</v>
      </c>
      <c r="BD323" s="1">
        <v>18257.399999999998</v>
      </c>
      <c r="BE323" s="1">
        <v>3167.1</v>
      </c>
      <c r="BF323" s="1">
        <v>521.64</v>
      </c>
      <c r="BG323" s="1">
        <v>173.88</v>
      </c>
      <c r="BH323" s="1">
        <f t="shared" si="108"/>
        <v>35</v>
      </c>
      <c r="BI323" s="1">
        <f t="shared" si="109"/>
        <v>13.151933546405649</v>
      </c>
    </row>
    <row r="324" spans="1:61" x14ac:dyDescent="0.2">
      <c r="A324" t="s">
        <v>71</v>
      </c>
      <c r="B324" t="s">
        <v>38</v>
      </c>
      <c r="C324" t="s">
        <v>72</v>
      </c>
      <c r="D324" t="s">
        <v>73</v>
      </c>
      <c r="E324">
        <v>50363</v>
      </c>
      <c r="F324">
        <v>13607</v>
      </c>
      <c r="G324" t="s">
        <v>73</v>
      </c>
      <c r="H324" s="1">
        <v>211.9</v>
      </c>
      <c r="I324" s="1">
        <v>252</v>
      </c>
      <c r="J324" s="10">
        <v>1.2880000000000001E-2</v>
      </c>
      <c r="K324" s="10">
        <f t="shared" ca="1" si="102"/>
        <v>7.5528654165157752E-4</v>
      </c>
      <c r="L324" s="7">
        <v>1.9559999999999998E-3</v>
      </c>
      <c r="M324" s="7">
        <f t="shared" ca="1" si="103"/>
        <v>6.6681139762304602E-5</v>
      </c>
      <c r="N324" s="7">
        <v>0.71677999999999997</v>
      </c>
      <c r="O324" s="8">
        <v>511.24740000000003</v>
      </c>
      <c r="P324" s="8">
        <f t="shared" ca="1" si="104"/>
        <v>17.428709675670316</v>
      </c>
      <c r="Q324" s="9">
        <v>4.7600000000000003E-2</v>
      </c>
      <c r="R324" s="9">
        <f t="shared" ca="1" si="105"/>
        <v>2.5819186664184446E-3</v>
      </c>
      <c r="S324" s="8">
        <f t="shared" si="106"/>
        <v>0.34492053117156068</v>
      </c>
      <c r="T324" s="11">
        <v>6.9399999999999996E-4</v>
      </c>
      <c r="U324" s="11">
        <f t="shared" ca="1" si="107"/>
        <v>2.6012581571232027E-5</v>
      </c>
      <c r="V324" s="6" t="e">
        <f ca="1">IF(agePb6U8(1/O324)&lt;1400,age7corr(1/O324,Q324,$W$2),agePb76(Q324))</f>
        <v>#NAME?</v>
      </c>
      <c r="W324" s="6" t="e">
        <f ca="1">IF(agePb6U8(1/O324)&lt;1400,ageer7corr(V324,1/O324,P324/O324*(1/O324),Q324,R324,$W$2,0.05),ageerPb76(Q324,R324))</f>
        <v>#NAME?</v>
      </c>
      <c r="X324" s="4" t="e">
        <f ca="1">agePb6U8(L324)/agePb7u5(J324)</f>
        <v>#NAME?</v>
      </c>
      <c r="Z324" s="1">
        <v>1.2880000000000001E-2</v>
      </c>
      <c r="AA324" s="1">
        <v>7.1000000000000002E-4</v>
      </c>
      <c r="AB324" s="1">
        <v>1.9559999999999998E-3</v>
      </c>
      <c r="AC324" s="1">
        <v>5.3999999999999998E-5</v>
      </c>
      <c r="AD324" s="1">
        <v>0.71677999999999997</v>
      </c>
      <c r="AE324" s="1">
        <v>511.24740000000003</v>
      </c>
      <c r="AF324" s="1">
        <v>14.114190000000001</v>
      </c>
      <c r="AG324" s="1">
        <v>4.7600000000000003E-2</v>
      </c>
      <c r="AH324" s="1">
        <v>2.3999999999999998E-3</v>
      </c>
      <c r="AI324" s="1">
        <v>-0.54201999999999995</v>
      </c>
      <c r="AJ324" s="1">
        <v>6.9399999999999996E-4</v>
      </c>
      <c r="AK324" s="1">
        <v>2.1999999999999999E-5</v>
      </c>
      <c r="AL324" s="1">
        <v>2.6640000000000001</v>
      </c>
      <c r="AM324" s="1">
        <v>3.7999999999999999E-2</v>
      </c>
      <c r="AN324" s="1">
        <v>12.99</v>
      </c>
      <c r="AO324" s="1">
        <v>0.71</v>
      </c>
      <c r="AP324" s="1">
        <v>12.6</v>
      </c>
      <c r="AQ324" s="1">
        <v>0.35</v>
      </c>
      <c r="AR324" s="1">
        <v>14.01</v>
      </c>
      <c r="AS324" s="1">
        <v>0.45</v>
      </c>
      <c r="AT324" s="1">
        <v>80</v>
      </c>
      <c r="AU324" s="1">
        <v>100</v>
      </c>
      <c r="AV324" s="1">
        <v>46.82</v>
      </c>
      <c r="AW324" s="1">
        <v>0.99</v>
      </c>
      <c r="AX324" s="1">
        <v>20.04</v>
      </c>
      <c r="AY324" s="1">
        <v>0.97000000000000008</v>
      </c>
      <c r="AZ324" s="1">
        <v>1114.6949999999999</v>
      </c>
      <c r="BA324" s="1">
        <v>30.428999999999998</v>
      </c>
      <c r="BB324" s="1">
        <v>168.91199999999998</v>
      </c>
      <c r="BC324" s="1">
        <v>8.0729999999999986</v>
      </c>
      <c r="BD324" s="1">
        <v>3552.12</v>
      </c>
      <c r="BE324" s="1">
        <v>86.94</v>
      </c>
      <c r="BF324" s="1">
        <v>-3.4775999999999998</v>
      </c>
      <c r="BG324" s="1">
        <v>6.0858000000000008</v>
      </c>
      <c r="BH324" s="1">
        <f t="shared" si="108"/>
        <v>-1021.4285714285714</v>
      </c>
      <c r="BI324" s="1">
        <f t="shared" si="109"/>
        <v>-1787.6748166263353</v>
      </c>
    </row>
    <row r="325" spans="1:61" x14ac:dyDescent="0.2">
      <c r="A325" t="s">
        <v>74</v>
      </c>
      <c r="B325" t="s">
        <v>38</v>
      </c>
      <c r="C325" t="s">
        <v>75</v>
      </c>
      <c r="D325" t="s">
        <v>76</v>
      </c>
      <c r="E325">
        <v>50396</v>
      </c>
      <c r="F325">
        <v>13520</v>
      </c>
      <c r="G325" t="s">
        <v>76</v>
      </c>
      <c r="H325" s="1">
        <v>294.3</v>
      </c>
      <c r="I325" s="1">
        <v>410.8</v>
      </c>
      <c r="J325" s="10">
        <v>1.2840000000000001E-2</v>
      </c>
      <c r="K325" s="10">
        <f t="shared" ca="1" si="102"/>
        <v>7.2687429449664817E-4</v>
      </c>
      <c r="L325" s="7">
        <v>1.946E-3</v>
      </c>
      <c r="M325" s="7">
        <f t="shared" ca="1" si="103"/>
        <v>7.0680735706414377E-5</v>
      </c>
      <c r="N325" s="7">
        <v>0.50449999999999995</v>
      </c>
      <c r="O325" s="8">
        <v>513.87459999999999</v>
      </c>
      <c r="P325" s="8">
        <f t="shared" ca="1" si="104"/>
        <v>18.664458079774619</v>
      </c>
      <c r="Q325" s="9">
        <v>4.7899999999999998E-2</v>
      </c>
      <c r="R325" s="9">
        <f t="shared" ca="1" si="105"/>
        <v>2.4915384805376775E-3</v>
      </c>
      <c r="S325" s="8">
        <f t="shared" si="106"/>
        <v>0.36201089087572291</v>
      </c>
      <c r="T325" s="11">
        <v>7.2900000000000005E-4</v>
      </c>
      <c r="U325" s="11">
        <f t="shared" ca="1" si="107"/>
        <v>2.8940912217827555E-5</v>
      </c>
      <c r="V325" s="6" t="e">
        <f ca="1">IF(agePb6U8(1/O325)&lt;1400,age7corr(1/O325,Q325,$W$2),agePb76(Q325))</f>
        <v>#NAME?</v>
      </c>
      <c r="W325" s="6" t="e">
        <f ca="1">IF(agePb6U8(1/O325)&lt;1400,ageer7corr(V325,1/O325,P325/O325*(1/O325),Q325,R325,$W$2,0.05),ageerPb76(Q325,R325))</f>
        <v>#NAME?</v>
      </c>
      <c r="X325" s="4" t="e">
        <f ca="1">agePb6U8(L325)/agePb7u5(J325)</f>
        <v>#NAME?</v>
      </c>
      <c r="Z325" s="1">
        <v>1.2840000000000001E-2</v>
      </c>
      <c r="AA325" s="1">
        <v>6.8000000000000005E-4</v>
      </c>
      <c r="AB325" s="1">
        <v>1.946E-3</v>
      </c>
      <c r="AC325" s="1">
        <v>5.8999999999999998E-5</v>
      </c>
      <c r="AD325" s="1">
        <v>0.50449999999999995</v>
      </c>
      <c r="AE325" s="1">
        <v>513.87459999999999</v>
      </c>
      <c r="AF325" s="1">
        <v>15.57996</v>
      </c>
      <c r="AG325" s="1">
        <v>4.7899999999999998E-2</v>
      </c>
      <c r="AH325" s="1">
        <v>2.3E-3</v>
      </c>
      <c r="AI325" s="1">
        <v>8.7244000000000002E-2</v>
      </c>
      <c r="AJ325" s="1">
        <v>7.2900000000000005E-4</v>
      </c>
      <c r="AK325" s="1">
        <v>2.5000000000000001E-5</v>
      </c>
      <c r="AL325" s="1">
        <v>2.2000000000000002</v>
      </c>
      <c r="AM325" s="1">
        <v>3.5999999999999997E-2</v>
      </c>
      <c r="AN325" s="1">
        <v>12.95</v>
      </c>
      <c r="AO325" s="1">
        <v>0.68</v>
      </c>
      <c r="AP325" s="1">
        <v>12.53</v>
      </c>
      <c r="AQ325" s="1">
        <v>0.38</v>
      </c>
      <c r="AR325" s="1">
        <v>14.73</v>
      </c>
      <c r="AS325" s="1">
        <v>0.51</v>
      </c>
      <c r="AT325" s="1">
        <v>100</v>
      </c>
      <c r="AU325" s="1">
        <v>100</v>
      </c>
      <c r="AV325" s="1">
        <v>65</v>
      </c>
      <c r="AW325" s="1">
        <v>1.8</v>
      </c>
      <c r="AX325" s="1">
        <v>32.65</v>
      </c>
      <c r="AY325" s="1">
        <v>0.47</v>
      </c>
      <c r="AZ325" s="1">
        <v>1904.6070000000002</v>
      </c>
      <c r="BA325" s="1">
        <v>57.132000000000005</v>
      </c>
      <c r="BB325" s="1">
        <v>234.738</v>
      </c>
      <c r="BC325" s="1">
        <v>9.9359999999999999</v>
      </c>
      <c r="BD325" s="1">
        <v>4974.2099999999991</v>
      </c>
      <c r="BE325" s="1">
        <v>130.41</v>
      </c>
      <c r="BF325" s="1">
        <v>18.63</v>
      </c>
      <c r="BG325" s="1">
        <v>6.2099999999999991</v>
      </c>
      <c r="BH325" s="1">
        <f t="shared" si="108"/>
        <v>266.99999999999994</v>
      </c>
      <c r="BI325" s="1">
        <f t="shared" si="109"/>
        <v>89.274856482662557</v>
      </c>
    </row>
    <row r="326" spans="1:61" x14ac:dyDescent="0.2">
      <c r="A326" t="s">
        <v>77</v>
      </c>
      <c r="B326" t="s">
        <v>38</v>
      </c>
      <c r="C326" t="s">
        <v>78</v>
      </c>
      <c r="D326" t="s">
        <v>79</v>
      </c>
      <c r="E326">
        <v>50410</v>
      </c>
      <c r="F326">
        <v>13376</v>
      </c>
      <c r="G326" t="s">
        <v>79</v>
      </c>
      <c r="H326" s="1">
        <v>373</v>
      </c>
      <c r="I326" s="1">
        <v>568</v>
      </c>
      <c r="J326" s="10">
        <v>1.2409999999999999E-2</v>
      </c>
      <c r="K326" s="10">
        <f t="shared" ca="1" si="102"/>
        <v>6.1253835798258383E-4</v>
      </c>
      <c r="L326" s="7">
        <v>1.9380000000000001E-3</v>
      </c>
      <c r="M326" s="7">
        <f t="shared" ca="1" si="103"/>
        <v>6.7285493235912295E-5</v>
      </c>
      <c r="N326" s="7">
        <v>0.55940000000000001</v>
      </c>
      <c r="O326" s="8">
        <v>515.99590000000001</v>
      </c>
      <c r="P326" s="8">
        <f t="shared" ca="1" si="104"/>
        <v>17.914883486900607</v>
      </c>
      <c r="Q326" s="9">
        <v>4.6699999999999998E-2</v>
      </c>
      <c r="R326" s="9">
        <f t="shared" ca="1" si="105"/>
        <v>1.852661868771525E-3</v>
      </c>
      <c r="S326" s="8">
        <f t="shared" si="106"/>
        <v>0.31253966399177774</v>
      </c>
      <c r="T326" s="11">
        <v>6.7299999999999999E-4</v>
      </c>
      <c r="U326" s="11">
        <f t="shared" ca="1" si="107"/>
        <v>2.5790920883132501E-5</v>
      </c>
      <c r="V326" s="6" t="e">
        <f ca="1">IF(agePb6U8(1/O326)&lt;1400,age7corr(1/O326,Q326,$W$2),agePb76(Q326))</f>
        <v>#NAME?</v>
      </c>
      <c r="W326" s="6" t="e">
        <f ca="1">IF(agePb6U8(1/O326)&lt;1400,ageer7corr(V326,1/O326,P326/O326*(1/O326),Q326,R326,$W$2,0.05),ageerPb76(Q326,R326))</f>
        <v>#NAME?</v>
      </c>
      <c r="X326" s="4" t="e">
        <f ca="1">agePb6U8(L326)/agePb7u5(J326)</f>
        <v>#NAME?</v>
      </c>
      <c r="Z326" s="1">
        <v>1.2409999999999999E-2</v>
      </c>
      <c r="AA326" s="1">
        <v>5.5999999999999995E-4</v>
      </c>
      <c r="AB326" s="1">
        <v>1.9380000000000001E-3</v>
      </c>
      <c r="AC326" s="1">
        <v>5.5000000000000002E-5</v>
      </c>
      <c r="AD326" s="1">
        <v>0.55940000000000001</v>
      </c>
      <c r="AE326" s="1">
        <v>515.99590000000001</v>
      </c>
      <c r="AF326" s="1">
        <v>14.64385</v>
      </c>
      <c r="AG326" s="1">
        <v>4.6699999999999998E-2</v>
      </c>
      <c r="AH326" s="1">
        <v>1.6000000000000001E-3</v>
      </c>
      <c r="AI326" s="1">
        <v>6.8003999999999995E-2</v>
      </c>
      <c r="AJ326" s="1">
        <v>6.7299999999999999E-4</v>
      </c>
      <c r="AK326" s="1">
        <v>2.1999999999999999E-5</v>
      </c>
      <c r="AL326" s="1">
        <v>2.1080000000000001</v>
      </c>
      <c r="AM326" s="1">
        <v>3.1E-2</v>
      </c>
      <c r="AN326" s="1">
        <v>12.52</v>
      </c>
      <c r="AO326" s="1">
        <v>0.56000000000000005</v>
      </c>
      <c r="AP326" s="1">
        <v>12.48</v>
      </c>
      <c r="AQ326" s="1">
        <v>0.36</v>
      </c>
      <c r="AR326" s="1">
        <v>13.6</v>
      </c>
      <c r="AS326" s="1">
        <v>0.44</v>
      </c>
      <c r="AT326" s="1">
        <v>46</v>
      </c>
      <c r="AU326" s="1">
        <v>70</v>
      </c>
      <c r="AV326" s="1">
        <v>82.4</v>
      </c>
      <c r="AW326" s="1">
        <v>2.5</v>
      </c>
      <c r="AX326" s="1">
        <v>45.199999999999996</v>
      </c>
      <c r="AY326" s="1">
        <v>1.4</v>
      </c>
      <c r="AZ326" s="1">
        <v>2490.2099999999996</v>
      </c>
      <c r="BA326" s="1">
        <v>80.72999999999999</v>
      </c>
      <c r="BB326" s="1">
        <v>285.65999999999997</v>
      </c>
      <c r="BC326" s="1">
        <v>11.799000000000001</v>
      </c>
      <c r="BD326" s="1">
        <v>6197.58</v>
      </c>
      <c r="BE326" s="1">
        <v>149.04</v>
      </c>
      <c r="BF326" s="1">
        <v>-3.7259999999999995</v>
      </c>
      <c r="BG326" s="1">
        <v>4.7196000000000007</v>
      </c>
      <c r="BH326" s="1">
        <f t="shared" si="108"/>
        <v>-1663.3333333333335</v>
      </c>
      <c r="BI326" s="1">
        <f t="shared" si="109"/>
        <v>-2107.2685614613674</v>
      </c>
    </row>
    <row r="327" spans="1:61" x14ac:dyDescent="0.2">
      <c r="A327" t="s">
        <v>80</v>
      </c>
      <c r="B327" t="s">
        <v>38</v>
      </c>
      <c r="C327" t="s">
        <v>81</v>
      </c>
      <c r="D327" t="s">
        <v>82</v>
      </c>
      <c r="E327">
        <v>50430</v>
      </c>
      <c r="F327">
        <v>13297</v>
      </c>
      <c r="G327" t="s">
        <v>82</v>
      </c>
      <c r="H327" s="1">
        <v>463</v>
      </c>
      <c r="I327" s="1">
        <v>732</v>
      </c>
      <c r="J327" s="10">
        <v>1.29E-2</v>
      </c>
      <c r="K327" s="10">
        <f t="shared" ca="1" si="102"/>
        <v>5.7154527379727317E-4</v>
      </c>
      <c r="L327" s="7">
        <v>1.9650000000000002E-3</v>
      </c>
      <c r="M327" s="7">
        <f t="shared" ca="1" si="103"/>
        <v>6.7598002929080697E-5</v>
      </c>
      <c r="N327" s="7">
        <v>0.71523000000000003</v>
      </c>
      <c r="O327" s="8">
        <v>508.90589999999997</v>
      </c>
      <c r="P327" s="8">
        <f t="shared" ca="1" si="104"/>
        <v>17.506877217091688</v>
      </c>
      <c r="Q327" s="9">
        <v>4.65E-2</v>
      </c>
      <c r="R327" s="9">
        <f t="shared" ca="1" si="105"/>
        <v>1.5984054554461452E-3</v>
      </c>
      <c r="S327" s="8">
        <f t="shared" si="106"/>
        <v>0.40814288497334816</v>
      </c>
      <c r="T327" s="11">
        <v>6.9700000000000003E-4</v>
      </c>
      <c r="U327" s="11">
        <f t="shared" ca="1" si="107"/>
        <v>2.0477392412121227E-5</v>
      </c>
      <c r="V327" s="6" t="e">
        <f ca="1">IF(agePb6U8(1/O327)&lt;1400,age7corr(1/O327,Q327,$W$2),agePb76(Q327))</f>
        <v>#NAME?</v>
      </c>
      <c r="W327" s="6" t="e">
        <f ca="1">IF(agePb6U8(1/O327)&lt;1400,ageer7corr(V327,1/O327,P327/O327*(1/O327),Q327,R327,$W$2,0.05),ageerPb76(Q327,R327))</f>
        <v>#NAME?</v>
      </c>
      <c r="X327" s="4" t="e">
        <f ca="1">agePb6U8(L327)/agePb7u5(J327)</f>
        <v>#NAME?</v>
      </c>
      <c r="Z327" s="1">
        <v>1.29E-2</v>
      </c>
      <c r="AA327" s="1">
        <v>5.1000000000000004E-4</v>
      </c>
      <c r="AB327" s="1">
        <v>1.9650000000000002E-3</v>
      </c>
      <c r="AC327" s="1">
        <v>5.5000000000000002E-5</v>
      </c>
      <c r="AD327" s="1">
        <v>0.71523000000000003</v>
      </c>
      <c r="AE327" s="1">
        <v>508.90589999999997</v>
      </c>
      <c r="AF327" s="1">
        <v>14.24418</v>
      </c>
      <c r="AG327" s="1">
        <v>4.65E-2</v>
      </c>
      <c r="AH327" s="1">
        <v>1.2999999999999999E-3</v>
      </c>
      <c r="AI327" s="1">
        <v>-0.13012000000000001</v>
      </c>
      <c r="AJ327" s="1">
        <v>6.9700000000000003E-4</v>
      </c>
      <c r="AK327" s="1">
        <v>1.5E-5</v>
      </c>
      <c r="AL327" s="1">
        <v>1.9810000000000001</v>
      </c>
      <c r="AM327" s="1">
        <v>3.7999999999999999E-2</v>
      </c>
      <c r="AN327" s="1">
        <v>13.01</v>
      </c>
      <c r="AO327" s="1">
        <v>0.51</v>
      </c>
      <c r="AP327" s="1">
        <v>12.66</v>
      </c>
      <c r="AQ327" s="1">
        <v>0.35</v>
      </c>
      <c r="AR327" s="1">
        <v>14.07</v>
      </c>
      <c r="AS327" s="1">
        <v>0.31</v>
      </c>
      <c r="AT327" s="1">
        <v>35</v>
      </c>
      <c r="AU327" s="1">
        <v>58</v>
      </c>
      <c r="AV327" s="1">
        <v>102.3</v>
      </c>
      <c r="AW327" s="1">
        <v>2.8</v>
      </c>
      <c r="AX327" s="1">
        <v>58.2</v>
      </c>
      <c r="AY327" s="1">
        <v>1.9</v>
      </c>
      <c r="AZ327" s="1">
        <v>3297.51</v>
      </c>
      <c r="BA327" s="1">
        <v>80.72999999999999</v>
      </c>
      <c r="BB327" s="1">
        <v>373.84199999999998</v>
      </c>
      <c r="BC327" s="1">
        <v>10.556999999999999</v>
      </c>
      <c r="BD327" s="1">
        <v>7799.7599999999993</v>
      </c>
      <c r="BE327" s="1">
        <v>180.09</v>
      </c>
      <c r="BF327" s="1">
        <v>62.1</v>
      </c>
      <c r="BG327" s="1">
        <v>6.8310000000000004</v>
      </c>
      <c r="BH327" s="1">
        <f t="shared" si="108"/>
        <v>125.59999999999998</v>
      </c>
      <c r="BI327" s="1">
        <f t="shared" si="109"/>
        <v>14.117076751225797</v>
      </c>
    </row>
    <row r="328" spans="1:61" x14ac:dyDescent="0.2">
      <c r="A328" t="s">
        <v>89</v>
      </c>
      <c r="B328" t="s">
        <v>38</v>
      </c>
      <c r="C328" t="s">
        <v>90</v>
      </c>
      <c r="D328" t="s">
        <v>91</v>
      </c>
      <c r="E328">
        <v>50321</v>
      </c>
      <c r="F328">
        <v>12943</v>
      </c>
      <c r="G328" t="s">
        <v>91</v>
      </c>
      <c r="H328" s="1">
        <v>293.60000000000002</v>
      </c>
      <c r="I328" s="1">
        <v>368.2</v>
      </c>
      <c r="J328" s="10">
        <v>1.188E-2</v>
      </c>
      <c r="K328" s="10">
        <f t="shared" ca="1" si="102"/>
        <v>5.1773908486804437E-4</v>
      </c>
      <c r="L328" s="7">
        <v>1.9109999999999999E-3</v>
      </c>
      <c r="M328" s="7">
        <f t="shared" ca="1" si="103"/>
        <v>6.9460552833964685E-5</v>
      </c>
      <c r="N328" s="7">
        <v>0.51144999999999996</v>
      </c>
      <c r="O328" s="8">
        <v>523.28620000000001</v>
      </c>
      <c r="P328" s="8">
        <f t="shared" ca="1" si="104"/>
        <v>19.02027578787111</v>
      </c>
      <c r="Q328" s="9">
        <v>4.5600000000000002E-2</v>
      </c>
      <c r="R328" s="9">
        <f t="shared" ca="1" si="105"/>
        <v>2.1981228355121558E-3</v>
      </c>
      <c r="S328" s="8">
        <f t="shared" si="106"/>
        <v>0.29305101262406041</v>
      </c>
      <c r="T328" s="11">
        <v>6.5799999999999995E-4</v>
      </c>
      <c r="U328" s="11">
        <f t="shared" ca="1" si="107"/>
        <v>2.3941294868907987E-5</v>
      </c>
      <c r="V328" s="6" t="e">
        <f ca="1">IF(agePb6U8(1/O328)&lt;1400,age7corr(1/O328,Q328,$W$2),agePb76(Q328))</f>
        <v>#NAME?</v>
      </c>
      <c r="W328" s="6" t="e">
        <f ca="1">IF(agePb6U8(1/O328)&lt;1400,ageer7corr(V328,1/O328,P328/O328*(1/O328),Q328,R328,$W$2,0.05),ageerPb76(Q328,R328))</f>
        <v>#NAME?</v>
      </c>
      <c r="X328" s="4" t="e">
        <f ca="1">agePb6U8(L328)/agePb7u5(J328)</f>
        <v>#NAME?</v>
      </c>
      <c r="Z328" s="1">
        <v>1.188E-2</v>
      </c>
      <c r="AA328" s="1">
        <v>4.6000000000000001E-4</v>
      </c>
      <c r="AB328" s="1">
        <v>1.9109999999999999E-3</v>
      </c>
      <c r="AC328" s="1">
        <v>5.8E-5</v>
      </c>
      <c r="AD328" s="1">
        <v>0.51144999999999996</v>
      </c>
      <c r="AE328" s="1">
        <v>523.28620000000001</v>
      </c>
      <c r="AF328" s="1">
        <v>15.88205</v>
      </c>
      <c r="AG328" s="1">
        <v>4.5600000000000002E-2</v>
      </c>
      <c r="AH328" s="1">
        <v>2E-3</v>
      </c>
      <c r="AI328" s="1">
        <v>0.12024</v>
      </c>
      <c r="AJ328" s="1">
        <v>6.5799999999999995E-4</v>
      </c>
      <c r="AK328" s="1">
        <v>2.0000000000000002E-5</v>
      </c>
      <c r="AL328" s="1">
        <v>2.5750000000000002</v>
      </c>
      <c r="AM328" s="1">
        <v>4.9000000000000002E-2</v>
      </c>
      <c r="AN328" s="1">
        <v>11.99</v>
      </c>
      <c r="AO328" s="1">
        <v>0.46</v>
      </c>
      <c r="AP328" s="1">
        <v>12.31</v>
      </c>
      <c r="AQ328" s="1">
        <v>0.37</v>
      </c>
      <c r="AR328" s="1">
        <v>13.3</v>
      </c>
      <c r="AS328" s="1">
        <v>0.41</v>
      </c>
      <c r="AT328" s="1">
        <v>-22</v>
      </c>
      <c r="AU328" s="1">
        <v>89</v>
      </c>
      <c r="AV328" s="1">
        <v>64.8</v>
      </c>
      <c r="AW328" s="1">
        <v>1.8</v>
      </c>
      <c r="AX328" s="1">
        <v>29.26</v>
      </c>
      <c r="AY328" s="1">
        <v>0.38</v>
      </c>
      <c r="AZ328" s="1">
        <v>1570.509</v>
      </c>
      <c r="BA328" s="1">
        <v>43.47</v>
      </c>
      <c r="BB328" s="1">
        <v>221.697</v>
      </c>
      <c r="BC328" s="1">
        <v>9.9359999999999999</v>
      </c>
      <c r="BD328" s="1">
        <v>4837.59</v>
      </c>
      <c r="BE328" s="1">
        <v>111.78</v>
      </c>
      <c r="BF328" s="1">
        <v>0.621</v>
      </c>
      <c r="BG328" s="1">
        <v>5.1543000000000001</v>
      </c>
      <c r="BH328" s="1">
        <f t="shared" si="108"/>
        <v>7790</v>
      </c>
      <c r="BI328" s="1">
        <f t="shared" si="109"/>
        <v>64657.250552432248</v>
      </c>
    </row>
    <row r="329" spans="1:61" x14ac:dyDescent="0.2">
      <c r="A329" t="s">
        <v>92</v>
      </c>
      <c r="B329" t="s">
        <v>38</v>
      </c>
      <c r="C329" t="s">
        <v>93</v>
      </c>
      <c r="D329" t="s">
        <v>94</v>
      </c>
      <c r="E329">
        <v>50363</v>
      </c>
      <c r="F329">
        <v>12772</v>
      </c>
      <c r="G329" t="s">
        <v>94</v>
      </c>
      <c r="H329" s="1">
        <v>514.5</v>
      </c>
      <c r="I329" s="1">
        <v>1143</v>
      </c>
      <c r="J329" s="10">
        <v>2.1600000000000001E-2</v>
      </c>
      <c r="K329" s="10">
        <f t="shared" ca="1" si="102"/>
        <v>1.7540307865029051E-3</v>
      </c>
      <c r="L329" s="7">
        <v>2.235E-3</v>
      </c>
      <c r="M329" s="7">
        <f t="shared" ca="1" si="103"/>
        <v>6.4141172424582324E-5</v>
      </c>
      <c r="N329" s="7">
        <v>0.68864000000000003</v>
      </c>
      <c r="O329" s="8">
        <v>447.4273</v>
      </c>
      <c r="P329" s="8">
        <f t="shared" ca="1" si="104"/>
        <v>12.840496970466214</v>
      </c>
      <c r="Q329" s="9">
        <v>7.0000000000000007E-2</v>
      </c>
      <c r="R329" s="9">
        <f t="shared" ca="1" si="105"/>
        <v>4.617358552246079E-3</v>
      </c>
      <c r="S329" s="8">
        <f t="shared" si="106"/>
        <v>0.16162756675727058</v>
      </c>
      <c r="T329" s="11">
        <v>5.2300000000000003E-4</v>
      </c>
      <c r="U329" s="11">
        <f t="shared" ca="1" si="107"/>
        <v>1.911574220374401E-5</v>
      </c>
      <c r="V329" s="6" t="e">
        <f ca="1">IF(agePb6U8(1/O329)&lt;1400,age7corr(1/O329,Q329,$W$2),agePb76(Q329))</f>
        <v>#NAME?</v>
      </c>
      <c r="W329" s="6" t="e">
        <f ca="1">IF(agePb6U8(1/O329)&lt;1400,ageer7corr(V329,1/O329,P329/O329*(1/O329),Q329,R329,$W$2,0.05),ageerPb76(Q329,R329))</f>
        <v>#NAME?</v>
      </c>
      <c r="X329" s="4" t="e">
        <f ca="1">agePb6U8(L329)/agePb7u5(J329)</f>
        <v>#NAME?</v>
      </c>
      <c r="Z329" s="1">
        <v>2.1600000000000001E-2</v>
      </c>
      <c r="AA329" s="1">
        <v>1.6999999999999999E-3</v>
      </c>
      <c r="AB329" s="1">
        <v>2.235E-3</v>
      </c>
      <c r="AC329" s="1">
        <v>4.6E-5</v>
      </c>
      <c r="AD329" s="1">
        <v>0.68864000000000003</v>
      </c>
      <c r="AE329" s="1">
        <v>447.4273</v>
      </c>
      <c r="AF329" s="1">
        <v>9.2087939999999993</v>
      </c>
      <c r="AG329" s="1">
        <v>7.0000000000000007E-2</v>
      </c>
      <c r="AH329" s="1">
        <v>4.4000000000000003E-3</v>
      </c>
      <c r="AI329" s="1">
        <v>-0.50873999999999997</v>
      </c>
      <c r="AJ329" s="1">
        <v>5.2300000000000003E-4</v>
      </c>
      <c r="AK329" s="1">
        <v>1.5999999999999999E-5</v>
      </c>
      <c r="AL329" s="1">
        <v>2.13</v>
      </c>
      <c r="AM329" s="1">
        <v>4.2000000000000003E-2</v>
      </c>
      <c r="AN329" s="1">
        <v>21.6</v>
      </c>
      <c r="AO329" s="1">
        <v>1.6</v>
      </c>
      <c r="AP329" s="1">
        <v>14.39</v>
      </c>
      <c r="AQ329" s="1">
        <v>0.3</v>
      </c>
      <c r="AR329" s="1">
        <v>10.56</v>
      </c>
      <c r="AS329" s="1">
        <v>0.32</v>
      </c>
      <c r="AT329" s="1">
        <v>900</v>
      </c>
      <c r="AU329" s="1">
        <v>120</v>
      </c>
      <c r="AV329" s="1">
        <v>113.60000000000001</v>
      </c>
      <c r="AW329" s="1">
        <v>1.5</v>
      </c>
      <c r="AX329" s="1">
        <v>90.800000000000011</v>
      </c>
      <c r="AY329" s="1">
        <v>1.6</v>
      </c>
      <c r="AZ329" s="1">
        <v>3819.1500000000005</v>
      </c>
      <c r="BA329" s="1">
        <v>117.99</v>
      </c>
      <c r="BB329" s="1">
        <v>689.31000000000006</v>
      </c>
      <c r="BC329" s="1">
        <v>53.405999999999999</v>
      </c>
      <c r="BD329" s="1">
        <v>9830.43</v>
      </c>
      <c r="BE329" s="1">
        <v>161.45999999999998</v>
      </c>
      <c r="BF329" s="1">
        <v>20.306699999999999</v>
      </c>
      <c r="BG329" s="1">
        <v>5.5269000000000004</v>
      </c>
      <c r="BH329" s="1">
        <f t="shared" si="108"/>
        <v>484.09785932721718</v>
      </c>
      <c r="BI329" s="1">
        <f t="shared" si="109"/>
        <v>131.99721190510064</v>
      </c>
    </row>
    <row r="330" spans="1:61" x14ac:dyDescent="0.2">
      <c r="A330" t="s">
        <v>95</v>
      </c>
      <c r="B330" t="s">
        <v>38</v>
      </c>
      <c r="C330" t="s">
        <v>96</v>
      </c>
      <c r="D330" t="s">
        <v>97</v>
      </c>
      <c r="E330">
        <v>50341</v>
      </c>
      <c r="F330">
        <v>12658</v>
      </c>
      <c r="G330" t="s">
        <v>97</v>
      </c>
      <c r="H330" s="1">
        <v>250.8</v>
      </c>
      <c r="I330" s="1">
        <v>313.2</v>
      </c>
      <c r="J330" s="10">
        <v>1.264E-2</v>
      </c>
      <c r="K330" s="10">
        <f t="shared" ca="1" si="102"/>
        <v>7.254707712926828E-4</v>
      </c>
      <c r="L330" s="7">
        <v>1.951E-3</v>
      </c>
      <c r="M330" s="7">
        <f t="shared" ca="1" si="103"/>
        <v>6.2638330118227139E-5</v>
      </c>
      <c r="N330" s="7">
        <v>0.63366</v>
      </c>
      <c r="O330" s="8">
        <v>512.55769999999995</v>
      </c>
      <c r="P330" s="8">
        <f t="shared" ca="1" si="104"/>
        <v>16.456049788275923</v>
      </c>
      <c r="Q330" s="9">
        <v>4.58E-2</v>
      </c>
      <c r="R330" s="9">
        <f t="shared" ca="1" si="105"/>
        <v>2.291081840528618E-3</v>
      </c>
      <c r="S330" s="8">
        <f t="shared" si="106"/>
        <v>0.21988880342310452</v>
      </c>
      <c r="T330" s="11">
        <v>7.0100000000000002E-4</v>
      </c>
      <c r="U330" s="11">
        <f t="shared" ca="1" si="107"/>
        <v>2.6087552587393093E-5</v>
      </c>
      <c r="V330" s="6" t="e">
        <f ca="1">IF(agePb6U8(1/O330)&lt;1400,age7corr(1/O330,Q330,$W$2),agePb76(Q330))</f>
        <v>#NAME?</v>
      </c>
      <c r="W330" s="6" t="e">
        <f ca="1">IF(agePb6U8(1/O330)&lt;1400,ageer7corr(V330,1/O330,P330/O330*(1/O330),Q330,R330,$W$2,0.05),ageerPb76(Q330,R330))</f>
        <v>#NAME?</v>
      </c>
      <c r="X330" s="4" t="e">
        <f ca="1">agePb6U8(L330)/agePb7u5(J330)</f>
        <v>#NAME?</v>
      </c>
      <c r="Z330" s="1">
        <v>1.264E-2</v>
      </c>
      <c r="AA330" s="1">
        <v>6.8000000000000005E-4</v>
      </c>
      <c r="AB330" s="1">
        <v>1.951E-3</v>
      </c>
      <c r="AC330" s="1">
        <v>4.8999999999999998E-5</v>
      </c>
      <c r="AD330" s="1">
        <v>0.63366</v>
      </c>
      <c r="AE330" s="1">
        <v>512.55769999999995</v>
      </c>
      <c r="AF330" s="1">
        <v>12.873049999999999</v>
      </c>
      <c r="AG330" s="1">
        <v>4.58E-2</v>
      </c>
      <c r="AH330" s="1">
        <v>2.0999999999999999E-3</v>
      </c>
      <c r="AI330" s="1">
        <v>-0.20099</v>
      </c>
      <c r="AJ330" s="1">
        <v>7.0100000000000002E-4</v>
      </c>
      <c r="AK330" s="1">
        <v>2.1999999999999999E-5</v>
      </c>
      <c r="AL330" s="1">
        <v>2.468</v>
      </c>
      <c r="AM330" s="1">
        <v>3.5999999999999997E-2</v>
      </c>
      <c r="AN330" s="1">
        <v>12.75</v>
      </c>
      <c r="AO330" s="1">
        <v>0.68</v>
      </c>
      <c r="AP330" s="1">
        <v>12.56</v>
      </c>
      <c r="AQ330" s="1">
        <v>0.32</v>
      </c>
      <c r="AR330" s="1">
        <v>14.15</v>
      </c>
      <c r="AS330" s="1">
        <v>0.44</v>
      </c>
      <c r="AT330" s="1">
        <v>10</v>
      </c>
      <c r="AU330" s="1">
        <v>87</v>
      </c>
      <c r="AV330" s="1">
        <v>55.4</v>
      </c>
      <c r="AW330" s="1">
        <v>1.1000000000000001</v>
      </c>
      <c r="AX330" s="1">
        <v>24.88</v>
      </c>
      <c r="AY330" s="1">
        <v>0.32</v>
      </c>
      <c r="AZ330" s="1">
        <v>1430.163</v>
      </c>
      <c r="BA330" s="1">
        <v>40.364999999999995</v>
      </c>
      <c r="BB330" s="1">
        <v>194.994</v>
      </c>
      <c r="BC330" s="1">
        <v>11.177999999999999</v>
      </c>
      <c r="BD330" s="1">
        <v>4216.59</v>
      </c>
      <c r="BE330" s="1">
        <v>80.72999999999999</v>
      </c>
      <c r="BF330" s="1">
        <v>62.1</v>
      </c>
      <c r="BG330" s="1">
        <v>7.4519999999999991</v>
      </c>
      <c r="BH330" s="1">
        <f t="shared" si="108"/>
        <v>67.900000000000006</v>
      </c>
      <c r="BI330" s="1">
        <f t="shared" si="109"/>
        <v>8.2510547204584697</v>
      </c>
    </row>
    <row r="331" spans="1:61" x14ac:dyDescent="0.2">
      <c r="A331" t="s">
        <v>98</v>
      </c>
      <c r="B331" t="s">
        <v>38</v>
      </c>
      <c r="C331" t="s">
        <v>99</v>
      </c>
      <c r="D331" t="s">
        <v>100</v>
      </c>
      <c r="E331">
        <v>50429</v>
      </c>
      <c r="F331">
        <v>12280</v>
      </c>
      <c r="G331" t="s">
        <v>100</v>
      </c>
      <c r="H331" s="1">
        <v>537</v>
      </c>
      <c r="I331" s="1">
        <v>704</v>
      </c>
      <c r="J331" s="10">
        <v>1.346E-2</v>
      </c>
      <c r="K331" s="10">
        <f t="shared" ca="1" si="102"/>
        <v>7.5932117052009021E-4</v>
      </c>
      <c r="L331" s="7">
        <v>1.98E-3</v>
      </c>
      <c r="M331" s="7">
        <f t="shared" ca="1" si="103"/>
        <v>7.1057441552591793E-5</v>
      </c>
      <c r="N331" s="7">
        <v>0.63507000000000002</v>
      </c>
      <c r="O331" s="8">
        <v>505.0505</v>
      </c>
      <c r="P331" s="8">
        <f t="shared" ca="1" si="104"/>
        <v>18.125044863130682</v>
      </c>
      <c r="Q331" s="9">
        <v>4.9099999999999998E-2</v>
      </c>
      <c r="R331" s="9">
        <f t="shared" ca="1" si="105"/>
        <v>2.3182588293803605E-3</v>
      </c>
      <c r="S331" s="8">
        <f t="shared" si="106"/>
        <v>0.35802417903157396</v>
      </c>
      <c r="T331" s="11">
        <v>7.1100000000000004E-4</v>
      </c>
      <c r="U331" s="11">
        <f t="shared" ca="1" si="107"/>
        <v>2.5361553580173275E-5</v>
      </c>
      <c r="V331" s="6" t="e">
        <f ca="1">IF(agePb6U8(1/O331)&lt;1400,age7corr(1/O331,Q331,$W$2),agePb76(Q331))</f>
        <v>#NAME?</v>
      </c>
      <c r="W331" s="6" t="e">
        <f ca="1">IF(agePb6U8(1/O331)&lt;1400,ageer7corr(V331,1/O331,P331/O331*(1/O331),Q331,R331,$W$2,0.05),ageerPb76(Q331,R331))</f>
        <v>#NAME?</v>
      </c>
      <c r="X331" s="4" t="e">
        <f ca="1">agePb6U8(L331)/agePb7u5(J331)</f>
        <v>#NAME?</v>
      </c>
      <c r="Z331" s="1">
        <v>1.346E-2</v>
      </c>
      <c r="AA331" s="1">
        <v>7.1000000000000002E-4</v>
      </c>
      <c r="AB331" s="1">
        <v>1.98E-3</v>
      </c>
      <c r="AC331" s="1">
        <v>5.8999999999999998E-5</v>
      </c>
      <c r="AD331" s="1">
        <v>0.63507000000000002</v>
      </c>
      <c r="AE331" s="1">
        <v>505.0505</v>
      </c>
      <c r="AF331" s="1">
        <v>15.049480000000001</v>
      </c>
      <c r="AG331" s="1">
        <v>4.9099999999999998E-2</v>
      </c>
      <c r="AH331" s="1">
        <v>2.0999999999999999E-3</v>
      </c>
      <c r="AI331" s="1">
        <v>-0.1037</v>
      </c>
      <c r="AJ331" s="1">
        <v>7.1100000000000004E-4</v>
      </c>
      <c r="AK331" s="1">
        <v>2.0999999999999999E-5</v>
      </c>
      <c r="AL331" s="1">
        <v>2.36</v>
      </c>
      <c r="AM331" s="1">
        <v>0.03</v>
      </c>
      <c r="AN331" s="1">
        <v>13.57</v>
      </c>
      <c r="AO331" s="1">
        <v>0.72</v>
      </c>
      <c r="AP331" s="1">
        <v>12.75</v>
      </c>
      <c r="AQ331" s="1">
        <v>0.38</v>
      </c>
      <c r="AR331" s="1">
        <v>14.36</v>
      </c>
      <c r="AS331" s="1">
        <v>0.41</v>
      </c>
      <c r="AT331" s="1">
        <v>150</v>
      </c>
      <c r="AU331" s="1">
        <v>90</v>
      </c>
      <c r="AV331" s="1">
        <v>118.5</v>
      </c>
      <c r="AW331" s="1">
        <v>5.3</v>
      </c>
      <c r="AX331" s="1">
        <v>55.9</v>
      </c>
      <c r="AY331" s="1">
        <v>1.2</v>
      </c>
      <c r="AZ331" s="1">
        <v>3247.83</v>
      </c>
      <c r="BA331" s="1">
        <v>124.2</v>
      </c>
      <c r="BB331" s="1">
        <v>455.19299999999998</v>
      </c>
      <c r="BC331" s="1">
        <v>34.155000000000001</v>
      </c>
      <c r="BD331" s="1">
        <v>9246.6899999999987</v>
      </c>
      <c r="BE331" s="1">
        <v>409.86</v>
      </c>
      <c r="BF331" s="1">
        <v>8.6940000000000008</v>
      </c>
      <c r="BG331" s="1">
        <v>6.8310000000000004</v>
      </c>
      <c r="BH331" s="1">
        <f t="shared" si="108"/>
        <v>1063.5714285714282</v>
      </c>
      <c r="BI331" s="1">
        <f t="shared" si="109"/>
        <v>836.99196051197657</v>
      </c>
    </row>
    <row r="332" spans="1:61" x14ac:dyDescent="0.2">
      <c r="A332" t="s">
        <v>101</v>
      </c>
      <c r="B332" t="s">
        <v>38</v>
      </c>
      <c r="C332" t="s">
        <v>102</v>
      </c>
      <c r="D332" t="s">
        <v>103</v>
      </c>
      <c r="E332">
        <v>50380</v>
      </c>
      <c r="F332">
        <v>11940</v>
      </c>
      <c r="G332" t="s">
        <v>103</v>
      </c>
      <c r="H332" s="1">
        <v>164</v>
      </c>
      <c r="I332" s="1">
        <v>174.5</v>
      </c>
      <c r="J332" s="10">
        <v>1.5299999999999999E-2</v>
      </c>
      <c r="K332" s="10">
        <f t="shared" ca="1" si="102"/>
        <v>1.8258247451494352E-3</v>
      </c>
      <c r="L332" s="7">
        <v>1.9449999999999999E-3</v>
      </c>
      <c r="M332" s="7">
        <f t="shared" ca="1" si="103"/>
        <v>7.9209910996036345E-5</v>
      </c>
      <c r="N332" s="7">
        <v>0.55786000000000002</v>
      </c>
      <c r="O332" s="8">
        <v>514.13879999999995</v>
      </c>
      <c r="P332" s="8">
        <f t="shared" ca="1" si="104"/>
        <v>20.93824491840412</v>
      </c>
      <c r="Q332" s="9">
        <v>5.8500000000000003E-2</v>
      </c>
      <c r="R332" s="9">
        <f t="shared" ca="1" si="105"/>
        <v>6.4077219040779227E-3</v>
      </c>
      <c r="S332" s="8">
        <f t="shared" si="106"/>
        <v>0.28353796052670116</v>
      </c>
      <c r="T332" s="11">
        <v>7.0899999999999999E-4</v>
      </c>
      <c r="U332" s="11">
        <f t="shared" ca="1" si="107"/>
        <v>3.5001034270432642E-5</v>
      </c>
      <c r="V332" s="6" t="e">
        <f ca="1">IF(agePb6U8(1/O332)&lt;1400,age7corr(1/O332,Q332,$W$2),agePb76(Q332))</f>
        <v>#NAME?</v>
      </c>
      <c r="W332" s="6" t="e">
        <f ca="1">IF(agePb6U8(1/O332)&lt;1400,ageer7corr(V332,1/O332,P332/O332*(1/O332),Q332,R332,$W$2,0.05),ageerPb76(Q332,R332))</f>
        <v>#NAME?</v>
      </c>
      <c r="X332" s="4" t="e">
        <f ca="1">agePb6U8(L332)/agePb7u5(J332)</f>
        <v>#NAME?</v>
      </c>
      <c r="Z332" s="1">
        <v>1.5299999999999999E-2</v>
      </c>
      <c r="AA332" s="1">
        <v>1.8E-3</v>
      </c>
      <c r="AB332" s="1">
        <v>1.9449999999999999E-3</v>
      </c>
      <c r="AC332" s="1">
        <v>6.8999999999999997E-5</v>
      </c>
      <c r="AD332" s="1">
        <v>0.55786000000000002</v>
      </c>
      <c r="AE332" s="1">
        <v>514.13879999999995</v>
      </c>
      <c r="AF332" s="1">
        <v>18.239370000000001</v>
      </c>
      <c r="AG332" s="1">
        <v>5.8500000000000003E-2</v>
      </c>
      <c r="AH332" s="1">
        <v>6.3E-3</v>
      </c>
      <c r="AI332" s="1">
        <v>-0.29644999999999999</v>
      </c>
      <c r="AJ332" s="1">
        <v>7.0899999999999999E-4</v>
      </c>
      <c r="AK332" s="1">
        <v>3.1999999999999999E-5</v>
      </c>
      <c r="AL332" s="1">
        <v>2.8679999999999999</v>
      </c>
      <c r="AM332" s="1">
        <v>8.1000000000000003E-2</v>
      </c>
      <c r="AN332" s="1">
        <v>15.4</v>
      </c>
      <c r="AO332" s="1">
        <v>1.8</v>
      </c>
      <c r="AP332" s="1">
        <v>12.53</v>
      </c>
      <c r="AQ332" s="1">
        <v>0.45</v>
      </c>
      <c r="AR332" s="1">
        <v>14.32</v>
      </c>
      <c r="AS332" s="1">
        <v>0.66</v>
      </c>
      <c r="AT332" s="1">
        <v>480</v>
      </c>
      <c r="AU332" s="1">
        <v>220</v>
      </c>
      <c r="AV332" s="1">
        <v>36.200000000000003</v>
      </c>
      <c r="AW332" s="1">
        <v>1.9</v>
      </c>
      <c r="AX332" s="1">
        <v>13.860000000000001</v>
      </c>
      <c r="AY332" s="1">
        <v>0.6</v>
      </c>
      <c r="AZ332" s="1">
        <v>786.18600000000004</v>
      </c>
      <c r="BA332" s="1">
        <v>29.186999999999998</v>
      </c>
      <c r="BB332" s="1">
        <v>154.62899999999999</v>
      </c>
      <c r="BC332" s="1">
        <v>12.419999999999998</v>
      </c>
      <c r="BD332" s="1">
        <v>2701.35</v>
      </c>
      <c r="BE332" s="1">
        <v>111.78</v>
      </c>
      <c r="BF332" s="1">
        <v>10.556999999999999</v>
      </c>
      <c r="BG332" s="1">
        <v>8.6940000000000008</v>
      </c>
      <c r="BH332" s="1">
        <f t="shared" si="108"/>
        <v>255.88235294117649</v>
      </c>
      <c r="BI332" s="1">
        <f t="shared" si="109"/>
        <v>210.99248576426064</v>
      </c>
    </row>
    <row r="333" spans="1:61" x14ac:dyDescent="0.2">
      <c r="A333" t="s">
        <v>104</v>
      </c>
      <c r="B333" t="s">
        <v>38</v>
      </c>
      <c r="C333" t="s">
        <v>105</v>
      </c>
      <c r="D333" t="s">
        <v>106</v>
      </c>
      <c r="E333">
        <v>50396</v>
      </c>
      <c r="F333">
        <v>11836</v>
      </c>
      <c r="G333" t="s">
        <v>106</v>
      </c>
      <c r="H333" s="1">
        <v>172</v>
      </c>
      <c r="I333" s="1">
        <v>156</v>
      </c>
      <c r="J333" s="10">
        <v>1.438E-2</v>
      </c>
      <c r="K333" s="10">
        <f t="shared" ca="1" si="102"/>
        <v>1.0117379897977539E-3</v>
      </c>
      <c r="L333" s="7">
        <v>1.98E-3</v>
      </c>
      <c r="M333" s="7">
        <f t="shared" ca="1" si="103"/>
        <v>5.994297289924816E-5</v>
      </c>
      <c r="N333" s="7">
        <v>0.67498999999999998</v>
      </c>
      <c r="O333" s="8">
        <v>505.0505</v>
      </c>
      <c r="P333" s="8">
        <f t="shared" ca="1" si="104"/>
        <v>15.290014019499786</v>
      </c>
      <c r="Q333" s="9">
        <v>5.1400000000000001E-2</v>
      </c>
      <c r="R333" s="9">
        <f t="shared" ca="1" si="105"/>
        <v>2.9827477265099039E-3</v>
      </c>
      <c r="S333" s="8">
        <f t="shared" si="106"/>
        <v>0.17720179721305709</v>
      </c>
      <c r="T333" s="11">
        <v>7.5900000000000002E-4</v>
      </c>
      <c r="U333" s="11">
        <f t="shared" ca="1" si="107"/>
        <v>2.5912012658224751E-5</v>
      </c>
      <c r="V333" s="6" t="e">
        <f ca="1">IF(agePb6U8(1/O333)&lt;1400,age7corr(1/O333,Q333,$W$2),agePb76(Q333))</f>
        <v>#NAME?</v>
      </c>
      <c r="W333" s="6" t="e">
        <f ca="1">IF(agePb6U8(1/O333)&lt;1400,ageer7corr(V333,1/O333,P333/O333*(1/O333),Q333,R333,$W$2,0.05),ageerPb76(Q333,R333))</f>
        <v>#NAME?</v>
      </c>
      <c r="X333" s="4" t="e">
        <f ca="1">agePb6U8(L333)/agePb7u5(J333)</f>
        <v>#NAME?</v>
      </c>
      <c r="Z333" s="1">
        <v>1.438E-2</v>
      </c>
      <c r="AA333" s="1">
        <v>9.7000000000000005E-4</v>
      </c>
      <c r="AB333" s="1">
        <v>1.98E-3</v>
      </c>
      <c r="AC333" s="1">
        <v>4.5000000000000003E-5</v>
      </c>
      <c r="AD333" s="1">
        <v>0.67498999999999998</v>
      </c>
      <c r="AE333" s="1">
        <v>505.0505</v>
      </c>
      <c r="AF333" s="1">
        <v>11.47842</v>
      </c>
      <c r="AG333" s="1">
        <v>5.1400000000000001E-2</v>
      </c>
      <c r="AH333" s="1">
        <v>2.8E-3</v>
      </c>
      <c r="AI333" s="1">
        <v>-0.3387</v>
      </c>
      <c r="AJ333" s="1">
        <v>7.5900000000000002E-4</v>
      </c>
      <c r="AK333" s="1">
        <v>2.0999999999999999E-5</v>
      </c>
      <c r="AL333" s="1">
        <v>3.2450000000000001</v>
      </c>
      <c r="AM333" s="1">
        <v>8.5000000000000006E-2</v>
      </c>
      <c r="AN333" s="1">
        <v>14.5</v>
      </c>
      <c r="AO333" s="1">
        <v>0.97</v>
      </c>
      <c r="AP333" s="1">
        <v>12.75</v>
      </c>
      <c r="AQ333" s="1">
        <v>0.28999999999999998</v>
      </c>
      <c r="AR333" s="1">
        <v>15.33</v>
      </c>
      <c r="AS333" s="1">
        <v>0.42</v>
      </c>
      <c r="AT333" s="1">
        <v>250</v>
      </c>
      <c r="AU333" s="1">
        <v>120</v>
      </c>
      <c r="AV333" s="1">
        <v>37.96</v>
      </c>
      <c r="AW333" s="1">
        <v>0.53</v>
      </c>
      <c r="AX333" s="1">
        <v>12.4</v>
      </c>
      <c r="AY333" s="1">
        <v>0.42000000000000004</v>
      </c>
      <c r="AZ333" s="1">
        <v>768.17700000000002</v>
      </c>
      <c r="BA333" s="1">
        <v>20.492999999999999</v>
      </c>
      <c r="BB333" s="1">
        <v>150.90299999999999</v>
      </c>
      <c r="BC333" s="1">
        <v>9.3149999999999995</v>
      </c>
      <c r="BD333" s="1">
        <v>2969.0009999999997</v>
      </c>
      <c r="BE333" s="1">
        <v>45.332999999999998</v>
      </c>
      <c r="BF333" s="1">
        <v>5.7752999999999997</v>
      </c>
      <c r="BG333" s="1">
        <v>5.6510999999999996</v>
      </c>
      <c r="BH333" s="1">
        <f t="shared" si="108"/>
        <v>514.08602150537638</v>
      </c>
      <c r="BI333" s="1">
        <f t="shared" si="109"/>
        <v>503.0916472896277</v>
      </c>
    </row>
    <row r="334" spans="1:61" x14ac:dyDescent="0.2">
      <c r="A334" t="s">
        <v>107</v>
      </c>
      <c r="B334" t="s">
        <v>38</v>
      </c>
      <c r="C334" t="s">
        <v>108</v>
      </c>
      <c r="D334" t="s">
        <v>109</v>
      </c>
      <c r="E334">
        <v>50381</v>
      </c>
      <c r="F334">
        <v>11694</v>
      </c>
      <c r="G334" t="s">
        <v>109</v>
      </c>
      <c r="H334" s="1">
        <v>219.1</v>
      </c>
      <c r="I334" s="1">
        <v>228.4</v>
      </c>
      <c r="J334" s="10">
        <v>1.312E-2</v>
      </c>
      <c r="K334" s="10">
        <f t="shared" ca="1" si="102"/>
        <v>7.2887156618981928E-4</v>
      </c>
      <c r="L334" s="7">
        <v>2.0430000000000001E-3</v>
      </c>
      <c r="M334" s="7">
        <f t="shared" ca="1" si="103"/>
        <v>6.9321999394131737E-5</v>
      </c>
      <c r="N334" s="7">
        <v>0.316</v>
      </c>
      <c r="O334" s="8">
        <v>489.47629999999998</v>
      </c>
      <c r="P334" s="8">
        <f t="shared" ca="1" si="104"/>
        <v>16.608648948712712</v>
      </c>
      <c r="Q334" s="9">
        <v>4.7399999999999998E-2</v>
      </c>
      <c r="R334" s="9">
        <f t="shared" ca="1" si="105"/>
        <v>2.3955592248992722E-3</v>
      </c>
      <c r="S334" s="8">
        <f t="shared" si="106"/>
        <v>0.32753971206505628</v>
      </c>
      <c r="T334" s="11">
        <v>6.8599999999999998E-4</v>
      </c>
      <c r="U334" s="11">
        <f t="shared" ca="1" si="107"/>
        <v>2.4253626532953786E-5</v>
      </c>
      <c r="V334" s="6" t="e">
        <f ca="1">IF(agePb6U8(1/O334)&lt;1400,age7corr(1/O334,Q334,$W$2),agePb76(Q334))</f>
        <v>#NAME?</v>
      </c>
      <c r="W334" s="6" t="e">
        <f ca="1">IF(agePb6U8(1/O334)&lt;1400,ageer7corr(V334,1/O334,P334/O334*(1/O334),Q334,R334,$W$2,0.05),ageerPb76(Q334,R334))</f>
        <v>#NAME?</v>
      </c>
      <c r="X334" s="4" t="e">
        <f ca="1">agePb6U8(L334)/agePb7u5(J334)</f>
        <v>#NAME?</v>
      </c>
      <c r="Z334" s="1">
        <v>1.312E-2</v>
      </c>
      <c r="AA334" s="1">
        <v>6.8000000000000005E-4</v>
      </c>
      <c r="AB334" s="1">
        <v>2.0430000000000001E-3</v>
      </c>
      <c r="AC334" s="1">
        <v>5.5999999999999999E-5</v>
      </c>
      <c r="AD334" s="1">
        <v>0.316</v>
      </c>
      <c r="AE334" s="1">
        <v>489.47629999999998</v>
      </c>
      <c r="AF334" s="1">
        <v>13.416869999999999</v>
      </c>
      <c r="AG334" s="1">
        <v>4.7399999999999998E-2</v>
      </c>
      <c r="AH334" s="1">
        <v>2.2000000000000001E-3</v>
      </c>
      <c r="AI334" s="1">
        <v>0.32318000000000002</v>
      </c>
      <c r="AJ334" s="1">
        <v>6.8599999999999998E-4</v>
      </c>
      <c r="AK334" s="1">
        <v>2.0000000000000002E-5</v>
      </c>
      <c r="AL334" s="1">
        <v>3.0459999999999998</v>
      </c>
      <c r="AM334" s="1">
        <v>7.4999999999999997E-2</v>
      </c>
      <c r="AN334" s="1">
        <v>13.23</v>
      </c>
      <c r="AO334" s="1">
        <v>0.69</v>
      </c>
      <c r="AP334" s="1">
        <v>13.16</v>
      </c>
      <c r="AQ334" s="1">
        <v>0.36</v>
      </c>
      <c r="AR334" s="1">
        <v>13.85</v>
      </c>
      <c r="AS334" s="1">
        <v>0.41</v>
      </c>
      <c r="AT334" s="1">
        <v>80</v>
      </c>
      <c r="AU334" s="1">
        <v>97</v>
      </c>
      <c r="AV334" s="1">
        <v>48.300000000000004</v>
      </c>
      <c r="AW334" s="1">
        <v>1.4</v>
      </c>
      <c r="AX334" s="1">
        <v>18.14</v>
      </c>
      <c r="AY334" s="1">
        <v>0.39</v>
      </c>
      <c r="AZ334" s="1">
        <v>1043.28</v>
      </c>
      <c r="BA334" s="1">
        <v>41.606999999999999</v>
      </c>
      <c r="BB334" s="1">
        <v>180.71100000000001</v>
      </c>
      <c r="BC334" s="1">
        <v>9.3149999999999995</v>
      </c>
      <c r="BD334" s="1">
        <v>3806.73</v>
      </c>
      <c r="BE334" s="1">
        <v>105.57000000000001</v>
      </c>
      <c r="BF334" s="1">
        <v>-2.9807999999999999</v>
      </c>
      <c r="BG334" s="1">
        <v>3.1049999999999995</v>
      </c>
      <c r="BH334" s="1">
        <f t="shared" si="108"/>
        <v>-1277.0833333333335</v>
      </c>
      <c r="BI334" s="1">
        <f t="shared" si="109"/>
        <v>-1330.766507254066</v>
      </c>
    </row>
    <row r="335" spans="1:61" x14ac:dyDescent="0.2">
      <c r="A335" t="s">
        <v>110</v>
      </c>
      <c r="B335" t="s">
        <v>38</v>
      </c>
      <c r="C335" t="s">
        <v>111</v>
      </c>
      <c r="D335" t="s">
        <v>112</v>
      </c>
      <c r="E335">
        <v>50498</v>
      </c>
      <c r="F335">
        <v>11176</v>
      </c>
      <c r="G335" t="s">
        <v>112</v>
      </c>
      <c r="H335" s="1">
        <v>303.10000000000002</v>
      </c>
      <c r="I335" s="1">
        <v>442</v>
      </c>
      <c r="J335" s="10">
        <v>1.255E-2</v>
      </c>
      <c r="K335" s="10">
        <f t="shared" ca="1" si="102"/>
        <v>6.1367825446238518E-4</v>
      </c>
      <c r="L335" s="7">
        <v>1.9269999999999999E-3</v>
      </c>
      <c r="M335" s="7">
        <f t="shared" ca="1" si="103"/>
        <v>6.0011095640722981E-5</v>
      </c>
      <c r="N335" s="7">
        <v>0.39406999999999998</v>
      </c>
      <c r="O335" s="8">
        <v>518.94140000000004</v>
      </c>
      <c r="P335" s="8">
        <f t="shared" ca="1" si="104"/>
        <v>16.160999574583375</v>
      </c>
      <c r="Q335" s="9">
        <v>4.6699999999999998E-2</v>
      </c>
      <c r="R335" s="9">
        <f t="shared" ca="1" si="105"/>
        <v>2.2073413872801826E-3</v>
      </c>
      <c r="S335" s="8">
        <f t="shared" si="106"/>
        <v>0.35556901232388238</v>
      </c>
      <c r="T335" s="11">
        <v>6.4199999999999999E-4</v>
      </c>
      <c r="U335" s="11">
        <f t="shared" ca="1" si="107"/>
        <v>2.3766901354614996E-5</v>
      </c>
      <c r="V335" s="6" t="e">
        <f ca="1">IF(agePb6U8(1/O335)&lt;1400,age7corr(1/O335,Q335,$W$2),agePb76(Q335))</f>
        <v>#NAME?</v>
      </c>
      <c r="W335" s="6" t="e">
        <f ca="1">IF(agePb6U8(1/O335)&lt;1400,ageer7corr(V335,1/O335,P335/O335*(1/O335),Q335,R335,$W$2,0.05),ageerPb76(Q335,R335))</f>
        <v>#NAME?</v>
      </c>
      <c r="X335" s="4" t="e">
        <f ca="1">agePb6U8(L335)/agePb7u5(J335)</f>
        <v>#NAME?</v>
      </c>
      <c r="Z335" s="1">
        <v>1.255E-2</v>
      </c>
      <c r="AA335" s="1">
        <v>5.5999999999999995E-4</v>
      </c>
      <c r="AB335" s="1">
        <v>1.9269999999999999E-3</v>
      </c>
      <c r="AC335" s="1">
        <v>4.6E-5</v>
      </c>
      <c r="AD335" s="1">
        <v>0.39406999999999998</v>
      </c>
      <c r="AE335" s="1">
        <v>518.94140000000004</v>
      </c>
      <c r="AF335" s="1">
        <v>12.38781</v>
      </c>
      <c r="AG335" s="1">
        <v>4.6699999999999998E-2</v>
      </c>
      <c r="AH335" s="1">
        <v>2E-3</v>
      </c>
      <c r="AI335" s="1">
        <v>0.14779999999999999</v>
      </c>
      <c r="AJ335" s="1">
        <v>6.4199999999999999E-4</v>
      </c>
      <c r="AK335" s="1">
        <v>2.0000000000000002E-5</v>
      </c>
      <c r="AL335" s="1">
        <v>2.2949999999999999</v>
      </c>
      <c r="AM335" s="1">
        <v>4.5999999999999999E-2</v>
      </c>
      <c r="AN335" s="1">
        <v>12.66</v>
      </c>
      <c r="AO335" s="1">
        <v>0.56000000000000005</v>
      </c>
      <c r="AP335" s="1">
        <v>12.41</v>
      </c>
      <c r="AQ335" s="1">
        <v>0.28999999999999998</v>
      </c>
      <c r="AR335" s="1">
        <v>12.97</v>
      </c>
      <c r="AS335" s="1">
        <v>0.4</v>
      </c>
      <c r="AT335" s="1">
        <v>42</v>
      </c>
      <c r="AU335" s="1">
        <v>86</v>
      </c>
      <c r="AV335" s="1">
        <v>66.900000000000006</v>
      </c>
      <c r="AW335" s="1">
        <v>1.1000000000000001</v>
      </c>
      <c r="AX335" s="1">
        <v>35.1</v>
      </c>
      <c r="AY335" s="1">
        <v>1.3</v>
      </c>
      <c r="AZ335" s="1">
        <v>1844.3700000000001</v>
      </c>
      <c r="BA335" s="1">
        <v>62.1</v>
      </c>
      <c r="BB335" s="1">
        <v>237.22200000000001</v>
      </c>
      <c r="BC335" s="1">
        <v>10.556999999999999</v>
      </c>
      <c r="BD335" s="1">
        <v>5073.57</v>
      </c>
      <c r="BE335" s="1">
        <v>111.78</v>
      </c>
      <c r="BF335" s="1">
        <v>7.4519999999999991</v>
      </c>
      <c r="BG335" s="1">
        <v>5.7752999999999997</v>
      </c>
      <c r="BH335" s="1">
        <f t="shared" si="108"/>
        <v>680.83333333333337</v>
      </c>
      <c r="BI335" s="1">
        <f t="shared" si="109"/>
        <v>527.85900147106315</v>
      </c>
    </row>
    <row r="336" spans="1:61" x14ac:dyDescent="0.2">
      <c r="A336" t="s">
        <v>113</v>
      </c>
      <c r="B336" t="s">
        <v>38</v>
      </c>
      <c r="C336" t="s">
        <v>114</v>
      </c>
      <c r="D336" t="s">
        <v>115</v>
      </c>
      <c r="E336">
        <v>50510</v>
      </c>
      <c r="F336">
        <v>10849</v>
      </c>
      <c r="G336" t="s">
        <v>115</v>
      </c>
      <c r="H336" s="1">
        <v>371</v>
      </c>
      <c r="I336" s="1">
        <v>738</v>
      </c>
      <c r="J336" s="10">
        <v>1.306E-2</v>
      </c>
      <c r="K336" s="10">
        <f t="shared" ca="1" si="102"/>
        <v>5.031157322127782E-4</v>
      </c>
      <c r="L336" s="7">
        <v>1.9419999999999999E-3</v>
      </c>
      <c r="M336" s="7">
        <f t="shared" ca="1" si="103"/>
        <v>5.6476062185672972E-5</v>
      </c>
      <c r="N336" s="7">
        <v>-5.2422999999999997E-2</v>
      </c>
      <c r="O336" s="8">
        <v>514.93309999999997</v>
      </c>
      <c r="P336" s="8">
        <f t="shared" ca="1" si="104"/>
        <v>14.9749716844555</v>
      </c>
      <c r="Q336" s="9">
        <v>4.8800000000000003E-2</v>
      </c>
      <c r="R336" s="9">
        <f t="shared" ca="1" si="105"/>
        <v>2.047578081539261E-3</v>
      </c>
      <c r="S336" s="8">
        <f t="shared" si="106"/>
        <v>0.29096924801777863</v>
      </c>
      <c r="T336" s="11">
        <v>6.0099999999999997E-4</v>
      </c>
      <c r="U336" s="11">
        <f t="shared" ca="1" si="107"/>
        <v>1.5635869019661172E-5</v>
      </c>
      <c r="V336" s="6" t="e">
        <f ca="1">IF(agePb6U8(1/O336)&lt;1400,age7corr(1/O336,Q336,$W$2),agePb76(Q336))</f>
        <v>#NAME?</v>
      </c>
      <c r="W336" s="6" t="e">
        <f ca="1">IF(agePb6U8(1/O336)&lt;1400,ageer7corr(V336,1/O336,P336/O336*(1/O336),Q336,R336,$W$2,0.05),ageerPb76(Q336,R336))</f>
        <v>#NAME?</v>
      </c>
      <c r="X336" s="4" t="e">
        <f ca="1">agePb6U8(L336)/agePb7u5(J336)</f>
        <v>#NAME?</v>
      </c>
      <c r="Z336" s="1">
        <v>1.306E-2</v>
      </c>
      <c r="AA336" s="1">
        <v>4.2999999999999999E-4</v>
      </c>
      <c r="AB336" s="1">
        <v>1.9419999999999999E-3</v>
      </c>
      <c r="AC336" s="1">
        <v>4.1E-5</v>
      </c>
      <c r="AD336" s="1">
        <v>-5.2422999999999997E-2</v>
      </c>
      <c r="AE336" s="1">
        <v>514.93309999999997</v>
      </c>
      <c r="AF336" s="1">
        <v>10.8714</v>
      </c>
      <c r="AG336" s="1">
        <v>4.8800000000000003E-2</v>
      </c>
      <c r="AH336" s="1">
        <v>1.8E-3</v>
      </c>
      <c r="AI336" s="1">
        <v>0.52124000000000004</v>
      </c>
      <c r="AJ336" s="1">
        <v>6.0099999999999997E-4</v>
      </c>
      <c r="AK336" s="1">
        <v>1.0000000000000001E-5</v>
      </c>
      <c r="AL336" s="1">
        <v>1.79</v>
      </c>
      <c r="AM336" s="1">
        <v>0.03</v>
      </c>
      <c r="AN336" s="1">
        <v>13.18</v>
      </c>
      <c r="AO336" s="1">
        <v>0.44</v>
      </c>
      <c r="AP336" s="1">
        <v>12.51</v>
      </c>
      <c r="AQ336" s="1">
        <v>0.26</v>
      </c>
      <c r="AR336" s="1">
        <v>12.15</v>
      </c>
      <c r="AS336" s="1">
        <v>0.21</v>
      </c>
      <c r="AT336" s="1">
        <v>142</v>
      </c>
      <c r="AU336" s="1">
        <v>79</v>
      </c>
      <c r="AV336" s="1">
        <v>81.8</v>
      </c>
      <c r="AW336" s="1">
        <v>3.5</v>
      </c>
      <c r="AX336" s="1">
        <v>58.6</v>
      </c>
      <c r="AY336" s="1">
        <v>2.2000000000000002</v>
      </c>
      <c r="AZ336" s="1">
        <v>2869.02</v>
      </c>
      <c r="BA336" s="1">
        <v>130.41</v>
      </c>
      <c r="BB336" s="1">
        <v>297.459</v>
      </c>
      <c r="BC336" s="1">
        <v>16.145999999999997</v>
      </c>
      <c r="BD336" s="1">
        <v>6210</v>
      </c>
      <c r="BE336" s="1">
        <v>192.51</v>
      </c>
      <c r="BF336" s="1">
        <v>55.89</v>
      </c>
      <c r="BG336" s="1">
        <v>6.8310000000000004</v>
      </c>
      <c r="BH336" s="1">
        <f t="shared" si="108"/>
        <v>111.11111111111111</v>
      </c>
      <c r="BI336" s="1">
        <f t="shared" si="109"/>
        <v>14.010257091312422</v>
      </c>
    </row>
    <row r="337" spans="1:61" x14ac:dyDescent="0.2">
      <c r="A337" t="s">
        <v>116</v>
      </c>
      <c r="B337" t="s">
        <v>38</v>
      </c>
      <c r="C337" t="s">
        <v>117</v>
      </c>
      <c r="D337" t="s">
        <v>118</v>
      </c>
      <c r="E337">
        <v>50516</v>
      </c>
      <c r="F337">
        <v>10688</v>
      </c>
      <c r="G337" t="s">
        <v>118</v>
      </c>
      <c r="H337" s="1">
        <v>257.7</v>
      </c>
      <c r="I337" s="1">
        <v>377.3</v>
      </c>
      <c r="J337" s="10">
        <v>1.2670000000000001E-2</v>
      </c>
      <c r="K337" s="10">
        <f t="shared" ca="1" si="102"/>
        <v>7.3505888199517733E-4</v>
      </c>
      <c r="L337" s="7">
        <v>1.923E-3</v>
      </c>
      <c r="M337" s="7">
        <f t="shared" ca="1" si="103"/>
        <v>6.4677442744746794E-5</v>
      </c>
      <c r="N337" s="7">
        <v>0.41286</v>
      </c>
      <c r="O337" s="8">
        <v>520.02080000000001</v>
      </c>
      <c r="P337" s="8">
        <f t="shared" ca="1" si="104"/>
        <v>17.490175729804893</v>
      </c>
      <c r="Q337" s="9">
        <v>4.7600000000000003E-2</v>
      </c>
      <c r="R337" s="9">
        <f t="shared" ca="1" si="105"/>
        <v>2.5819186664184446E-3</v>
      </c>
      <c r="S337" s="8">
        <f t="shared" si="106"/>
        <v>0.25497270569508501</v>
      </c>
      <c r="T337" s="11">
        <v>6.1300000000000005E-4</v>
      </c>
      <c r="U337" s="11">
        <f t="shared" ca="1" si="107"/>
        <v>2.261211179876838E-5</v>
      </c>
      <c r="V337" s="6" t="e">
        <f ca="1">IF(agePb6U8(1/O337)&lt;1400,age7corr(1/O337,Q337,$W$2),agePb76(Q337))</f>
        <v>#NAME?</v>
      </c>
      <c r="W337" s="6" t="e">
        <f ca="1">IF(agePb6U8(1/O337)&lt;1400,ageer7corr(V337,1/O337,P337/O337*(1/O337),Q337,R337,$W$2,0.05),ageerPb76(Q337,R337))</f>
        <v>#NAME?</v>
      </c>
      <c r="X337" s="4" t="e">
        <f ca="1">agePb6U8(L337)/agePb7u5(J337)</f>
        <v>#NAME?</v>
      </c>
      <c r="Z337" s="1">
        <v>1.2670000000000001E-2</v>
      </c>
      <c r="AA337" s="1">
        <v>6.8999999999999997E-4</v>
      </c>
      <c r="AB337" s="1">
        <v>1.923E-3</v>
      </c>
      <c r="AC337" s="1">
        <v>5.1999999999999997E-5</v>
      </c>
      <c r="AD337" s="1">
        <v>0.41286</v>
      </c>
      <c r="AE337" s="1">
        <v>520.02080000000001</v>
      </c>
      <c r="AF337" s="1">
        <v>14.061920000000001</v>
      </c>
      <c r="AG337" s="1">
        <v>4.7600000000000003E-2</v>
      </c>
      <c r="AH337" s="1">
        <v>2.3999999999999998E-3</v>
      </c>
      <c r="AI337" s="1">
        <v>6.7157999999999995E-2</v>
      </c>
      <c r="AJ337" s="1">
        <v>6.1300000000000005E-4</v>
      </c>
      <c r="AK337" s="1">
        <v>1.9000000000000001E-5</v>
      </c>
      <c r="AL337" s="1">
        <v>2.3519999999999999</v>
      </c>
      <c r="AM337" s="1">
        <v>4.2000000000000003E-2</v>
      </c>
      <c r="AN337" s="1">
        <v>12.78</v>
      </c>
      <c r="AO337" s="1">
        <v>0.69</v>
      </c>
      <c r="AP337" s="1">
        <v>12.38</v>
      </c>
      <c r="AQ337" s="1">
        <v>0.34</v>
      </c>
      <c r="AR337" s="1">
        <v>12.38</v>
      </c>
      <c r="AS337" s="1">
        <v>0.39</v>
      </c>
      <c r="AT337" s="1">
        <v>90</v>
      </c>
      <c r="AU337" s="1">
        <v>100</v>
      </c>
      <c r="AV337" s="1">
        <v>56.9</v>
      </c>
      <c r="AW337" s="1">
        <v>1.2</v>
      </c>
      <c r="AX337" s="1">
        <v>29.97</v>
      </c>
      <c r="AY337" s="1">
        <v>0.35</v>
      </c>
      <c r="AZ337" s="1">
        <v>1483.5690000000002</v>
      </c>
      <c r="BA337" s="1">
        <v>34.776000000000003</v>
      </c>
      <c r="BB337" s="1">
        <v>202.44600000000003</v>
      </c>
      <c r="BC337" s="1">
        <v>10.556999999999999</v>
      </c>
      <c r="BD337" s="1">
        <v>4241.4300000000012</v>
      </c>
      <c r="BE337" s="1">
        <v>86.94</v>
      </c>
      <c r="BF337" s="1">
        <v>43.47</v>
      </c>
      <c r="BG337" s="1">
        <v>6.2099999999999991</v>
      </c>
      <c r="BH337" s="1">
        <f t="shared" si="108"/>
        <v>97.571428571428598</v>
      </c>
      <c r="BI337" s="1">
        <f t="shared" si="109"/>
        <v>14.08152913301198</v>
      </c>
    </row>
    <row r="338" spans="1:61" x14ac:dyDescent="0.2">
      <c r="A338" t="s">
        <v>125</v>
      </c>
      <c r="B338" t="s">
        <v>38</v>
      </c>
      <c r="C338" t="s">
        <v>126</v>
      </c>
      <c r="D338" t="s">
        <v>127</v>
      </c>
      <c r="E338">
        <v>50480</v>
      </c>
      <c r="F338">
        <v>10137</v>
      </c>
      <c r="G338" t="s">
        <v>127</v>
      </c>
      <c r="H338" s="1">
        <v>380</v>
      </c>
      <c r="I338" s="1">
        <v>631</v>
      </c>
      <c r="J338" s="10">
        <v>1.247E-2</v>
      </c>
      <c r="K338" s="10">
        <f t="shared" ca="1" si="102"/>
        <v>5.4092546621507841E-4</v>
      </c>
      <c r="L338" s="7">
        <v>1.892E-3</v>
      </c>
      <c r="M338" s="7">
        <f t="shared" ca="1" si="103"/>
        <v>5.3627097627971632E-5</v>
      </c>
      <c r="N338" s="7">
        <v>0.27217999999999998</v>
      </c>
      <c r="O338" s="8">
        <v>528.5412</v>
      </c>
      <c r="P338" s="8">
        <f t="shared" ca="1" si="104"/>
        <v>14.981040848665222</v>
      </c>
      <c r="Q338" s="9">
        <v>4.7399999999999998E-2</v>
      </c>
      <c r="R338" s="9">
        <f t="shared" ca="1" si="105"/>
        <v>1.8597591241878611E-3</v>
      </c>
      <c r="S338" s="8">
        <f t="shared" si="106"/>
        <v>0.37367836462336551</v>
      </c>
      <c r="T338" s="11">
        <v>5.8799999999999998E-4</v>
      </c>
      <c r="U338" s="11">
        <f t="shared" ca="1" si="107"/>
        <v>1.985692826194424E-5</v>
      </c>
      <c r="V338" s="6" t="e">
        <f ca="1">IF(agePb6U8(1/O338)&lt;1400,age7corr(1/O338,Q338,$W$2),agePb76(Q338))</f>
        <v>#NAME?</v>
      </c>
      <c r="W338" s="6" t="e">
        <f ca="1">IF(agePb6U8(1/O338)&lt;1400,ageer7corr(V338,1/O338,P338/O338*(1/O338),Q338,R338,$W$2,0.05),ageerPb76(Q338,R338))</f>
        <v>#NAME?</v>
      </c>
      <c r="X338" s="4" t="e">
        <f ca="1">agePb6U8(L338)/agePb7u5(J338)</f>
        <v>#NAME?</v>
      </c>
      <c r="Z338" s="1">
        <v>1.247E-2</v>
      </c>
      <c r="AA338" s="1">
        <v>4.8000000000000001E-4</v>
      </c>
      <c r="AB338" s="1">
        <v>1.892E-3</v>
      </c>
      <c r="AC338" s="1">
        <v>3.8000000000000002E-5</v>
      </c>
      <c r="AD338" s="1">
        <v>0.27217999999999998</v>
      </c>
      <c r="AE338" s="1">
        <v>528.5412</v>
      </c>
      <c r="AF338" s="1">
        <v>10.61552</v>
      </c>
      <c r="AG338" s="1">
        <v>4.7399999999999998E-2</v>
      </c>
      <c r="AH338" s="1">
        <v>1.6000000000000001E-3</v>
      </c>
      <c r="AI338" s="1">
        <v>0.27840999999999999</v>
      </c>
      <c r="AJ338" s="1">
        <v>5.8799999999999998E-4</v>
      </c>
      <c r="AK338" s="1">
        <v>1.5999999999999999E-5</v>
      </c>
      <c r="AL338" s="1">
        <v>2.11</v>
      </c>
      <c r="AM338" s="1">
        <v>2.8000000000000001E-2</v>
      </c>
      <c r="AN338" s="1">
        <v>12.59</v>
      </c>
      <c r="AO338" s="1">
        <v>0.48</v>
      </c>
      <c r="AP338" s="1">
        <v>12.18</v>
      </c>
      <c r="AQ338" s="1">
        <v>0.24</v>
      </c>
      <c r="AR338" s="1">
        <v>11.88</v>
      </c>
      <c r="AS338" s="1">
        <v>0.33</v>
      </c>
      <c r="AT338" s="1">
        <v>79</v>
      </c>
      <c r="AU338" s="1">
        <v>69</v>
      </c>
      <c r="AV338" s="1">
        <v>83.9</v>
      </c>
      <c r="AW338" s="1">
        <v>3.3</v>
      </c>
      <c r="AX338" s="1">
        <v>50.1</v>
      </c>
      <c r="AY338" s="1">
        <v>1.2</v>
      </c>
      <c r="AZ338" s="1">
        <v>2428.11</v>
      </c>
      <c r="BA338" s="1">
        <v>74.52</v>
      </c>
      <c r="BB338" s="1">
        <v>292.49099999999999</v>
      </c>
      <c r="BC338" s="1">
        <v>13.662000000000001</v>
      </c>
      <c r="BD338" s="1">
        <v>6172.74</v>
      </c>
      <c r="BE338" s="1">
        <v>204.93</v>
      </c>
      <c r="BF338" s="1">
        <v>6.8310000000000004</v>
      </c>
      <c r="BG338" s="1">
        <v>5.4027000000000003</v>
      </c>
      <c r="BH338" s="1">
        <f t="shared" si="108"/>
        <v>903.63636363636351</v>
      </c>
      <c r="BI338" s="1">
        <f t="shared" si="109"/>
        <v>715.32357767465567</v>
      </c>
    </row>
    <row r="339" spans="1:61" x14ac:dyDescent="0.2">
      <c r="A339" t="s">
        <v>128</v>
      </c>
      <c r="B339" t="s">
        <v>38</v>
      </c>
      <c r="C339" t="s">
        <v>129</v>
      </c>
      <c r="D339" t="s">
        <v>130</v>
      </c>
      <c r="E339">
        <v>50653</v>
      </c>
      <c r="F339">
        <v>10022</v>
      </c>
      <c r="G339" t="s">
        <v>130</v>
      </c>
      <c r="H339" s="1">
        <v>488</v>
      </c>
      <c r="I339" s="1">
        <v>813</v>
      </c>
      <c r="J339" s="10">
        <v>1.2579999999999999E-2</v>
      </c>
      <c r="K339" s="10">
        <f t="shared" ca="1" si="102"/>
        <v>6.6910579133646719E-4</v>
      </c>
      <c r="L339" s="7">
        <v>1.9880000000000002E-3</v>
      </c>
      <c r="M339" s="7">
        <f t="shared" ca="1" si="103"/>
        <v>6.0801789447350979E-5</v>
      </c>
      <c r="N339" s="7">
        <v>0.72918000000000005</v>
      </c>
      <c r="O339" s="8">
        <v>503.0181</v>
      </c>
      <c r="P339" s="8">
        <f t="shared" ca="1" si="104"/>
        <v>15.384505976258842</v>
      </c>
      <c r="Q339" s="9">
        <v>4.6199999999999998E-2</v>
      </c>
      <c r="R339" s="9">
        <f t="shared" ca="1" si="105"/>
        <v>2.0233081821610863E-3</v>
      </c>
      <c r="S339" s="8">
        <f t="shared" si="106"/>
        <v>0.36751808944470021</v>
      </c>
      <c r="T339" s="11">
        <v>5.9900000000000003E-4</v>
      </c>
      <c r="U339" s="11">
        <f t="shared" ca="1" si="107"/>
        <v>1.6264083128169261E-5</v>
      </c>
      <c r="V339" s="6" t="e">
        <f ca="1">IF(agePb6U8(1/O339)&lt;1400,age7corr(1/O339,Q339,$W$2),agePb76(Q339))</f>
        <v>#NAME?</v>
      </c>
      <c r="W339" s="6" t="e">
        <f ca="1">IF(agePb6U8(1/O339)&lt;1400,ageer7corr(V339,1/O339,P339/O339*(1/O339),Q339,R339,$W$2,0.05),ageerPb76(Q339,R339))</f>
        <v>#NAME?</v>
      </c>
      <c r="X339" s="4" t="e">
        <f ca="1">agePb6U8(L339)/agePb7u5(J339)</f>
        <v>#NAME?</v>
      </c>
      <c r="Z339" s="1">
        <v>1.2579999999999999E-2</v>
      </c>
      <c r="AA339" s="1">
        <v>6.2E-4</v>
      </c>
      <c r="AB339" s="1">
        <v>1.9880000000000002E-3</v>
      </c>
      <c r="AC339" s="1">
        <v>4.6E-5</v>
      </c>
      <c r="AD339" s="1">
        <v>0.72918000000000005</v>
      </c>
      <c r="AE339" s="1">
        <v>503.0181</v>
      </c>
      <c r="AF339" s="1">
        <v>11.639250000000001</v>
      </c>
      <c r="AG339" s="1">
        <v>4.6199999999999998E-2</v>
      </c>
      <c r="AH339" s="1">
        <v>1.8E-3</v>
      </c>
      <c r="AI339" s="1">
        <v>-0.45018999999999998</v>
      </c>
      <c r="AJ339" s="1">
        <v>5.9900000000000003E-4</v>
      </c>
      <c r="AK339" s="1">
        <v>1.1E-5</v>
      </c>
      <c r="AL339" s="1">
        <v>2.181</v>
      </c>
      <c r="AM339" s="1">
        <v>2.3E-2</v>
      </c>
      <c r="AN339" s="1">
        <v>12.69</v>
      </c>
      <c r="AO339" s="1">
        <v>0.62</v>
      </c>
      <c r="AP339" s="1">
        <v>12.8</v>
      </c>
      <c r="AQ339" s="1">
        <v>0.28999999999999998</v>
      </c>
      <c r="AR339" s="1">
        <v>12.11</v>
      </c>
      <c r="AS339" s="1">
        <v>0.23</v>
      </c>
      <c r="AT339" s="1">
        <v>23</v>
      </c>
      <c r="AU339" s="1">
        <v>77</v>
      </c>
      <c r="AV339" s="1">
        <v>107.6</v>
      </c>
      <c r="AW339" s="1">
        <v>4</v>
      </c>
      <c r="AX339" s="1">
        <v>64.600000000000009</v>
      </c>
      <c r="AY339" s="1">
        <v>1.8</v>
      </c>
      <c r="AZ339" s="1">
        <v>3129.84</v>
      </c>
      <c r="BA339" s="1">
        <v>111.78</v>
      </c>
      <c r="BB339" s="1">
        <v>381.29399999999998</v>
      </c>
      <c r="BC339" s="1">
        <v>22.977</v>
      </c>
      <c r="BD339" s="1">
        <v>8253.090000000002</v>
      </c>
      <c r="BE339" s="1">
        <v>304.28999999999996</v>
      </c>
      <c r="BF339" s="1">
        <v>7.8867000000000012</v>
      </c>
      <c r="BG339" s="1">
        <v>4.7196000000000007</v>
      </c>
      <c r="BH339" s="1">
        <f t="shared" si="108"/>
        <v>1046.456692913386</v>
      </c>
      <c r="BI339" s="1">
        <f t="shared" si="109"/>
        <v>627.41349343713716</v>
      </c>
    </row>
    <row r="340" spans="1:61" x14ac:dyDescent="0.2">
      <c r="A340" t="s">
        <v>131</v>
      </c>
      <c r="B340" t="s">
        <v>38</v>
      </c>
      <c r="C340" t="s">
        <v>132</v>
      </c>
      <c r="D340" t="s">
        <v>133</v>
      </c>
      <c r="E340">
        <v>50596</v>
      </c>
      <c r="F340">
        <v>9825</v>
      </c>
      <c r="G340" t="s">
        <v>133</v>
      </c>
      <c r="H340" s="1">
        <v>728</v>
      </c>
      <c r="I340" s="1">
        <v>1151</v>
      </c>
      <c r="J340" s="10">
        <v>1.3950000000000001E-2</v>
      </c>
      <c r="K340" s="10">
        <f t="shared" ca="1" si="102"/>
        <v>6.4361556848789787E-4</v>
      </c>
      <c r="L340" s="7">
        <v>1.97E-3</v>
      </c>
      <c r="M340" s="7">
        <f t="shared" ca="1" si="103"/>
        <v>6.0566987707826446E-5</v>
      </c>
      <c r="N340" s="7">
        <v>0.72626000000000002</v>
      </c>
      <c r="O340" s="8">
        <v>507.61419999999998</v>
      </c>
      <c r="P340" s="8">
        <f t="shared" ca="1" si="104"/>
        <v>15.606427616307839</v>
      </c>
      <c r="Q340" s="9">
        <v>5.1299999999999998E-2</v>
      </c>
      <c r="R340" s="9">
        <f t="shared" ca="1" si="105"/>
        <v>2.0718774095008614E-3</v>
      </c>
      <c r="S340" s="8">
        <f t="shared" si="106"/>
        <v>0.29513064569351966</v>
      </c>
      <c r="T340" s="11">
        <v>6.4800000000000003E-4</v>
      </c>
      <c r="U340" s="11">
        <f t="shared" ca="1" si="107"/>
        <v>1.9823259066056723E-5</v>
      </c>
      <c r="V340" s="6" t="e">
        <f ca="1">IF(agePb6U8(1/O340)&lt;1400,age7corr(1/O340,Q340,$W$2),agePb76(Q340))</f>
        <v>#NAME?</v>
      </c>
      <c r="W340" s="6" t="e">
        <f ca="1">IF(agePb6U8(1/O340)&lt;1400,ageer7corr(V340,1/O340,P340/O340*(1/O340),Q340,R340,$W$2,0.05),ageerPb76(Q340,R340))</f>
        <v>#NAME?</v>
      </c>
      <c r="X340" s="4" t="e">
        <f ca="1">agePb6U8(L340)/agePb7u5(J340)</f>
        <v>#NAME?</v>
      </c>
      <c r="Z340" s="1">
        <v>1.3950000000000001E-2</v>
      </c>
      <c r="AA340" s="1">
        <v>5.8E-4</v>
      </c>
      <c r="AB340" s="1">
        <v>1.97E-3</v>
      </c>
      <c r="AC340" s="1">
        <v>4.6E-5</v>
      </c>
      <c r="AD340" s="1">
        <v>0.72626000000000002</v>
      </c>
      <c r="AE340" s="1">
        <v>507.61419999999998</v>
      </c>
      <c r="AF340" s="1">
        <v>11.852919999999999</v>
      </c>
      <c r="AG340" s="1">
        <v>5.1299999999999998E-2</v>
      </c>
      <c r="AH340" s="1">
        <v>1.8E-3</v>
      </c>
      <c r="AI340" s="1">
        <v>-0.32757999999999998</v>
      </c>
      <c r="AJ340" s="1">
        <v>6.4800000000000003E-4</v>
      </c>
      <c r="AK340" s="1">
        <v>1.5E-5</v>
      </c>
      <c r="AL340" s="1">
        <v>2.1309999999999998</v>
      </c>
      <c r="AM340" s="1">
        <v>0.02</v>
      </c>
      <c r="AN340" s="1">
        <v>14.06</v>
      </c>
      <c r="AO340" s="1">
        <v>0.57999999999999996</v>
      </c>
      <c r="AP340" s="1">
        <v>12.69</v>
      </c>
      <c r="AQ340" s="1">
        <v>0.28999999999999998</v>
      </c>
      <c r="AR340" s="1">
        <v>13.1</v>
      </c>
      <c r="AS340" s="1">
        <v>0.28999999999999998</v>
      </c>
      <c r="AT340" s="1">
        <v>250</v>
      </c>
      <c r="AU340" s="1">
        <v>79</v>
      </c>
      <c r="AV340" s="1">
        <v>160.6</v>
      </c>
      <c r="AW340" s="1">
        <v>5.6</v>
      </c>
      <c r="AX340" s="1">
        <v>91.399999999999991</v>
      </c>
      <c r="AY340" s="1">
        <v>2.4</v>
      </c>
      <c r="AZ340" s="1">
        <v>4831.3799999999992</v>
      </c>
      <c r="BA340" s="1">
        <v>155.25</v>
      </c>
      <c r="BB340" s="1">
        <v>630.31499999999994</v>
      </c>
      <c r="BC340" s="1">
        <v>34.776000000000003</v>
      </c>
      <c r="BD340" s="1">
        <v>12277.17</v>
      </c>
      <c r="BE340" s="1">
        <v>353.96999999999997</v>
      </c>
      <c r="BF340" s="1">
        <v>12.233699999999999</v>
      </c>
      <c r="BG340" s="1">
        <v>6.0236999999999998</v>
      </c>
      <c r="BH340" s="1">
        <f t="shared" si="108"/>
        <v>1003.5532994923859</v>
      </c>
      <c r="BI340" s="1">
        <f t="shared" si="109"/>
        <v>494.9817690261039</v>
      </c>
    </row>
    <row r="341" spans="1:61" x14ac:dyDescent="0.2">
      <c r="A341" t="s">
        <v>134</v>
      </c>
      <c r="B341" t="s">
        <v>38</v>
      </c>
      <c r="C341" t="s">
        <v>135</v>
      </c>
      <c r="D341" t="s">
        <v>136</v>
      </c>
      <c r="E341">
        <v>50706</v>
      </c>
      <c r="F341">
        <v>9788</v>
      </c>
      <c r="G341" t="s">
        <v>136</v>
      </c>
      <c r="H341" s="1">
        <v>183.3</v>
      </c>
      <c r="I341" s="1">
        <v>245.1</v>
      </c>
      <c r="J341" s="10">
        <v>1.907E-2</v>
      </c>
      <c r="K341" s="10">
        <f t="shared" ca="1" si="102"/>
        <v>1.0329888479552914E-3</v>
      </c>
      <c r="L341" s="7">
        <v>2.019E-3</v>
      </c>
      <c r="M341" s="7">
        <f t="shared" ca="1" si="103"/>
        <v>5.476809655264642E-5</v>
      </c>
      <c r="N341" s="7">
        <v>7.7670000000000003E-2</v>
      </c>
      <c r="O341" s="8">
        <v>495.29469999999998</v>
      </c>
      <c r="P341" s="8">
        <f t="shared" ca="1" si="104"/>
        <v>13.435536325653882</v>
      </c>
      <c r="Q341" s="9">
        <v>6.8900000000000003E-2</v>
      </c>
      <c r="R341" s="9">
        <f t="shared" ca="1" si="105"/>
        <v>3.2107450848673736E-3</v>
      </c>
      <c r="S341" s="8">
        <f t="shared" si="106"/>
        <v>0.2669936800862569</v>
      </c>
      <c r="T341" s="11">
        <v>7.2499999999999995E-4</v>
      </c>
      <c r="U341" s="11">
        <f t="shared" ca="1" si="107"/>
        <v>1.882153022471871E-5</v>
      </c>
      <c r="V341" s="6" t="e">
        <f ca="1">IF(agePb6U8(1/O341)&lt;1400,age7corr(1/O341,Q341,$W$2),agePb76(Q341))</f>
        <v>#NAME?</v>
      </c>
      <c r="W341" s="6" t="e">
        <f ca="1">IF(agePb6U8(1/O341)&lt;1400,ageer7corr(V341,1/O341,P341/O341*(1/O341),Q341,R341,$W$2,0.05),ageerPb76(Q341,R341))</f>
        <v>#NAME?</v>
      </c>
      <c r="X341" s="4" t="e">
        <f ca="1">agePb6U8(L341)/agePb7u5(J341)</f>
        <v>#NAME?</v>
      </c>
      <c r="Z341" s="1">
        <v>1.907E-2</v>
      </c>
      <c r="AA341" s="1">
        <v>9.6000000000000002E-4</v>
      </c>
      <c r="AB341" s="1">
        <v>2.019E-3</v>
      </c>
      <c r="AC341" s="1">
        <v>3.6999999999999998E-5</v>
      </c>
      <c r="AD341" s="1">
        <v>7.7670000000000003E-2</v>
      </c>
      <c r="AE341" s="1">
        <v>495.29469999999998</v>
      </c>
      <c r="AF341" s="1">
        <v>9.0767229999999994</v>
      </c>
      <c r="AG341" s="1">
        <v>6.8900000000000003E-2</v>
      </c>
      <c r="AH341" s="1">
        <v>2.8999999999999998E-3</v>
      </c>
      <c r="AI341" s="1">
        <v>0.34921999999999997</v>
      </c>
      <c r="AJ341" s="1">
        <v>7.2499999999999995E-4</v>
      </c>
      <c r="AK341" s="1">
        <v>1.2E-5</v>
      </c>
      <c r="AL341" s="1">
        <v>2.3159999999999998</v>
      </c>
      <c r="AM341" s="1">
        <v>3.5999999999999997E-2</v>
      </c>
      <c r="AN341" s="1">
        <v>19.18</v>
      </c>
      <c r="AO341" s="1">
        <v>0.95</v>
      </c>
      <c r="AP341" s="1">
        <v>13</v>
      </c>
      <c r="AQ341" s="1">
        <v>0.24</v>
      </c>
      <c r="AR341" s="1">
        <v>14.65</v>
      </c>
      <c r="AS341" s="1">
        <v>0.25</v>
      </c>
      <c r="AT341" s="1">
        <v>906</v>
      </c>
      <c r="AU341" s="1">
        <v>98</v>
      </c>
      <c r="AV341" s="1">
        <v>40.410000000000004</v>
      </c>
      <c r="AW341" s="1">
        <v>0.5</v>
      </c>
      <c r="AX341" s="1">
        <v>19.46</v>
      </c>
      <c r="AY341" s="1">
        <v>0.25</v>
      </c>
      <c r="AZ341" s="1">
        <v>1133.3249999999998</v>
      </c>
      <c r="BA341" s="1">
        <v>24.839999999999996</v>
      </c>
      <c r="BB341" s="1">
        <v>217.35</v>
      </c>
      <c r="BC341" s="1">
        <v>11.799000000000001</v>
      </c>
      <c r="BD341" s="1">
        <v>3166.4789999999998</v>
      </c>
      <c r="BE341" s="1">
        <v>58.373999999999995</v>
      </c>
      <c r="BF341" s="1">
        <v>16.145999999999997</v>
      </c>
      <c r="BG341" s="1">
        <v>6.2099999999999991</v>
      </c>
      <c r="BH341" s="1">
        <f t="shared" si="108"/>
        <v>196.11538461538464</v>
      </c>
      <c r="BI341" s="1">
        <f t="shared" si="109"/>
        <v>75.51558881625904</v>
      </c>
    </row>
    <row r="342" spans="1:61" x14ac:dyDescent="0.2">
      <c r="A342" t="s">
        <v>137</v>
      </c>
      <c r="B342" t="s">
        <v>38</v>
      </c>
      <c r="C342" t="s">
        <v>138</v>
      </c>
      <c r="D342" t="s">
        <v>139</v>
      </c>
      <c r="E342">
        <v>50668</v>
      </c>
      <c r="F342">
        <v>9617</v>
      </c>
      <c r="G342" t="s">
        <v>139</v>
      </c>
      <c r="H342" s="1">
        <v>300.5</v>
      </c>
      <c r="I342" s="1">
        <v>537</v>
      </c>
      <c r="J342" s="10">
        <v>1.336E-2</v>
      </c>
      <c r="K342" s="10">
        <f t="shared" ca="1" si="102"/>
        <v>8.8147367515995629E-4</v>
      </c>
      <c r="L342" s="7">
        <v>1.9629999999999999E-3</v>
      </c>
      <c r="M342" s="7">
        <f t="shared" ca="1" si="103"/>
        <v>5.5338482089771848E-5</v>
      </c>
      <c r="N342" s="7">
        <v>0.50221000000000005</v>
      </c>
      <c r="O342" s="8">
        <v>509.42439999999999</v>
      </c>
      <c r="P342" s="8">
        <f t="shared" ca="1" si="104"/>
        <v>14.361063022849109</v>
      </c>
      <c r="Q342" s="9">
        <v>4.9200000000000001E-2</v>
      </c>
      <c r="R342" s="9">
        <f t="shared" ca="1" si="105"/>
        <v>2.4100323649279072E-3</v>
      </c>
      <c r="S342" s="8">
        <f t="shared" si="106"/>
        <v>0.23768814829163634</v>
      </c>
      <c r="T342" s="11">
        <v>6.1300000000000005E-4</v>
      </c>
      <c r="U342" s="11">
        <f t="shared" ca="1" si="107"/>
        <v>2.0157073200244128E-5</v>
      </c>
      <c r="V342" s="6" t="e">
        <f ca="1">IF(agePb6U8(1/O342)&lt;1400,age7corr(1/O342,Q342,$W$2),agePb76(Q342))</f>
        <v>#NAME?</v>
      </c>
      <c r="W342" s="6" t="e">
        <f ca="1">IF(agePb6U8(1/O342)&lt;1400,ageer7corr(V342,1/O342,P342/O342*(1/O342),Q342,R342,$W$2,0.05),ageerPb76(Q342,R342))</f>
        <v>#NAME?</v>
      </c>
      <c r="X342" s="4" t="e">
        <f ca="1">agePb6U8(L342)/agePb7u5(J342)</f>
        <v>#NAME?</v>
      </c>
      <c r="Z342" s="1">
        <v>1.336E-2</v>
      </c>
      <c r="AA342" s="1">
        <v>8.4000000000000003E-4</v>
      </c>
      <c r="AB342" s="1">
        <v>1.9629999999999999E-3</v>
      </c>
      <c r="AC342" s="1">
        <v>3.8999999999999999E-5</v>
      </c>
      <c r="AD342" s="1">
        <v>0.50221000000000005</v>
      </c>
      <c r="AE342" s="1">
        <v>509.42439999999999</v>
      </c>
      <c r="AF342" s="1">
        <v>10.12101</v>
      </c>
      <c r="AG342" s="1">
        <v>4.9200000000000001E-2</v>
      </c>
      <c r="AH342" s="1">
        <v>2.2000000000000001E-3</v>
      </c>
      <c r="AI342" s="1">
        <v>-0.16048000000000001</v>
      </c>
      <c r="AJ342" s="1">
        <v>6.1300000000000005E-4</v>
      </c>
      <c r="AK342" s="1">
        <v>1.5999999999999999E-5</v>
      </c>
      <c r="AL342" s="1">
        <v>1.982</v>
      </c>
      <c r="AM342" s="1">
        <v>6.2E-2</v>
      </c>
      <c r="AN342" s="1">
        <v>13.48</v>
      </c>
      <c r="AO342" s="1">
        <v>0.84</v>
      </c>
      <c r="AP342" s="1">
        <v>12.64</v>
      </c>
      <c r="AQ342" s="1">
        <v>0.25</v>
      </c>
      <c r="AR342" s="1">
        <v>12.38</v>
      </c>
      <c r="AS342" s="1">
        <v>0.32</v>
      </c>
      <c r="AT342" s="1">
        <v>150</v>
      </c>
      <c r="AU342" s="1">
        <v>97</v>
      </c>
      <c r="AV342" s="1">
        <v>66.199999999999989</v>
      </c>
      <c r="AW342" s="1">
        <v>1.3</v>
      </c>
      <c r="AX342" s="1">
        <v>42.6</v>
      </c>
      <c r="AY342" s="1">
        <v>2.7</v>
      </c>
      <c r="AZ342" s="1">
        <v>2123.8200000000002</v>
      </c>
      <c r="BA342" s="1">
        <v>99.359999999999985</v>
      </c>
      <c r="BB342" s="1">
        <v>250.88400000000001</v>
      </c>
      <c r="BC342" s="1">
        <v>11.177999999999999</v>
      </c>
      <c r="BD342" s="1">
        <v>5048.7299999999996</v>
      </c>
      <c r="BE342" s="1">
        <v>86.94</v>
      </c>
      <c r="BF342" s="1">
        <v>11.799000000000001</v>
      </c>
      <c r="BG342" s="1">
        <v>6.8310000000000004</v>
      </c>
      <c r="BH342" s="1">
        <f t="shared" si="108"/>
        <v>427.8947368421052</v>
      </c>
      <c r="BI342" s="1">
        <f t="shared" si="109"/>
        <v>247.83809054363718</v>
      </c>
    </row>
    <row r="343" spans="1:61" x14ac:dyDescent="0.2">
      <c r="X343" s="4"/>
    </row>
    <row r="344" spans="1:61" x14ac:dyDescent="0.2">
      <c r="X344" s="4"/>
    </row>
    <row r="345" spans="1:61" x14ac:dyDescent="0.2">
      <c r="A345" t="s">
        <v>155</v>
      </c>
      <c r="B345" t="s">
        <v>38</v>
      </c>
      <c r="C345" t="s">
        <v>156</v>
      </c>
      <c r="D345" t="s">
        <v>157</v>
      </c>
      <c r="E345">
        <v>40852</v>
      </c>
      <c r="F345">
        <v>51322</v>
      </c>
      <c r="G345" t="s">
        <v>157</v>
      </c>
      <c r="H345" s="1">
        <v>129.69999999999999</v>
      </c>
      <c r="I345" s="1">
        <v>121.1</v>
      </c>
      <c r="J345" s="10">
        <v>30.81</v>
      </c>
      <c r="K345" s="10">
        <f ca="1">SQRT(K$2^2+(AA345/Z345)^2)*J345</f>
        <v>0.84622836161405035</v>
      </c>
      <c r="L345" s="7">
        <v>0.72099999999999997</v>
      </c>
      <c r="M345" s="7">
        <f ca="1">SQRT(M$2^2+(AC345/AB345)^2)*L345</f>
        <v>1.9414849986543806E-2</v>
      </c>
      <c r="N345" s="7">
        <v>0.99760000000000004</v>
      </c>
      <c r="O345" s="8">
        <v>1.3869629999999999</v>
      </c>
      <c r="P345" s="8">
        <f ca="1">SQRT(P$2^2+(AF345/AE345)^2)*O345</f>
        <v>3.7347678694533343E-2</v>
      </c>
      <c r="Q345" s="9">
        <v>0.30886000000000002</v>
      </c>
      <c r="R345" s="9">
        <f ca="1">SQRT(R$2^2+(AH345/AG345)^2)*Q345</f>
        <v>6.2145152538231009E-3</v>
      </c>
      <c r="S345" s="8">
        <f>(((BE345/BD345)^2+(AW345/AV345)^2)+((BE345/BD345)^2+(BC345/BB345)^2)-((BC345/BB345)^2+(AW345/AV345)^2))/(2*SQRT((BE345/BD345)^2+(AW345/AV345)^2)*SQRT((BE345/BD345)^2+(BC345/BB345)^2))</f>
        <v>0.49985692056971576</v>
      </c>
      <c r="T345" s="11">
        <v>0.1966</v>
      </c>
      <c r="U345" s="11">
        <f ca="1">SQRT(U$2^2+(AK345/AJ345)^2)*T345</f>
        <v>5.9009002702977457E-3</v>
      </c>
      <c r="V345" s="6" t="e">
        <f ca="1">IF(agePb6U8(1/O345)&lt;1400,age7corr(1/O345,Q345,$W$2),agePb76(Q345))</f>
        <v>#NAME?</v>
      </c>
      <c r="W345" s="6" t="e">
        <f ca="1">IF(agePb6U8(1/O345)&lt;1400,ageer7corr(V345,1/O345,P345/O345*(1/O345),Q345,R345,$W$2,0.05),ageerPb76(Q345,R345))</f>
        <v>#NAME?</v>
      </c>
      <c r="X345" s="4" t="e">
        <f ca="1">agePb6U8(L345)/agePb7u5(J345)</f>
        <v>#NAME?</v>
      </c>
      <c r="Z345" s="1">
        <v>30.81</v>
      </c>
      <c r="AA345" s="1">
        <v>0.57999999999999996</v>
      </c>
      <c r="AB345" s="1">
        <v>0.72099999999999997</v>
      </c>
      <c r="AC345" s="1">
        <v>1.2999999999999999E-2</v>
      </c>
      <c r="AD345" s="1">
        <v>0.99760000000000004</v>
      </c>
      <c r="AE345" s="1">
        <v>1.3869629999999999</v>
      </c>
      <c r="AF345" s="1">
        <v>2.5007649999999999E-2</v>
      </c>
      <c r="AG345" s="1">
        <v>0.30886000000000002</v>
      </c>
      <c r="AH345" s="1">
        <v>6.8000000000000005E-4</v>
      </c>
      <c r="AI345" s="1">
        <v>-0.36154999999999998</v>
      </c>
      <c r="AJ345" s="1">
        <v>0.1966</v>
      </c>
      <c r="AK345" s="1">
        <v>4.4000000000000003E-3</v>
      </c>
      <c r="AL345" s="1">
        <v>4.3090000000000002</v>
      </c>
      <c r="AM345" s="1">
        <v>1.9E-2</v>
      </c>
      <c r="AN345" s="1">
        <v>3512</v>
      </c>
      <c r="AO345" s="1">
        <v>19</v>
      </c>
      <c r="AP345" s="1">
        <v>3499</v>
      </c>
      <c r="AQ345" s="1">
        <v>51</v>
      </c>
      <c r="AR345" s="1">
        <v>3627</v>
      </c>
      <c r="AS345" s="1">
        <v>75</v>
      </c>
      <c r="AT345" s="1">
        <v>3515.2</v>
      </c>
      <c r="AU345" s="1">
        <v>3.4</v>
      </c>
      <c r="AV345" s="1">
        <v>28.57</v>
      </c>
      <c r="AW345" s="1">
        <v>0.39</v>
      </c>
      <c r="AX345" s="1">
        <v>9.6199999999999992</v>
      </c>
      <c r="AY345" s="1">
        <v>0.27999999999999997</v>
      </c>
      <c r="AZ345" s="1">
        <v>152828.1</v>
      </c>
      <c r="BA345" s="1">
        <v>1987.2</v>
      </c>
      <c r="BB345" s="1">
        <v>246723.3</v>
      </c>
      <c r="BC345" s="1">
        <v>3167.1</v>
      </c>
      <c r="BD345" s="1">
        <v>797364</v>
      </c>
      <c r="BE345" s="1">
        <v>10557</v>
      </c>
      <c r="BF345" s="1">
        <v>7.4519999999999991</v>
      </c>
      <c r="BG345" s="1">
        <v>8.6940000000000008</v>
      </c>
      <c r="BH345" s="1">
        <f>BD345/BF345</f>
        <v>107000.00000000001</v>
      </c>
      <c r="BI345" s="1">
        <f>SQRT((BG345/BF345)^2+(BE345/BD345)^2)*BH345</f>
        <v>124841.37157030746</v>
      </c>
    </row>
    <row r="346" spans="1:61" x14ac:dyDescent="0.2">
      <c r="A346" t="s">
        <v>374</v>
      </c>
      <c r="B346" t="s">
        <v>38</v>
      </c>
      <c r="C346" t="s">
        <v>375</v>
      </c>
      <c r="D346" t="s">
        <v>376</v>
      </c>
      <c r="E346">
        <v>41239</v>
      </c>
      <c r="F346">
        <v>51238</v>
      </c>
      <c r="G346" t="s">
        <v>376</v>
      </c>
      <c r="H346" s="1">
        <v>102.4</v>
      </c>
      <c r="I346" s="1">
        <v>85.5</v>
      </c>
      <c r="J346" s="10">
        <v>30.9</v>
      </c>
      <c r="K346" s="10">
        <f ca="1">SQRT(K$2^2+(AA346/Z346)^2)*J346</f>
        <v>1.26171470626287</v>
      </c>
      <c r="L346" s="7">
        <v>0.72599999999999998</v>
      </c>
      <c r="M346" s="7">
        <f ca="1">SQRT(M$2^2+(AC346/AB346)^2)*L346</f>
        <v>2.9779697782213975E-2</v>
      </c>
      <c r="N346" s="7">
        <v>0.99878</v>
      </c>
      <c r="O346" s="8">
        <v>1.37741</v>
      </c>
      <c r="P346" s="8">
        <f ca="1">SQRT(P$2^2+(AF346/AE346)^2)*O346</f>
        <v>5.6499813272279931E-2</v>
      </c>
      <c r="Q346" s="9">
        <v>0.30903000000000003</v>
      </c>
      <c r="R346" s="9">
        <f ca="1">SQRT(R$2^2+(AH346/AG346)^2)*Q346</f>
        <v>6.2126255609041827E-3</v>
      </c>
      <c r="S346" s="8">
        <f>(((BE346/BD346)^2+(AW346/AV346)^2)+((BE346/BD346)^2+(BC346/BB346)^2)-((BC346/BB346)^2+(AW346/AV346)^2))/(2*SQRT((BE346/BD346)^2+(AW346/AV346)^2)*SQRT((BE346/BD346)^2+(BC346/BB346)^2))</f>
        <v>0.46856961522491136</v>
      </c>
      <c r="T346" s="11">
        <v>0.18940000000000001</v>
      </c>
      <c r="U346" s="11">
        <f ca="1">SQRT(U$2^2+(AK346/AJ346)^2)*T346</f>
        <v>7.4369983192145474E-3</v>
      </c>
      <c r="V346" s="6" t="e">
        <f ca="1">IF(agePb6U8(1/O346)&lt;1400,age7corr(1/O346,Q346,$W$2),agePb76(Q346))</f>
        <v>#NAME?</v>
      </c>
      <c r="W346" s="6" t="e">
        <f ca="1">IF(agePb6U8(1/O346)&lt;1400,ageer7corr(V346,1/O346,P346/O346*(1/O346),Q346,R346,$W$2,0.05),ageerPb76(Q346,R346))</f>
        <v>#NAME?</v>
      </c>
      <c r="X346" s="4" t="e">
        <f ca="1">agePb6U8(L346)/agePb7u5(J346)</f>
        <v>#NAME?</v>
      </c>
      <c r="Z346" s="1">
        <v>30.9</v>
      </c>
      <c r="AA346" s="1">
        <v>1.1000000000000001</v>
      </c>
      <c r="AB346" s="1">
        <v>0.72599999999999998</v>
      </c>
      <c r="AC346" s="1">
        <v>2.5999999999999999E-2</v>
      </c>
      <c r="AD346" s="1">
        <v>0.99878</v>
      </c>
      <c r="AE346" s="1">
        <v>1.37741</v>
      </c>
      <c r="AF346" s="1">
        <v>4.9328749999999998E-2</v>
      </c>
      <c r="AG346" s="1">
        <v>0.30903000000000003</v>
      </c>
      <c r="AH346" s="1">
        <v>6.3000000000000003E-4</v>
      </c>
      <c r="AI346" s="1">
        <v>-0.40393000000000001</v>
      </c>
      <c r="AJ346" s="1">
        <v>0.18940000000000001</v>
      </c>
      <c r="AK346" s="1">
        <v>6.4000000000000003E-3</v>
      </c>
      <c r="AL346" s="1">
        <v>4.8360000000000003</v>
      </c>
      <c r="AM346" s="1">
        <v>4.5999999999999999E-2</v>
      </c>
      <c r="AN346" s="1">
        <v>3514</v>
      </c>
      <c r="AO346" s="1">
        <v>36</v>
      </c>
      <c r="AP346" s="1">
        <v>3514</v>
      </c>
      <c r="AQ346" s="1">
        <v>96</v>
      </c>
      <c r="AR346" s="1">
        <v>3500</v>
      </c>
      <c r="AS346" s="1">
        <v>110</v>
      </c>
      <c r="AT346" s="1">
        <v>3516</v>
      </c>
      <c r="AU346" s="1">
        <v>3.1</v>
      </c>
      <c r="AV346" s="1">
        <v>22.39</v>
      </c>
      <c r="AW346" s="1">
        <v>0.57999999999999996</v>
      </c>
      <c r="AX346" s="1">
        <v>6.7600000000000007</v>
      </c>
      <c r="AY346" s="1">
        <v>0.12000000000000001</v>
      </c>
      <c r="AZ346" s="1">
        <v>104141.7</v>
      </c>
      <c r="BA346" s="1">
        <v>3042.9</v>
      </c>
      <c r="BB346" s="1">
        <v>193131</v>
      </c>
      <c r="BC346" s="1">
        <v>4781.7</v>
      </c>
      <c r="BD346" s="1">
        <v>626589</v>
      </c>
      <c r="BE346" s="1">
        <v>14904.000000000002</v>
      </c>
      <c r="BF346" s="1">
        <v>0.80730000000000002</v>
      </c>
      <c r="BG346" s="1">
        <v>4.4091000000000005</v>
      </c>
      <c r="BH346" s="1">
        <f>BD346/BF346</f>
        <v>776153.84615384613</v>
      </c>
      <c r="BI346" s="1">
        <f>SQRT((BG346/BF346)^2+(BE346/BD346)^2)*BH346</f>
        <v>4239034.284215793</v>
      </c>
    </row>
    <row r="347" spans="1:61" x14ac:dyDescent="0.2">
      <c r="A347" t="s">
        <v>698</v>
      </c>
      <c r="B347" t="s">
        <v>38</v>
      </c>
      <c r="C347" t="s">
        <v>699</v>
      </c>
      <c r="D347" t="s">
        <v>700</v>
      </c>
      <c r="E347">
        <v>41357</v>
      </c>
      <c r="F347">
        <v>51171</v>
      </c>
      <c r="G347" t="s">
        <v>700</v>
      </c>
      <c r="H347" s="1">
        <v>155.19999999999999</v>
      </c>
      <c r="I347" s="1">
        <v>74.3</v>
      </c>
      <c r="J347" s="10">
        <v>29.79</v>
      </c>
      <c r="K347" s="10">
        <f ca="1">SQRT(K$2^2+(AA347/Z347)^2)*J347</f>
        <v>1.0462206459442482</v>
      </c>
      <c r="L347" s="7">
        <v>0.69699999999999995</v>
      </c>
      <c r="M347" s="7">
        <f ca="1">SQRT(M$2^2+(AC347/AB347)^2)*L347</f>
        <v>2.2766721327411202E-2</v>
      </c>
      <c r="N347" s="7">
        <v>0.99787999999999999</v>
      </c>
      <c r="O347" s="8">
        <v>1.43472</v>
      </c>
      <c r="P347" s="8">
        <f ca="1">SQRT(P$2^2+(AF347/AE347)^2)*O347</f>
        <v>4.6863521569766822E-2</v>
      </c>
      <c r="Q347" s="9">
        <v>0.31258999999999998</v>
      </c>
      <c r="R347" s="9">
        <f ca="1">SQRT(R$2^2+(AH347/AG347)^2)*Q347</f>
        <v>6.2990398665193417E-3</v>
      </c>
      <c r="S347" s="8">
        <f>(((BE347/BD347)^2+(AW347/AV347)^2)+((BE347/BD347)^2+(BC347/BB347)^2)-((BC347/BB347)^2+(AW347/AV347)^2))/(2*SQRT((BE347/BD347)^2+(AW347/AV347)^2)*SQRT((BE347/BD347)^2+(BC347/BB347)^2))</f>
        <v>0.38293077380456653</v>
      </c>
      <c r="T347" s="11">
        <v>0.19</v>
      </c>
      <c r="U347" s="11">
        <f ca="1">SQRT(U$2^2+(AK347/AJ347)^2)*T347</f>
        <v>5.6639209034025188E-3</v>
      </c>
      <c r="V347" s="6" t="e">
        <f ca="1">IF(agePb6U8(1/O347)&lt;1400,age7corr(1/O347,Q347,$W$2),agePb76(Q347))</f>
        <v>#NAME?</v>
      </c>
      <c r="W347" s="6" t="e">
        <f ca="1">IF(agePb6U8(1/O347)&lt;1400,ageer7corr(V347,1/O347,P347/O347*(1/O347),Q347,R347,$W$2,0.05),ageerPb76(Q347,R347))</f>
        <v>#NAME?</v>
      </c>
      <c r="X347" s="4" t="e">
        <f ca="1">agePb6U8(L347)/agePb7u5(J347)</f>
        <v>#NAME?</v>
      </c>
      <c r="Z347" s="1">
        <v>29.79</v>
      </c>
      <c r="AA347" s="1">
        <v>0.86</v>
      </c>
      <c r="AB347" s="1">
        <v>0.69699999999999995</v>
      </c>
      <c r="AC347" s="1">
        <v>1.7999999999999999E-2</v>
      </c>
      <c r="AD347" s="1">
        <v>0.99787999999999999</v>
      </c>
      <c r="AE347" s="1">
        <v>1.43472</v>
      </c>
      <c r="AF347" s="1">
        <v>3.7051599999999997E-2</v>
      </c>
      <c r="AG347" s="1">
        <v>0.31258999999999998</v>
      </c>
      <c r="AH347" s="1">
        <v>7.6999999999999996E-4</v>
      </c>
      <c r="AI347" s="1">
        <v>-3.0945E-2</v>
      </c>
      <c r="AJ347" s="1">
        <v>0.19</v>
      </c>
      <c r="AK347" s="1">
        <v>4.1999999999999997E-3</v>
      </c>
      <c r="AL347" s="1">
        <v>8.1050000000000004</v>
      </c>
      <c r="AM347" s="1">
        <v>8.7999999999999995E-2</v>
      </c>
      <c r="AN347" s="1">
        <v>3484</v>
      </c>
      <c r="AO347" s="1">
        <v>26</v>
      </c>
      <c r="AP347" s="1">
        <v>3407</v>
      </c>
      <c r="AQ347" s="1">
        <v>69</v>
      </c>
      <c r="AR347" s="1">
        <v>3516</v>
      </c>
      <c r="AS347" s="1">
        <v>72</v>
      </c>
      <c r="AT347" s="1">
        <v>3533.7</v>
      </c>
      <c r="AU347" s="1">
        <v>3.8</v>
      </c>
      <c r="AV347" s="1">
        <v>33.56</v>
      </c>
      <c r="AW347" s="1">
        <v>0.63</v>
      </c>
      <c r="AX347" s="1">
        <v>5.8500000000000005</v>
      </c>
      <c r="AY347" s="1">
        <v>0.12000000000000001</v>
      </c>
      <c r="AZ347" s="1">
        <v>90045</v>
      </c>
      <c r="BA347" s="1">
        <v>1552.5</v>
      </c>
      <c r="BB347" s="1">
        <v>280940.40000000002</v>
      </c>
      <c r="BC347" s="1">
        <v>4471.2000000000007</v>
      </c>
      <c r="BD347" s="1">
        <v>909765</v>
      </c>
      <c r="BE347" s="1">
        <v>12420</v>
      </c>
      <c r="BF347" s="1">
        <v>18.9405</v>
      </c>
      <c r="BG347" s="1">
        <v>5.7131999999999996</v>
      </c>
      <c r="BH347" s="1">
        <f>BD347/BF347</f>
        <v>48032.7868852459</v>
      </c>
      <c r="BI347" s="1">
        <f>SQRT((BG347/BF347)^2+(BE347/BD347)^2)*BH347</f>
        <v>14503.409744867435</v>
      </c>
    </row>
    <row r="348" spans="1:61" x14ac:dyDescent="0.2">
      <c r="A348" t="s">
        <v>914</v>
      </c>
      <c r="B348" t="s">
        <v>38</v>
      </c>
      <c r="C348" t="s">
        <v>915</v>
      </c>
      <c r="D348" t="s">
        <v>916</v>
      </c>
      <c r="E348">
        <v>41446</v>
      </c>
      <c r="F348">
        <v>51240</v>
      </c>
      <c r="G348" t="s">
        <v>916</v>
      </c>
      <c r="H348" s="1">
        <v>175</v>
      </c>
      <c r="I348" s="1">
        <v>101.3</v>
      </c>
      <c r="J348" s="10">
        <v>30.41</v>
      </c>
      <c r="K348" s="10">
        <f ca="1">SQRT(K$2^2+(AA348/Z348)^2)*J348</f>
        <v>1.0533314957789879</v>
      </c>
      <c r="L348" s="7">
        <v>0.68899999999999995</v>
      </c>
      <c r="M348" s="7">
        <f ca="1">SQRT(M$2^2+(AC348/AB348)^2)*L348</f>
        <v>2.2669106731408716E-2</v>
      </c>
      <c r="N348" s="7">
        <v>0.99407000000000001</v>
      </c>
      <c r="O348" s="8">
        <v>1.451379</v>
      </c>
      <c r="P348" s="8">
        <f ca="1">SQRT(P$2^2+(AF348/AE348)^2)*O348</f>
        <v>4.7752487348791582E-2</v>
      </c>
      <c r="Q348" s="9">
        <v>0.31879999999999997</v>
      </c>
      <c r="R348" s="9">
        <f ca="1">SQRT(R$2^2+(AH348/AG348)^2)*Q348</f>
        <v>6.5071788049814632E-3</v>
      </c>
      <c r="S348" s="8">
        <f>(((BE348/BD348)^2+(AW348/AV348)^2)+((BE348/BD348)^2+(BC348/BB348)^2)-((BC348/BB348)^2+(AW348/AV348)^2))/(2*SQRT((BE348/BD348)^2+(AW348/AV348)^2)*SQRT((BE348/BD348)^2+(BC348/BB348)^2))</f>
        <v>0.38163138164412808</v>
      </c>
      <c r="T348" s="11">
        <v>0.19389999999999999</v>
      </c>
      <c r="U348" s="11">
        <f ca="1">SQRT(U$2^2+(AK348/AJ348)^2)*T348</f>
        <v>6.4069402993940875E-3</v>
      </c>
      <c r="V348" s="6" t="e">
        <f ca="1">IF(agePb6U8(1/O348)&lt;1400,age7corr(1/O348,Q348,$W$2),agePb76(Q348))</f>
        <v>#NAME?</v>
      </c>
      <c r="W348" s="6" t="e">
        <f ca="1">IF(agePb6U8(1/O348)&lt;1400,ageer7corr(V348,1/O348,P348/O348*(1/O348),Q348,R348,$W$2,0.05),ageerPb76(Q348,R348))</f>
        <v>#NAME?</v>
      </c>
      <c r="X348" s="4" t="e">
        <f ca="1">agePb6U8(L348)/agePb7u5(J348)</f>
        <v>#NAME?</v>
      </c>
      <c r="Z348" s="1">
        <v>30.41</v>
      </c>
      <c r="AA348" s="1">
        <v>0.86</v>
      </c>
      <c r="AB348" s="1">
        <v>0.68899999999999995</v>
      </c>
      <c r="AC348" s="1">
        <v>1.7999999999999999E-2</v>
      </c>
      <c r="AD348" s="1">
        <v>0.99407000000000001</v>
      </c>
      <c r="AE348" s="1">
        <v>1.451379</v>
      </c>
      <c r="AF348" s="1">
        <v>3.7917010000000001E-2</v>
      </c>
      <c r="AG348" s="1">
        <v>0.31879999999999997</v>
      </c>
      <c r="AH348" s="1">
        <v>1.2999999999999999E-3</v>
      </c>
      <c r="AI348" s="1">
        <v>-2.7115E-2</v>
      </c>
      <c r="AJ348" s="1">
        <v>0.19389999999999999</v>
      </c>
      <c r="AK348" s="1">
        <v>5.1000000000000004E-3</v>
      </c>
      <c r="AL348" s="1">
        <v>6.4539999999999997</v>
      </c>
      <c r="AM348" s="1">
        <v>2.3E-2</v>
      </c>
      <c r="AN348" s="1">
        <v>3504</v>
      </c>
      <c r="AO348" s="1">
        <v>26</v>
      </c>
      <c r="AP348" s="1">
        <v>3379</v>
      </c>
      <c r="AQ348" s="1">
        <v>69</v>
      </c>
      <c r="AR348" s="1">
        <v>3581</v>
      </c>
      <c r="AS348" s="1">
        <v>86</v>
      </c>
      <c r="AT348" s="1">
        <v>3563.8</v>
      </c>
      <c r="AU348" s="1">
        <v>6.2</v>
      </c>
      <c r="AV348" s="1">
        <v>37.6</v>
      </c>
      <c r="AW348" s="1">
        <v>1.5</v>
      </c>
      <c r="AX348" s="1">
        <v>7.95</v>
      </c>
      <c r="AY348" s="1">
        <v>0.12000000000000001</v>
      </c>
      <c r="AZ348" s="1">
        <v>126000.9</v>
      </c>
      <c r="BA348" s="1">
        <v>3229.2</v>
      </c>
      <c r="BB348" s="1">
        <v>317331</v>
      </c>
      <c r="BC348" s="1">
        <v>9315</v>
      </c>
      <c r="BD348" s="1">
        <v>1007261.9999999999</v>
      </c>
      <c r="BE348" s="1">
        <v>27324</v>
      </c>
      <c r="BF348" s="1">
        <v>9.9359999999999999</v>
      </c>
      <c r="BG348" s="1">
        <v>5.6510999999999996</v>
      </c>
      <c r="BH348" s="1">
        <f>BD348/BF348</f>
        <v>101374.99999999999</v>
      </c>
      <c r="BI348" s="1">
        <f>SQRT((BG348/BF348)^2+(BE348/BD348)^2)*BH348</f>
        <v>57722.575761685082</v>
      </c>
    </row>
    <row r="349" spans="1:61" x14ac:dyDescent="0.2">
      <c r="A349" t="s">
        <v>515</v>
      </c>
      <c r="B349" t="s">
        <v>38</v>
      </c>
      <c r="C349" t="s">
        <v>516</v>
      </c>
      <c r="D349" t="s">
        <v>517</v>
      </c>
      <c r="E349">
        <v>41105</v>
      </c>
      <c r="F349">
        <v>50610</v>
      </c>
      <c r="G349" t="s">
        <v>517</v>
      </c>
      <c r="H349" s="1">
        <v>116.9</v>
      </c>
      <c r="I349" s="1">
        <v>69.900000000000006</v>
      </c>
      <c r="J349" s="10">
        <v>30.05</v>
      </c>
      <c r="K349" s="10">
        <f ca="1">SQRT(K$2^2+(AA349/Z349)^2)*J349</f>
        <v>0.80796101391094366</v>
      </c>
      <c r="L349" s="7">
        <v>0.70299999999999996</v>
      </c>
      <c r="M349" s="7">
        <f ca="1">SQRT(M$2^2+(AC349/AB349)^2)*L349</f>
        <v>1.9148984307268101E-2</v>
      </c>
      <c r="N349" s="7">
        <v>0.99209000000000003</v>
      </c>
      <c r="O349" s="8">
        <v>1.4224749999999999</v>
      </c>
      <c r="P349" s="8">
        <f ca="1">SQRT(P$2^2+(AF349/AE349)^2)*O349</f>
        <v>3.8746731319759087E-2</v>
      </c>
      <c r="Q349" s="9">
        <v>0.31047000000000002</v>
      </c>
      <c r="R349" s="9">
        <f ca="1">SQRT(R$2^2+(AH349/AG349)^2)*Q349</f>
        <v>6.2176400957276393E-3</v>
      </c>
      <c r="S349" s="8">
        <f>(((BE349/BD349)^2+(AW349/AV349)^2)+((BE349/BD349)^2+(BC349/BB349)^2)-((BC349/BB349)^2+(AW349/AV349)^2))/(2*SQRT((BE349/BD349)^2+(AW349/AV349)^2)*SQRT((BE349/BD349)^2+(BC349/BB349)^2))</f>
        <v>0.4511560223706238</v>
      </c>
      <c r="T349" s="11">
        <v>0.1885</v>
      </c>
      <c r="U349" s="11">
        <f ca="1">SQRT(U$2^2+(AK349/AJ349)^2)*T349</f>
        <v>5.0767016851495225E-3</v>
      </c>
      <c r="V349" s="6" t="e">
        <f ca="1">IF(agePb6U8(1/O349)&lt;1400,age7corr(1/O349,Q349,$W$2),agePb76(Q349))</f>
        <v>#NAME?</v>
      </c>
      <c r="W349" s="6" t="e">
        <f ca="1">IF(agePb6U8(1/O349)&lt;1400,ageer7corr(V349,1/O349,P349/O349*(1/O349),Q349,R349,$W$2,0.05),ageerPb76(Q349,R349))</f>
        <v>#NAME?</v>
      </c>
      <c r="X349" s="4" t="e">
        <f ca="1">agePb6U8(L349)/agePb7u5(J349)</f>
        <v>#NAME?</v>
      </c>
      <c r="Z349" s="1">
        <v>30.05</v>
      </c>
      <c r="AA349" s="1">
        <v>0.54</v>
      </c>
      <c r="AB349" s="1">
        <v>0.70299999999999996</v>
      </c>
      <c r="AC349" s="1">
        <v>1.2999999999999999E-2</v>
      </c>
      <c r="AD349" s="1">
        <v>0.99209000000000003</v>
      </c>
      <c r="AE349" s="1">
        <v>1.4224749999999999</v>
      </c>
      <c r="AF349" s="1">
        <v>2.6304660000000001E-2</v>
      </c>
      <c r="AG349" s="1">
        <v>0.31047000000000002</v>
      </c>
      <c r="AH349" s="1">
        <v>3.2000000000000003E-4</v>
      </c>
      <c r="AI349" s="1">
        <v>0.41239999999999999</v>
      </c>
      <c r="AJ349" s="1">
        <v>0.1885</v>
      </c>
      <c r="AK349" s="1">
        <v>3.3999999999999998E-3</v>
      </c>
      <c r="AL349" s="1">
        <v>6.6040000000000001</v>
      </c>
      <c r="AM349" s="1">
        <v>1.2E-2</v>
      </c>
      <c r="AN349" s="1">
        <v>3488</v>
      </c>
      <c r="AO349" s="1">
        <v>18</v>
      </c>
      <c r="AP349" s="1">
        <v>3430</v>
      </c>
      <c r="AQ349" s="1">
        <v>49</v>
      </c>
      <c r="AR349" s="1">
        <v>3490</v>
      </c>
      <c r="AS349" s="1">
        <v>57</v>
      </c>
      <c r="AT349" s="1">
        <v>3523.2</v>
      </c>
      <c r="AU349" s="1">
        <v>1.6</v>
      </c>
      <c r="AV349" s="1">
        <v>25.45</v>
      </c>
      <c r="AW349" s="1">
        <v>0.47</v>
      </c>
      <c r="AX349" s="1">
        <v>5.5189999999999992</v>
      </c>
      <c r="AY349" s="1">
        <v>8.6000000000000007E-2</v>
      </c>
      <c r="AZ349" s="1">
        <v>84269.7</v>
      </c>
      <c r="BA349" s="1">
        <v>1242</v>
      </c>
      <c r="BB349" s="1">
        <v>214431.3</v>
      </c>
      <c r="BC349" s="1">
        <v>2794.5000000000005</v>
      </c>
      <c r="BD349" s="1">
        <v>696762</v>
      </c>
      <c r="BE349" s="1">
        <v>9936</v>
      </c>
      <c r="BF349" s="1">
        <v>31.05</v>
      </c>
      <c r="BG349" s="1">
        <v>8.0729999999999986</v>
      </c>
      <c r="BH349" s="1">
        <f>BD349/BF349</f>
        <v>22440</v>
      </c>
      <c r="BI349" s="1">
        <f>SQRT((BG349/BF349)^2+(BE349/BD349)^2)*BH349</f>
        <v>5843.1689484388517</v>
      </c>
    </row>
    <row r="350" spans="1:61" x14ac:dyDescent="0.2">
      <c r="X350" s="4"/>
    </row>
    <row r="351" spans="1:61" x14ac:dyDescent="0.2">
      <c r="X351" s="4"/>
    </row>
    <row r="352" spans="1:61" x14ac:dyDescent="0.2">
      <c r="A352" t="s">
        <v>482</v>
      </c>
      <c r="B352" t="s">
        <v>38</v>
      </c>
      <c r="C352" t="s">
        <v>483</v>
      </c>
      <c r="D352" t="s">
        <v>484</v>
      </c>
      <c r="E352">
        <v>38637</v>
      </c>
      <c r="F352">
        <v>44655</v>
      </c>
      <c r="G352" t="s">
        <v>484</v>
      </c>
      <c r="H352" s="1">
        <v>551</v>
      </c>
      <c r="I352" s="1">
        <v>57.2</v>
      </c>
      <c r="J352" s="10">
        <v>0.3836</v>
      </c>
      <c r="K352" s="10">
        <f t="shared" ref="K352:K365" ca="1" si="110">SQRT(K$2^2+(AA352/Z352)^2)*J352</f>
        <v>1.072891345850082E-2</v>
      </c>
      <c r="L352" s="7">
        <v>5.2499999999999998E-2</v>
      </c>
      <c r="M352" s="7">
        <f t="shared" ref="M352:M365" ca="1" si="111">SQRT(M$2^2+(AC352/AB352)^2)*L352</f>
        <v>1.5945218719101973E-3</v>
      </c>
      <c r="N352" s="7">
        <v>0.98692000000000002</v>
      </c>
      <c r="O352" s="8">
        <v>19.047619999999998</v>
      </c>
      <c r="P352" s="8">
        <f t="shared" ref="P352:P365" ca="1" si="112">SQRT(P$2^2+(AF352/AE352)^2)*O352</f>
        <v>0.57851131191755445</v>
      </c>
      <c r="Q352" s="9">
        <v>5.3030000000000001E-2</v>
      </c>
      <c r="R352" s="9">
        <f t="shared" ref="R352:R365" ca="1" si="113">SQRT(R$2^2+(AH352/AG352)^2)*Q352</f>
        <v>1.0896661690628009E-3</v>
      </c>
      <c r="S352" s="8">
        <f t="shared" ref="S352:S365" si="114">(((BE352/BD352)^2+(AW352/AV352)^2)+((BE352/BD352)^2+(BC352/BB352)^2)-((BC352/BB352)^2+(AW352/AV352)^2))/(2*SQRT((BE352/BD352)^2+(AW352/AV352)^2)*SQRT((BE352/BD352)^2+(BC352/BB352)^2))</f>
        <v>0.48436593245487153</v>
      </c>
      <c r="T352" s="11">
        <v>1.6369999999999999E-2</v>
      </c>
      <c r="U352" s="11">
        <f t="shared" ref="U352:U365" ca="1" si="115">SQRT(U$2^2+(AK352/AJ352)^2)*T352</f>
        <v>5.4045421637729867E-4</v>
      </c>
      <c r="V352" s="6" t="e">
        <f ca="1">IF(agePb6U8(1/O352)&lt;1400,age7corr(1/O352,Q352,$W$2),agePb76(Q352))</f>
        <v>#NAME?</v>
      </c>
      <c r="W352" s="6" t="e">
        <f ca="1">IF(agePb6U8(1/O352)&lt;1400,ageer7corr(V352,1/O352,P352/O352*(1/O352),Q352,R352,$W$2,0.05),ageerPb76(Q352,R352))</f>
        <v>#NAME?</v>
      </c>
      <c r="X352" s="4" t="e">
        <f ca="1">agePb6U8(L352)/agePb7u5(J352)</f>
        <v>#NAME?</v>
      </c>
      <c r="Z352" s="1">
        <v>0.3836</v>
      </c>
      <c r="AA352" s="1">
        <v>7.4999999999999997E-3</v>
      </c>
      <c r="AB352" s="1">
        <v>5.2499999999999998E-2</v>
      </c>
      <c r="AC352" s="1">
        <v>1.1999999999999999E-3</v>
      </c>
      <c r="AD352" s="1">
        <v>0.98692000000000002</v>
      </c>
      <c r="AE352" s="1">
        <v>19.047619999999998</v>
      </c>
      <c r="AF352" s="1">
        <v>0.43537409999999999</v>
      </c>
      <c r="AG352" s="1">
        <v>5.3030000000000001E-2</v>
      </c>
      <c r="AH352" s="1">
        <v>2.5000000000000001E-4</v>
      </c>
      <c r="AI352" s="1">
        <v>0.50822999999999996</v>
      </c>
      <c r="AJ352" s="1">
        <v>1.6369999999999999E-2</v>
      </c>
      <c r="AK352" s="1">
        <v>4.2999999999999999E-4</v>
      </c>
      <c r="AL352" s="1">
        <v>32.4</v>
      </c>
      <c r="AM352" s="1">
        <v>0.13</v>
      </c>
      <c r="AN352" s="1">
        <v>329.6</v>
      </c>
      <c r="AO352" s="1">
        <v>5.5</v>
      </c>
      <c r="AP352" s="1">
        <v>329.5</v>
      </c>
      <c r="AQ352" s="1">
        <v>7.2</v>
      </c>
      <c r="AR352" s="1">
        <v>328.1</v>
      </c>
      <c r="AS352" s="1">
        <v>8.5</v>
      </c>
      <c r="AT352" s="1">
        <v>330</v>
      </c>
      <c r="AU352" s="1">
        <v>11</v>
      </c>
      <c r="AV352" s="1">
        <v>120</v>
      </c>
      <c r="AW352" s="1">
        <v>2.2999999999999998</v>
      </c>
      <c r="AX352" s="1">
        <v>4.5199999999999996</v>
      </c>
      <c r="AY352" s="1">
        <v>0.11</v>
      </c>
      <c r="AZ352" s="1">
        <v>6042.33</v>
      </c>
      <c r="BA352" s="1">
        <v>124.2</v>
      </c>
      <c r="BB352" s="1">
        <v>12935.429999999998</v>
      </c>
      <c r="BC352" s="1">
        <v>198.71999999999997</v>
      </c>
      <c r="BD352" s="1">
        <v>244984.5</v>
      </c>
      <c r="BE352" s="1">
        <v>4098.6000000000004</v>
      </c>
      <c r="BF352" s="1">
        <v>31.05</v>
      </c>
      <c r="BG352" s="1">
        <v>6.8310000000000004</v>
      </c>
      <c r="BH352" s="1">
        <f t="shared" ref="BH352:BH365" si="116">BD352/BF352</f>
        <v>7890</v>
      </c>
      <c r="BI352" s="1">
        <f t="shared" ref="BI352:BI365" si="117">SQRT((BG352/BF352)^2+(BE352/BD352)^2)*BH352</f>
        <v>1740.8117761550213</v>
      </c>
    </row>
    <row r="353" spans="1:61" x14ac:dyDescent="0.2">
      <c r="A353" t="s">
        <v>446</v>
      </c>
      <c r="B353" t="s">
        <v>38</v>
      </c>
      <c r="C353" t="s">
        <v>447</v>
      </c>
      <c r="D353" t="s">
        <v>448</v>
      </c>
      <c r="E353">
        <v>39530</v>
      </c>
      <c r="F353">
        <v>44618</v>
      </c>
      <c r="G353" t="s">
        <v>448</v>
      </c>
      <c r="H353" s="1">
        <v>463.7</v>
      </c>
      <c r="I353" s="1">
        <v>91.3</v>
      </c>
      <c r="J353" s="10">
        <v>0.38569999999999999</v>
      </c>
      <c r="K353" s="10">
        <f t="shared" ca="1" si="110"/>
        <v>1.2006073296461254E-2</v>
      </c>
      <c r="L353" s="7">
        <v>5.2900000000000003E-2</v>
      </c>
      <c r="M353" s="7">
        <f t="shared" ca="1" si="111"/>
        <v>1.676115747793093E-3</v>
      </c>
      <c r="N353" s="7">
        <v>0.97870999999999997</v>
      </c>
      <c r="O353" s="8">
        <v>18.903590000000001</v>
      </c>
      <c r="P353" s="8">
        <f t="shared" ca="1" si="112"/>
        <v>0.59895285616272853</v>
      </c>
      <c r="Q353" s="9">
        <v>5.2900000000000003E-2</v>
      </c>
      <c r="R353" s="9">
        <f t="shared" ca="1" si="113"/>
        <v>1.0970250680818556E-3</v>
      </c>
      <c r="S353" s="8">
        <f t="shared" si="114"/>
        <v>0.47692653698720383</v>
      </c>
      <c r="T353" s="11">
        <v>1.6240000000000001E-2</v>
      </c>
      <c r="U353" s="11">
        <f t="shared" ca="1" si="115"/>
        <v>5.2306313194489245E-4</v>
      </c>
      <c r="V353" s="6" t="e">
        <f ca="1">IF(agePb6U8(1/O353)&lt;1400,age7corr(1/O353,Q353,$W$2),agePb76(Q353))</f>
        <v>#NAME?</v>
      </c>
      <c r="W353" s="6" t="e">
        <f ca="1">IF(agePb6U8(1/O353)&lt;1400,ageer7corr(V353,1/O353,P353/O353*(1/O353),Q353,R353,$W$2,0.05),ageerPb76(Q353,R353))</f>
        <v>#NAME?</v>
      </c>
      <c r="X353" s="4" t="e">
        <f ca="1">agePb6U8(L353)/agePb7u5(J353)</f>
        <v>#NAME?</v>
      </c>
      <c r="Z353" s="1">
        <v>0.38569999999999999</v>
      </c>
      <c r="AA353" s="1">
        <v>9.1999999999999998E-3</v>
      </c>
      <c r="AB353" s="1">
        <v>5.2900000000000003E-2</v>
      </c>
      <c r="AC353" s="1">
        <v>1.2999999999999999E-3</v>
      </c>
      <c r="AD353" s="1">
        <v>0.97870999999999997</v>
      </c>
      <c r="AE353" s="1">
        <v>18.903590000000001</v>
      </c>
      <c r="AF353" s="1">
        <v>0.4645495</v>
      </c>
      <c r="AG353" s="1">
        <v>5.2900000000000003E-2</v>
      </c>
      <c r="AH353" s="1">
        <v>2.9E-4</v>
      </c>
      <c r="AI353" s="1">
        <v>-1.2026999999999999E-2</v>
      </c>
      <c r="AJ353" s="1">
        <v>1.6240000000000001E-2</v>
      </c>
      <c r="AK353" s="1">
        <v>4.0999999999999999E-4</v>
      </c>
      <c r="AL353" s="1">
        <v>17.559999999999999</v>
      </c>
      <c r="AM353" s="1">
        <v>0.1</v>
      </c>
      <c r="AN353" s="1">
        <v>331.1</v>
      </c>
      <c r="AO353" s="1">
        <v>6.8</v>
      </c>
      <c r="AP353" s="1">
        <v>332.6</v>
      </c>
      <c r="AQ353" s="1">
        <v>8</v>
      </c>
      <c r="AR353" s="1">
        <v>325.60000000000002</v>
      </c>
      <c r="AS353" s="1">
        <v>8.1999999999999993</v>
      </c>
      <c r="AT353" s="1">
        <v>324</v>
      </c>
      <c r="AU353" s="1">
        <v>12</v>
      </c>
      <c r="AV353" s="1">
        <v>101.2</v>
      </c>
      <c r="AW353" s="1">
        <v>1.5</v>
      </c>
      <c r="AX353" s="1">
        <v>7.22</v>
      </c>
      <c r="AY353" s="1">
        <v>0.16</v>
      </c>
      <c r="AZ353" s="1">
        <v>9538.56</v>
      </c>
      <c r="BA353" s="1">
        <v>155.25</v>
      </c>
      <c r="BB353" s="1">
        <v>11060.009999999998</v>
      </c>
      <c r="BC353" s="1">
        <v>192.51</v>
      </c>
      <c r="BD353" s="1">
        <v>209898.00000000003</v>
      </c>
      <c r="BE353" s="1">
        <v>3229.2</v>
      </c>
      <c r="BF353" s="1">
        <v>37.26</v>
      </c>
      <c r="BG353" s="1">
        <v>8.0729999999999986</v>
      </c>
      <c r="BH353" s="1">
        <f t="shared" si="116"/>
        <v>5633.3333333333348</v>
      </c>
      <c r="BI353" s="1">
        <f t="shared" si="117"/>
        <v>1223.6286100400901</v>
      </c>
    </row>
    <row r="354" spans="1:61" x14ac:dyDescent="0.2">
      <c r="A354" t="s">
        <v>119</v>
      </c>
      <c r="B354" t="s">
        <v>38</v>
      </c>
      <c r="C354" t="s">
        <v>120</v>
      </c>
      <c r="D354" t="s">
        <v>121</v>
      </c>
      <c r="E354">
        <v>39220</v>
      </c>
      <c r="F354">
        <v>44790</v>
      </c>
      <c r="G354" t="s">
        <v>121</v>
      </c>
      <c r="H354" s="1">
        <v>407.6</v>
      </c>
      <c r="I354" s="1">
        <v>44.8</v>
      </c>
      <c r="J354" s="10">
        <v>0.39069999999999999</v>
      </c>
      <c r="K354" s="10">
        <f t="shared" ca="1" si="110"/>
        <v>1.1693955532667293E-2</v>
      </c>
      <c r="L354" s="7">
        <v>5.2600000000000001E-2</v>
      </c>
      <c r="M354" s="7">
        <f t="shared" ca="1" si="111"/>
        <v>1.5220722716086778E-3</v>
      </c>
      <c r="N354" s="7">
        <v>0.9153</v>
      </c>
      <c r="O354" s="8">
        <v>19.011410000000001</v>
      </c>
      <c r="P354" s="8">
        <f t="shared" ca="1" si="112"/>
        <v>0.55012805371917728</v>
      </c>
      <c r="Q354" s="9">
        <v>5.3379999999999997E-2</v>
      </c>
      <c r="R354" s="9">
        <f t="shared" ca="1" si="113"/>
        <v>1.1298981193010279E-3</v>
      </c>
      <c r="S354" s="8">
        <f t="shared" si="114"/>
        <v>0.56196083284428411</v>
      </c>
      <c r="T354" s="11">
        <v>1.7090000000000001E-2</v>
      </c>
      <c r="U354" s="11">
        <f t="shared" ca="1" si="115"/>
        <v>4.8921083389475339E-4</v>
      </c>
      <c r="V354" s="6" t="e">
        <f ca="1">IF(agePb6U8(1/O354)&lt;1400,age7corr(1/O354,Q354,$W$2),agePb76(Q354))</f>
        <v>#NAME?</v>
      </c>
      <c r="W354" s="6" t="e">
        <f ca="1">IF(agePb6U8(1/O354)&lt;1400,ageer7corr(V354,1/O354,P354/O354*(1/O354),Q354,R354,$W$2,0.05),ageerPb76(Q354,R354))</f>
        <v>#NAME?</v>
      </c>
      <c r="X354" s="4" t="e">
        <f ca="1">agePb6U8(L354)/agePb7u5(J354)</f>
        <v>#NAME?</v>
      </c>
      <c r="Z354" s="1">
        <v>0.39069999999999999</v>
      </c>
      <c r="AA354" s="1">
        <v>8.6999999999999994E-3</v>
      </c>
      <c r="AB354" s="1">
        <v>5.2600000000000001E-2</v>
      </c>
      <c r="AC354" s="1">
        <v>1.1000000000000001E-3</v>
      </c>
      <c r="AD354" s="1">
        <v>0.9153</v>
      </c>
      <c r="AE354" s="1">
        <v>19.011410000000001</v>
      </c>
      <c r="AF354" s="1">
        <v>0.39757690000000001</v>
      </c>
      <c r="AG354" s="1">
        <v>5.3379999999999997E-2</v>
      </c>
      <c r="AH354" s="1">
        <v>3.6999999999999999E-4</v>
      </c>
      <c r="AI354" s="1">
        <v>0.27800999999999998</v>
      </c>
      <c r="AJ354" s="1">
        <v>1.7090000000000001E-2</v>
      </c>
      <c r="AK354" s="1">
        <v>3.5E-4</v>
      </c>
      <c r="AL354" s="1">
        <v>31.09</v>
      </c>
      <c r="AM354" s="1">
        <v>0.28999999999999998</v>
      </c>
      <c r="AN354" s="1">
        <v>334.8</v>
      </c>
      <c r="AO354" s="1">
        <v>6.4</v>
      </c>
      <c r="AP354" s="1">
        <v>330.7</v>
      </c>
      <c r="AQ354" s="1">
        <v>6.9</v>
      </c>
      <c r="AR354" s="1">
        <v>342.4</v>
      </c>
      <c r="AS354" s="1">
        <v>7</v>
      </c>
      <c r="AT354" s="1">
        <v>349</v>
      </c>
      <c r="AU354" s="1">
        <v>17</v>
      </c>
      <c r="AV354" s="1">
        <v>89.899999999999991</v>
      </c>
      <c r="AW354" s="1">
        <v>1.2</v>
      </c>
      <c r="AX354" s="1">
        <v>3.5579999999999998</v>
      </c>
      <c r="AY354" s="1">
        <v>5.8999999999999997E-2</v>
      </c>
      <c r="AZ354" s="1">
        <v>4936.95</v>
      </c>
      <c r="BA354" s="1">
        <v>80.72999999999999</v>
      </c>
      <c r="BB354" s="1">
        <v>9886.3199999999979</v>
      </c>
      <c r="BC354" s="1">
        <v>155.25</v>
      </c>
      <c r="BD354" s="1">
        <v>184871.69999999998</v>
      </c>
      <c r="BE354" s="1">
        <v>3042.9</v>
      </c>
      <c r="BF354" s="1">
        <v>4.7196000000000007</v>
      </c>
      <c r="BG354" s="1">
        <v>5.9615999999999998</v>
      </c>
      <c r="BH354" s="1">
        <f t="shared" si="116"/>
        <v>39171.052631578939</v>
      </c>
      <c r="BI354" s="1">
        <f t="shared" si="117"/>
        <v>49483.424805872986</v>
      </c>
    </row>
    <row r="355" spans="1:61" x14ac:dyDescent="0.2">
      <c r="A355" t="s">
        <v>194</v>
      </c>
      <c r="B355" t="s">
        <v>38</v>
      </c>
      <c r="C355" t="s">
        <v>195</v>
      </c>
      <c r="D355" t="s">
        <v>196</v>
      </c>
      <c r="E355">
        <v>39094</v>
      </c>
      <c r="F355">
        <v>44757</v>
      </c>
      <c r="G355" t="s">
        <v>196</v>
      </c>
      <c r="H355" s="1">
        <v>436</v>
      </c>
      <c r="I355" s="1">
        <v>41.72</v>
      </c>
      <c r="J355" s="10">
        <v>0.38700000000000001</v>
      </c>
      <c r="K355" s="10">
        <f t="shared" ca="1" si="110"/>
        <v>1.2645457682504023E-2</v>
      </c>
      <c r="L355" s="7">
        <v>5.28E-2</v>
      </c>
      <c r="M355" s="7">
        <f t="shared" ca="1" si="111"/>
        <v>1.7536065693307609E-3</v>
      </c>
      <c r="N355" s="7">
        <v>0.97570999999999997</v>
      </c>
      <c r="O355" s="8">
        <v>18.93939</v>
      </c>
      <c r="P355" s="8">
        <f t="shared" ca="1" si="112"/>
        <v>0.62901975625066819</v>
      </c>
      <c r="Q355" s="9">
        <v>5.287E-2</v>
      </c>
      <c r="R355" s="9">
        <f t="shared" ca="1" si="113"/>
        <v>1.0938440291010415E-3</v>
      </c>
      <c r="S355" s="8">
        <f t="shared" si="114"/>
        <v>0.52280904235426695</v>
      </c>
      <c r="T355" s="11">
        <v>1.6879999999999999E-2</v>
      </c>
      <c r="U355" s="11">
        <f t="shared" ca="1" si="115"/>
        <v>5.2342502806037086E-4</v>
      </c>
      <c r="V355" s="6" t="e">
        <f ca="1">IF(agePb6U8(1/O355)&lt;1400,age7corr(1/O355,Q355,$W$2),agePb76(Q355))</f>
        <v>#NAME?</v>
      </c>
      <c r="W355" s="6" t="e">
        <f ca="1">IF(agePb6U8(1/O355)&lt;1400,ageer7corr(V355,1/O355,P355/O355*(1/O355),Q355,R355,$W$2,0.05),ageerPb76(Q355,R355))</f>
        <v>#NAME?</v>
      </c>
      <c r="X355" s="4" t="e">
        <f ca="1">agePb6U8(L355)/agePb7u5(J355)</f>
        <v>#NAME?</v>
      </c>
      <c r="Z355" s="1">
        <v>0.38700000000000001</v>
      </c>
      <c r="AA355" s="1">
        <v>0.01</v>
      </c>
      <c r="AB355" s="1">
        <v>5.28E-2</v>
      </c>
      <c r="AC355" s="1">
        <v>1.4E-3</v>
      </c>
      <c r="AD355" s="1">
        <v>0.97570999999999997</v>
      </c>
      <c r="AE355" s="1">
        <v>18.93939</v>
      </c>
      <c r="AF355" s="1">
        <v>0.50218090000000004</v>
      </c>
      <c r="AG355" s="1">
        <v>5.287E-2</v>
      </c>
      <c r="AH355" s="1">
        <v>2.7999999999999998E-4</v>
      </c>
      <c r="AI355" s="1">
        <v>0.25558999999999998</v>
      </c>
      <c r="AJ355" s="1">
        <v>1.6879999999999999E-2</v>
      </c>
      <c r="AK355" s="1">
        <v>4.0000000000000002E-4</v>
      </c>
      <c r="AL355" s="1">
        <v>36.03</v>
      </c>
      <c r="AM355" s="1">
        <v>0.43</v>
      </c>
      <c r="AN355" s="1">
        <v>331.9</v>
      </c>
      <c r="AO355" s="1">
        <v>7.3</v>
      </c>
      <c r="AP355" s="1">
        <v>331.9</v>
      </c>
      <c r="AQ355" s="1">
        <v>8.6999999999999993</v>
      </c>
      <c r="AR355" s="1">
        <v>338.3</v>
      </c>
      <c r="AS355" s="1">
        <v>7.9</v>
      </c>
      <c r="AT355" s="1">
        <v>323</v>
      </c>
      <c r="AU355" s="1">
        <v>12</v>
      </c>
      <c r="AV355" s="1">
        <v>95.9</v>
      </c>
      <c r="AW355" s="1">
        <v>1.7</v>
      </c>
      <c r="AX355" s="1">
        <v>3.31</v>
      </c>
      <c r="AY355" s="1">
        <v>7.5999999999999998E-2</v>
      </c>
      <c r="AZ355" s="1">
        <v>4514.67</v>
      </c>
      <c r="BA355" s="1">
        <v>68.31</v>
      </c>
      <c r="BB355" s="1">
        <v>10370.699999999999</v>
      </c>
      <c r="BC355" s="1">
        <v>161.45999999999998</v>
      </c>
      <c r="BD355" s="1">
        <v>195987.6</v>
      </c>
      <c r="BE355" s="1">
        <v>3415.5</v>
      </c>
      <c r="BF355" s="1">
        <v>12.419999999999998</v>
      </c>
      <c r="BG355" s="1">
        <v>6.2099999999999991</v>
      </c>
      <c r="BH355" s="1">
        <f t="shared" si="116"/>
        <v>15780.000000000004</v>
      </c>
      <c r="BI355" s="1">
        <f t="shared" si="117"/>
        <v>7894.7910042001758</v>
      </c>
    </row>
    <row r="356" spans="1:61" x14ac:dyDescent="0.2">
      <c r="A356" t="s">
        <v>266</v>
      </c>
      <c r="B356" t="s">
        <v>38</v>
      </c>
      <c r="C356" t="s">
        <v>267</v>
      </c>
      <c r="D356" t="s">
        <v>268</v>
      </c>
      <c r="E356">
        <v>39204</v>
      </c>
      <c r="F356">
        <v>44466</v>
      </c>
      <c r="G356" t="s">
        <v>268</v>
      </c>
      <c r="H356" s="1">
        <v>410</v>
      </c>
      <c r="I356" s="1">
        <v>39.32</v>
      </c>
      <c r="J356" s="10">
        <v>0.38009999999999999</v>
      </c>
      <c r="K356" s="10">
        <f t="shared" ca="1" si="110"/>
        <v>1.1255238957925328E-2</v>
      </c>
      <c r="L356" s="7">
        <v>5.2200000000000003E-2</v>
      </c>
      <c r="M356" s="7">
        <f t="shared" ca="1" si="111"/>
        <v>1.4456610944477964E-3</v>
      </c>
      <c r="N356" s="7">
        <v>0.92698000000000003</v>
      </c>
      <c r="O356" s="8">
        <v>19.15709</v>
      </c>
      <c r="P356" s="8">
        <f t="shared" ca="1" si="112"/>
        <v>0.53054899391407773</v>
      </c>
      <c r="Q356" s="9">
        <v>5.2470000000000003E-2</v>
      </c>
      <c r="R356" s="9">
        <f t="shared" ca="1" si="113"/>
        <v>1.126650061021611E-3</v>
      </c>
      <c r="S356" s="8">
        <f t="shared" si="114"/>
        <v>0.38243718875269833</v>
      </c>
      <c r="T356" s="11">
        <v>1.6119999999999999E-2</v>
      </c>
      <c r="U356" s="11">
        <f t="shared" ca="1" si="115"/>
        <v>4.9075631427420276E-4</v>
      </c>
      <c r="V356" s="6" t="e">
        <f ca="1">IF(agePb6U8(1/O356)&lt;1400,age7corr(1/O356,Q356,$W$2),agePb76(Q356))</f>
        <v>#NAME?</v>
      </c>
      <c r="W356" s="6" t="e">
        <f ca="1">IF(agePb6U8(1/O356)&lt;1400,ageer7corr(V356,1/O356,P356/O356*(1/O356),Q356,R356,$W$2,0.05),ageerPb76(Q356,R356))</f>
        <v>#NAME?</v>
      </c>
      <c r="X356" s="4" t="e">
        <f ca="1">agePb6U8(L356)/agePb7u5(J356)</f>
        <v>#NAME?</v>
      </c>
      <c r="Z356" s="1">
        <v>0.38009999999999999</v>
      </c>
      <c r="AA356" s="1">
        <v>8.3000000000000001E-3</v>
      </c>
      <c r="AB356" s="1">
        <v>5.2200000000000003E-2</v>
      </c>
      <c r="AC356" s="1">
        <v>1E-3</v>
      </c>
      <c r="AD356" s="1">
        <v>0.92698000000000003</v>
      </c>
      <c r="AE356" s="1">
        <v>19.15709</v>
      </c>
      <c r="AF356" s="1">
        <v>0.36699399999999999</v>
      </c>
      <c r="AG356" s="1">
        <v>5.2470000000000003E-2</v>
      </c>
      <c r="AH356" s="1">
        <v>4.0999999999999999E-4</v>
      </c>
      <c r="AI356" s="1">
        <v>0.12195</v>
      </c>
      <c r="AJ356" s="1">
        <v>1.6119999999999999E-2</v>
      </c>
      <c r="AK356" s="1">
        <v>3.6999999999999999E-4</v>
      </c>
      <c r="AL356" s="1">
        <v>35.97</v>
      </c>
      <c r="AM356" s="1">
        <v>0.3</v>
      </c>
      <c r="AN356" s="1">
        <v>327</v>
      </c>
      <c r="AO356" s="1">
        <v>6.1</v>
      </c>
      <c r="AP356" s="1">
        <v>327.9</v>
      </c>
      <c r="AQ356" s="1">
        <v>6.4</v>
      </c>
      <c r="AR356" s="1">
        <v>323.3</v>
      </c>
      <c r="AS356" s="1">
        <v>7.3</v>
      </c>
      <c r="AT356" s="1">
        <v>305</v>
      </c>
      <c r="AU356" s="1">
        <v>18</v>
      </c>
      <c r="AV356" s="1">
        <v>90</v>
      </c>
      <c r="AW356" s="1">
        <v>1.5</v>
      </c>
      <c r="AX356" s="1">
        <v>3.1159999999999997</v>
      </c>
      <c r="AY356" s="1">
        <v>6.0000000000000005E-2</v>
      </c>
      <c r="AZ356" s="1">
        <v>4129.6500000000005</v>
      </c>
      <c r="BA356" s="1">
        <v>80.72999999999999</v>
      </c>
      <c r="BB356" s="1">
        <v>9625.5</v>
      </c>
      <c r="BC356" s="1">
        <v>161.45999999999998</v>
      </c>
      <c r="BD356" s="1">
        <v>184064.4</v>
      </c>
      <c r="BE356" s="1">
        <v>2421.9</v>
      </c>
      <c r="BF356" s="1">
        <v>0.74519999999999997</v>
      </c>
      <c r="BG356" s="1">
        <v>5.8373999999999997</v>
      </c>
      <c r="BH356" s="1">
        <f t="shared" si="116"/>
        <v>247000</v>
      </c>
      <c r="BI356" s="1">
        <f t="shared" si="117"/>
        <v>1934836.0628946777</v>
      </c>
    </row>
    <row r="357" spans="1:61" x14ac:dyDescent="0.2">
      <c r="A357" t="s">
        <v>341</v>
      </c>
      <c r="B357" t="s">
        <v>38</v>
      </c>
      <c r="C357" t="s">
        <v>342</v>
      </c>
      <c r="D357" t="s">
        <v>343</v>
      </c>
      <c r="E357">
        <v>38994</v>
      </c>
      <c r="F357">
        <v>44793</v>
      </c>
      <c r="G357" t="s">
        <v>343</v>
      </c>
      <c r="H357" s="1">
        <v>494.8</v>
      </c>
      <c r="I357" s="1">
        <v>47.25</v>
      </c>
      <c r="J357" s="10">
        <v>0.38500000000000001</v>
      </c>
      <c r="K357" s="10">
        <f t="shared" ca="1" si="110"/>
        <v>1.4257980221616246E-2</v>
      </c>
      <c r="L357" s="7">
        <v>5.2499999999999998E-2</v>
      </c>
      <c r="M357" s="7">
        <f t="shared" ca="1" si="111"/>
        <v>1.913765920900464E-3</v>
      </c>
      <c r="N357" s="7">
        <v>0.98041999999999996</v>
      </c>
      <c r="O357" s="8">
        <v>19.047619999999998</v>
      </c>
      <c r="P357" s="8">
        <f t="shared" ca="1" si="112"/>
        <v>0.69433688074807753</v>
      </c>
      <c r="Q357" s="9">
        <v>5.321E-2</v>
      </c>
      <c r="R357" s="9">
        <f t="shared" ca="1" si="113"/>
        <v>1.111270282154616E-3</v>
      </c>
      <c r="S357" s="8">
        <f t="shared" si="114"/>
        <v>0.47492164372729301</v>
      </c>
      <c r="T357" s="11">
        <v>1.677E-2</v>
      </c>
      <c r="U357" s="11">
        <f t="shared" ca="1" si="115"/>
        <v>5.61242514426696E-4</v>
      </c>
      <c r="V357" s="6" t="e">
        <f ca="1">IF(agePb6U8(1/O357)&lt;1400,age7corr(1/O357,Q357,$W$2),agePb76(Q357))</f>
        <v>#NAME?</v>
      </c>
      <c r="W357" s="6" t="e">
        <f ca="1">IF(agePb6U8(1/O357)&lt;1400,ageer7corr(V357,1/O357,P357/O357*(1/O357),Q357,R357,$W$2,0.05),ageerPb76(Q357,R357))</f>
        <v>#NAME?</v>
      </c>
      <c r="X357" s="4" t="e">
        <f ca="1">agePb6U8(L357)/agePb7u5(J357)</f>
        <v>#NAME?</v>
      </c>
      <c r="Z357" s="1">
        <v>0.38500000000000001</v>
      </c>
      <c r="AA357" s="1">
        <v>1.2E-2</v>
      </c>
      <c r="AB357" s="1">
        <v>5.2499999999999998E-2</v>
      </c>
      <c r="AC357" s="1">
        <v>1.6000000000000001E-3</v>
      </c>
      <c r="AD357" s="1">
        <v>0.98041999999999996</v>
      </c>
      <c r="AE357" s="1">
        <v>19.047619999999998</v>
      </c>
      <c r="AF357" s="1">
        <v>0.58049890000000004</v>
      </c>
      <c r="AG357" s="1">
        <v>5.321E-2</v>
      </c>
      <c r="AH357" s="1">
        <v>3.2000000000000003E-4</v>
      </c>
      <c r="AI357" s="1">
        <v>6.1824999999999996E-3</v>
      </c>
      <c r="AJ357" s="1">
        <v>1.677E-2</v>
      </c>
      <c r="AK357" s="1">
        <v>4.4999999999999999E-4</v>
      </c>
      <c r="AL357" s="1">
        <v>35.9</v>
      </c>
      <c r="AM357" s="1">
        <v>0.28000000000000003</v>
      </c>
      <c r="AN357" s="1">
        <v>334.9</v>
      </c>
      <c r="AO357" s="1">
        <v>8.6999999999999993</v>
      </c>
      <c r="AP357" s="1">
        <v>332.4</v>
      </c>
      <c r="AQ357" s="1">
        <v>9</v>
      </c>
      <c r="AR357" s="1">
        <v>336.1</v>
      </c>
      <c r="AS357" s="1">
        <v>8.9</v>
      </c>
      <c r="AT357" s="1">
        <v>337</v>
      </c>
      <c r="AU357" s="1">
        <v>13</v>
      </c>
      <c r="AV357" s="1">
        <v>108.39999999999999</v>
      </c>
      <c r="AW357" s="1">
        <v>2.1</v>
      </c>
      <c r="AX357" s="1">
        <v>3.7399999999999998</v>
      </c>
      <c r="AY357" s="1">
        <v>6.9999999999999993E-2</v>
      </c>
      <c r="AZ357" s="1">
        <v>5054.9399999999996</v>
      </c>
      <c r="BA357" s="1">
        <v>86.94</v>
      </c>
      <c r="BB357" s="1">
        <v>11929.410000000002</v>
      </c>
      <c r="BC357" s="1">
        <v>204.93</v>
      </c>
      <c r="BD357" s="1">
        <v>225112.5</v>
      </c>
      <c r="BE357" s="1">
        <v>3912.3</v>
      </c>
      <c r="BF357" s="1">
        <v>-5.5889999999999995</v>
      </c>
      <c r="BG357" s="1">
        <v>5.9615999999999998</v>
      </c>
      <c r="BH357" s="1">
        <f t="shared" si="116"/>
        <v>-40277.777777777781</v>
      </c>
      <c r="BI357" s="1">
        <f t="shared" si="117"/>
        <v>-42968.665170760512</v>
      </c>
    </row>
    <row r="358" spans="1:61" x14ac:dyDescent="0.2">
      <c r="A358" t="s">
        <v>551</v>
      </c>
      <c r="B358" t="s">
        <v>38</v>
      </c>
      <c r="C358" t="s">
        <v>552</v>
      </c>
      <c r="D358" t="s">
        <v>553</v>
      </c>
      <c r="E358">
        <v>39132</v>
      </c>
      <c r="F358">
        <v>44758</v>
      </c>
      <c r="G358" t="s">
        <v>553</v>
      </c>
      <c r="H358" s="1">
        <v>416.9</v>
      </c>
      <c r="I358" s="1">
        <v>39.79</v>
      </c>
      <c r="J358" s="10">
        <v>0.38969999999999999</v>
      </c>
      <c r="K358" s="10">
        <f t="shared" ca="1" si="110"/>
        <v>1.1026623962029357E-2</v>
      </c>
      <c r="L358" s="7">
        <v>5.2900000000000003E-2</v>
      </c>
      <c r="M358" s="7">
        <f t="shared" ca="1" si="111"/>
        <v>1.5262254093023088E-3</v>
      </c>
      <c r="N358" s="7">
        <v>0.95982000000000001</v>
      </c>
      <c r="O358" s="8">
        <v>18.903590000000001</v>
      </c>
      <c r="P358" s="8">
        <f t="shared" ca="1" si="112"/>
        <v>0.54539021518487119</v>
      </c>
      <c r="Q358" s="9">
        <v>5.3690000000000002E-2</v>
      </c>
      <c r="R358" s="9">
        <f t="shared" ca="1" si="113"/>
        <v>1.1072246565173665E-3</v>
      </c>
      <c r="S358" s="8">
        <f t="shared" si="114"/>
        <v>0.42267544273310381</v>
      </c>
      <c r="T358" s="11">
        <v>1.661E-2</v>
      </c>
      <c r="U358" s="11">
        <f t="shared" ca="1" si="115"/>
        <v>4.4097260685897489E-4</v>
      </c>
      <c r="V358" s="6" t="e">
        <f ca="1">IF(agePb6U8(1/O358)&lt;1400,age7corr(1/O358,Q358,$W$2),agePb76(Q358))</f>
        <v>#NAME?</v>
      </c>
      <c r="W358" s="6" t="e">
        <f ca="1">IF(agePb6U8(1/O358)&lt;1400,ageer7corr(V358,1/O358,P358/O358*(1/O358),Q358,R358,$W$2,0.05),ageerPb76(Q358,R358))</f>
        <v>#NAME?</v>
      </c>
      <c r="X358" s="4" t="e">
        <f ca="1">agePb6U8(L358)/agePb7u5(J358)</f>
        <v>#NAME?</v>
      </c>
      <c r="Z358" s="1">
        <v>0.38969999999999999</v>
      </c>
      <c r="AA358" s="1">
        <v>7.7999999999999996E-3</v>
      </c>
      <c r="AB358" s="1">
        <v>5.2900000000000003E-2</v>
      </c>
      <c r="AC358" s="1">
        <v>1.1000000000000001E-3</v>
      </c>
      <c r="AD358" s="1">
        <v>0.95982000000000001</v>
      </c>
      <c r="AE358" s="1">
        <v>18.903590000000001</v>
      </c>
      <c r="AF358" s="1">
        <v>0.3930804</v>
      </c>
      <c r="AG358" s="1">
        <v>5.3690000000000002E-2</v>
      </c>
      <c r="AH358" s="1">
        <v>2.7E-4</v>
      </c>
      <c r="AI358" s="1">
        <v>0.14896999999999999</v>
      </c>
      <c r="AJ358" s="1">
        <v>1.661E-2</v>
      </c>
      <c r="AK358" s="1">
        <v>2.9E-4</v>
      </c>
      <c r="AL358" s="1">
        <v>35.36</v>
      </c>
      <c r="AM358" s="1">
        <v>0.34</v>
      </c>
      <c r="AN358" s="1">
        <v>334.1</v>
      </c>
      <c r="AO358" s="1">
        <v>5.7</v>
      </c>
      <c r="AP358" s="1">
        <v>332</v>
      </c>
      <c r="AQ358" s="1">
        <v>6.8</v>
      </c>
      <c r="AR358" s="1">
        <v>332.9</v>
      </c>
      <c r="AS358" s="1">
        <v>5.7</v>
      </c>
      <c r="AT358" s="1">
        <v>358</v>
      </c>
      <c r="AU358" s="1">
        <v>11</v>
      </c>
      <c r="AV358" s="1">
        <v>90.6</v>
      </c>
      <c r="AW358" s="1">
        <v>1.3</v>
      </c>
      <c r="AX358" s="1">
        <v>3.14</v>
      </c>
      <c r="AY358" s="1">
        <v>7.6999999999999999E-2</v>
      </c>
      <c r="AZ358" s="1">
        <v>4225.2840000000006</v>
      </c>
      <c r="BA358" s="1">
        <v>52.785000000000004</v>
      </c>
      <c r="BB358" s="1">
        <v>9998.1</v>
      </c>
      <c r="BC358" s="1">
        <v>111.78</v>
      </c>
      <c r="BD358" s="1">
        <v>187852.5</v>
      </c>
      <c r="BE358" s="1">
        <v>2049.3000000000002</v>
      </c>
      <c r="BF358" s="1">
        <v>6.4584000000000001</v>
      </c>
      <c r="BG358" s="1">
        <v>5.7752999999999997</v>
      </c>
      <c r="BH358" s="1">
        <f t="shared" si="116"/>
        <v>29086.538461538461</v>
      </c>
      <c r="BI358" s="1">
        <f t="shared" si="117"/>
        <v>26012.013074585786</v>
      </c>
    </row>
    <row r="359" spans="1:61" x14ac:dyDescent="0.2">
      <c r="A359" t="s">
        <v>623</v>
      </c>
      <c r="B359" t="s">
        <v>38</v>
      </c>
      <c r="C359" t="s">
        <v>624</v>
      </c>
      <c r="D359" t="s">
        <v>625</v>
      </c>
      <c r="E359">
        <v>39232</v>
      </c>
      <c r="F359">
        <v>44459</v>
      </c>
      <c r="G359" t="s">
        <v>625</v>
      </c>
      <c r="H359" s="1">
        <v>403.7</v>
      </c>
      <c r="I359" s="1">
        <v>40</v>
      </c>
      <c r="J359" s="10">
        <v>0.39079999999999998</v>
      </c>
      <c r="K359" s="10">
        <f t="shared" ca="1" si="110"/>
        <v>1.1920144965561449E-2</v>
      </c>
      <c r="L359" s="7">
        <v>5.3400000000000003E-2</v>
      </c>
      <c r="M359" s="7">
        <f t="shared" ca="1" si="111"/>
        <v>1.5331744845254894E-3</v>
      </c>
      <c r="N359" s="7">
        <v>0.93906000000000001</v>
      </c>
      <c r="O359" s="8">
        <v>18.726590000000002</v>
      </c>
      <c r="P359" s="8">
        <f t="shared" ca="1" si="112"/>
        <v>0.5376616625961721</v>
      </c>
      <c r="Q359" s="9">
        <v>5.3350000000000002E-2</v>
      </c>
      <c r="R359" s="9">
        <f t="shared" ca="1" si="113"/>
        <v>1.1395126151122681E-3</v>
      </c>
      <c r="S359" s="8">
        <f t="shared" si="114"/>
        <v>0.55628380142986611</v>
      </c>
      <c r="T359" s="11">
        <v>1.5740000000000001E-2</v>
      </c>
      <c r="U359" s="11">
        <f t="shared" ca="1" si="115"/>
        <v>5.656845764204642E-4</v>
      </c>
      <c r="V359" s="6" t="e">
        <f ca="1">IF(agePb6U8(1/O359)&lt;1400,age7corr(1/O359,Q359,$W$2),agePb76(Q359))</f>
        <v>#NAME?</v>
      </c>
      <c r="W359" s="6" t="e">
        <f ca="1">IF(agePb6U8(1/O359)&lt;1400,ageer7corr(V359,1/O359,P359/O359*(1/O359),Q359,R359,$W$2,0.05),ageerPb76(Q359,R359))</f>
        <v>#NAME?</v>
      </c>
      <c r="X359" s="4" t="e">
        <f ca="1">agePb6U8(L359)/agePb7u5(J359)</f>
        <v>#NAME?</v>
      </c>
      <c r="Z359" s="1">
        <v>0.39079999999999998</v>
      </c>
      <c r="AA359" s="1">
        <v>8.9999999999999993E-3</v>
      </c>
      <c r="AB359" s="1">
        <v>5.3400000000000003E-2</v>
      </c>
      <c r="AC359" s="1">
        <v>1.1000000000000001E-3</v>
      </c>
      <c r="AD359" s="1">
        <v>0.93906000000000001</v>
      </c>
      <c r="AE359" s="1">
        <v>18.726590000000002</v>
      </c>
      <c r="AF359" s="1">
        <v>0.38575379999999998</v>
      </c>
      <c r="AG359" s="1">
        <v>5.3350000000000002E-2</v>
      </c>
      <c r="AH359" s="1">
        <v>4.0000000000000002E-4</v>
      </c>
      <c r="AI359" s="1">
        <v>1.2135999999999999E-2</v>
      </c>
      <c r="AJ359" s="1">
        <v>1.5740000000000001E-2</v>
      </c>
      <c r="AK359" s="1">
        <v>4.6999999999999999E-4</v>
      </c>
      <c r="AL359" s="1">
        <v>36.06</v>
      </c>
      <c r="AM359" s="1">
        <v>0.32</v>
      </c>
      <c r="AN359" s="1">
        <v>334.8</v>
      </c>
      <c r="AO359" s="1">
        <v>6.5</v>
      </c>
      <c r="AP359" s="1">
        <v>335.2</v>
      </c>
      <c r="AQ359" s="1">
        <v>6.9</v>
      </c>
      <c r="AR359" s="1">
        <v>315.60000000000002</v>
      </c>
      <c r="AS359" s="1">
        <v>9.3000000000000007</v>
      </c>
      <c r="AT359" s="1">
        <v>343</v>
      </c>
      <c r="AU359" s="1">
        <v>17</v>
      </c>
      <c r="AV359" s="1">
        <v>87.56</v>
      </c>
      <c r="AW359" s="1">
        <v>0.99</v>
      </c>
      <c r="AX359" s="1">
        <v>3.1560000000000001</v>
      </c>
      <c r="AY359" s="1">
        <v>7.9000000000000001E-2</v>
      </c>
      <c r="AZ359" s="1">
        <v>3999.24</v>
      </c>
      <c r="BA359" s="1">
        <v>80.72999999999999</v>
      </c>
      <c r="BB359" s="1">
        <v>9495.09</v>
      </c>
      <c r="BC359" s="1">
        <v>161.45999999999998</v>
      </c>
      <c r="BD359" s="1">
        <v>179779.5</v>
      </c>
      <c r="BE359" s="1">
        <v>2856.6</v>
      </c>
      <c r="BF359" s="1">
        <v>8.569799999999999</v>
      </c>
      <c r="BG359" s="1">
        <v>5.5269000000000004</v>
      </c>
      <c r="BH359" s="1">
        <f t="shared" si="116"/>
        <v>20978.26086956522</v>
      </c>
      <c r="BI359" s="1">
        <f t="shared" si="117"/>
        <v>13533.563740221203</v>
      </c>
    </row>
    <row r="360" spans="1:61" x14ac:dyDescent="0.2">
      <c r="A360" t="s">
        <v>695</v>
      </c>
      <c r="B360" t="s">
        <v>38</v>
      </c>
      <c r="C360" t="s">
        <v>696</v>
      </c>
      <c r="D360" t="s">
        <v>697</v>
      </c>
      <c r="E360">
        <v>39031</v>
      </c>
      <c r="F360">
        <v>44793</v>
      </c>
      <c r="G360" t="s">
        <v>697</v>
      </c>
      <c r="H360" s="1">
        <v>479.4</v>
      </c>
      <c r="I360" s="1">
        <v>44.64</v>
      </c>
      <c r="J360" s="10">
        <v>0.39219999999999999</v>
      </c>
      <c r="K360" s="10">
        <f t="shared" ca="1" si="110"/>
        <v>1.20900097601284E-2</v>
      </c>
      <c r="L360" s="7">
        <v>5.28E-2</v>
      </c>
      <c r="M360" s="7">
        <f t="shared" ca="1" si="111"/>
        <v>1.5248396637023843E-3</v>
      </c>
      <c r="N360" s="7">
        <v>0.95620000000000005</v>
      </c>
      <c r="O360" s="8">
        <v>18.93939</v>
      </c>
      <c r="P360" s="8">
        <f t="shared" ca="1" si="112"/>
        <v>0.5469609078602693</v>
      </c>
      <c r="Q360" s="9">
        <v>5.3710000000000001E-2</v>
      </c>
      <c r="R360" s="9">
        <f t="shared" ca="1" si="113"/>
        <v>1.0945344398418902E-3</v>
      </c>
      <c r="S360" s="8">
        <f t="shared" si="114"/>
        <v>0.51789352482586726</v>
      </c>
      <c r="T360" s="11">
        <v>1.6670000000000001E-2</v>
      </c>
      <c r="U360" s="11">
        <f t="shared" ca="1" si="115"/>
        <v>4.6910079940243126E-4</v>
      </c>
      <c r="V360" s="6" t="e">
        <f ca="1">IF(agePb6U8(1/O360)&lt;1400,age7corr(1/O360,Q360,$W$2),agePb76(Q360))</f>
        <v>#NAME?</v>
      </c>
      <c r="W360" s="6" t="e">
        <f ca="1">IF(agePb6U8(1/O360)&lt;1400,ageer7corr(V360,1/O360,P360/O360*(1/O360),Q360,R360,$W$2,0.05),ageerPb76(Q360,R360))</f>
        <v>#NAME?</v>
      </c>
      <c r="X360" s="4" t="e">
        <f ca="1">agePb6U8(L360)/agePb7u5(J360)</f>
        <v>#NAME?</v>
      </c>
      <c r="Z360" s="1">
        <v>0.39219999999999999</v>
      </c>
      <c r="AA360" s="1">
        <v>9.1999999999999998E-3</v>
      </c>
      <c r="AB360" s="1">
        <v>5.28E-2</v>
      </c>
      <c r="AC360" s="1">
        <v>1.1000000000000001E-3</v>
      </c>
      <c r="AD360" s="1">
        <v>0.95620000000000005</v>
      </c>
      <c r="AE360" s="1">
        <v>18.93939</v>
      </c>
      <c r="AF360" s="1">
        <v>0.3945707</v>
      </c>
      <c r="AG360" s="1">
        <v>5.3710000000000001E-2</v>
      </c>
      <c r="AH360" s="1">
        <v>2.1000000000000001E-4</v>
      </c>
      <c r="AI360" s="1">
        <v>-8.6543999999999996E-3</v>
      </c>
      <c r="AJ360" s="1">
        <v>1.6670000000000001E-2</v>
      </c>
      <c r="AK360" s="1">
        <v>3.3E-4</v>
      </c>
      <c r="AL360" s="1">
        <v>36.35</v>
      </c>
      <c r="AM360" s="1">
        <v>0.25</v>
      </c>
      <c r="AN360" s="1">
        <v>335.8</v>
      </c>
      <c r="AO360" s="1">
        <v>6.7</v>
      </c>
      <c r="AP360" s="1">
        <v>331.7</v>
      </c>
      <c r="AQ360" s="1">
        <v>6.4</v>
      </c>
      <c r="AR360" s="1">
        <v>334.2</v>
      </c>
      <c r="AS360" s="1">
        <v>6.7</v>
      </c>
      <c r="AT360" s="1">
        <v>358.8</v>
      </c>
      <c r="AU360" s="1">
        <v>8.6999999999999993</v>
      </c>
      <c r="AV360" s="1">
        <v>103.7</v>
      </c>
      <c r="AW360" s="1">
        <v>1.5</v>
      </c>
      <c r="AX360" s="1">
        <v>3.5140000000000002</v>
      </c>
      <c r="AY360" s="1">
        <v>6.8999999999999992E-2</v>
      </c>
      <c r="AZ360" s="1">
        <v>4738.2299999999996</v>
      </c>
      <c r="BA360" s="1">
        <v>105.57000000000001</v>
      </c>
      <c r="BB360" s="1">
        <v>11476.08</v>
      </c>
      <c r="BC360" s="1">
        <v>186.3</v>
      </c>
      <c r="BD360" s="1">
        <v>214679.69999999998</v>
      </c>
      <c r="BE360" s="1">
        <v>3415.5</v>
      </c>
      <c r="BF360" s="1">
        <v>6.8310000000000004</v>
      </c>
      <c r="BG360" s="1">
        <v>7.4519999999999991</v>
      </c>
      <c r="BH360" s="1">
        <f t="shared" si="116"/>
        <v>31427.272727272724</v>
      </c>
      <c r="BI360" s="1">
        <f t="shared" si="117"/>
        <v>34287.943310808419</v>
      </c>
    </row>
    <row r="361" spans="1:61" x14ac:dyDescent="0.2">
      <c r="A361" t="s">
        <v>767</v>
      </c>
      <c r="B361" t="s">
        <v>38</v>
      </c>
      <c r="C361" t="s">
        <v>768</v>
      </c>
      <c r="D361" t="s">
        <v>769</v>
      </c>
      <c r="E361">
        <v>39169</v>
      </c>
      <c r="F361">
        <v>44758</v>
      </c>
      <c r="G361" t="s">
        <v>769</v>
      </c>
      <c r="H361" s="1">
        <v>415.2</v>
      </c>
      <c r="I361" s="1">
        <v>40.270000000000003</v>
      </c>
      <c r="J361" s="10">
        <v>0.38700000000000001</v>
      </c>
      <c r="K361" s="10">
        <f t="shared" ca="1" si="110"/>
        <v>1.427962184373242E-2</v>
      </c>
      <c r="L361" s="7">
        <v>5.2999999999999999E-2</v>
      </c>
      <c r="M361" s="7">
        <f t="shared" ca="1" si="111"/>
        <v>1.836736235827017E-3</v>
      </c>
      <c r="N361" s="7">
        <v>0.97258999999999995</v>
      </c>
      <c r="O361" s="8">
        <v>18.867920000000002</v>
      </c>
      <c r="P361" s="8">
        <f t="shared" ca="1" si="112"/>
        <v>0.65387546157886212</v>
      </c>
      <c r="Q361" s="9">
        <v>5.3179999999999998E-2</v>
      </c>
      <c r="R361" s="9">
        <f t="shared" ca="1" si="113"/>
        <v>1.1197075332424981E-3</v>
      </c>
      <c r="S361" s="8">
        <f t="shared" si="114"/>
        <v>0.43381274869544367</v>
      </c>
      <c r="T361" s="11">
        <v>1.651E-2</v>
      </c>
      <c r="U361" s="11">
        <f t="shared" ca="1" si="115"/>
        <v>5.1101080223416018E-4</v>
      </c>
      <c r="V361" s="6" t="e">
        <f ca="1">IF(agePb6U8(1/O361)&lt;1400,age7corr(1/O361,Q361,$W$2),agePb76(Q361))</f>
        <v>#NAME?</v>
      </c>
      <c r="W361" s="6" t="e">
        <f ca="1">IF(agePb6U8(1/O361)&lt;1400,ageer7corr(V361,1/O361,P361/O361*(1/O361),Q361,R361,$W$2,0.05),ageerPb76(Q361,R361))</f>
        <v>#NAME?</v>
      </c>
      <c r="X361" s="4" t="e">
        <f ca="1">agePb6U8(L361)/agePb7u5(J361)</f>
        <v>#NAME?</v>
      </c>
      <c r="Z361" s="1">
        <v>0.38700000000000001</v>
      </c>
      <c r="AA361" s="1">
        <v>1.2E-2</v>
      </c>
      <c r="AB361" s="1">
        <v>5.2999999999999999E-2</v>
      </c>
      <c r="AC361" s="1">
        <v>1.5E-3</v>
      </c>
      <c r="AD361" s="1">
        <v>0.97258999999999995</v>
      </c>
      <c r="AE361" s="1">
        <v>18.867920000000002</v>
      </c>
      <c r="AF361" s="1">
        <v>0.53399790000000003</v>
      </c>
      <c r="AG361" s="1">
        <v>5.3179999999999998E-2</v>
      </c>
      <c r="AH361" s="1">
        <v>3.5E-4</v>
      </c>
      <c r="AI361" s="1">
        <v>-0.34298000000000001</v>
      </c>
      <c r="AJ361" s="1">
        <v>1.651E-2</v>
      </c>
      <c r="AK361" s="1">
        <v>3.8999999999999999E-4</v>
      </c>
      <c r="AL361" s="1">
        <v>35.31</v>
      </c>
      <c r="AM361" s="1">
        <v>0.28999999999999998</v>
      </c>
      <c r="AN361" s="1">
        <v>331.8</v>
      </c>
      <c r="AO361" s="1">
        <v>9.1</v>
      </c>
      <c r="AP361" s="1">
        <v>332.7</v>
      </c>
      <c r="AQ361" s="1">
        <v>9.4</v>
      </c>
      <c r="AR361" s="1">
        <v>331</v>
      </c>
      <c r="AS361" s="1">
        <v>7.7</v>
      </c>
      <c r="AT361" s="1">
        <v>336</v>
      </c>
      <c r="AU361" s="1">
        <v>15</v>
      </c>
      <c r="AV361" s="1">
        <v>89.6</v>
      </c>
      <c r="AW361" s="1">
        <v>1.7</v>
      </c>
      <c r="AX361" s="1">
        <v>3.1670000000000003</v>
      </c>
      <c r="AY361" s="1">
        <v>5.8999999999999997E-2</v>
      </c>
      <c r="AZ361" s="1">
        <v>4247.6400000000003</v>
      </c>
      <c r="BA361" s="1">
        <v>74.52</v>
      </c>
      <c r="BB361" s="1">
        <v>9743.49</v>
      </c>
      <c r="BC361" s="1">
        <v>186.3</v>
      </c>
      <c r="BD361" s="1">
        <v>186237.9</v>
      </c>
      <c r="BE361" s="1">
        <v>3105</v>
      </c>
      <c r="BF361" s="1">
        <v>49.679999999999993</v>
      </c>
      <c r="BG361" s="1">
        <v>6.2099999999999991</v>
      </c>
      <c r="BH361" s="1">
        <f t="shared" si="116"/>
        <v>3748.7500000000005</v>
      </c>
      <c r="BI361" s="1">
        <f t="shared" si="117"/>
        <v>472.74343204222583</v>
      </c>
    </row>
    <row r="362" spans="1:61" x14ac:dyDescent="0.2">
      <c r="A362" t="s">
        <v>839</v>
      </c>
      <c r="B362" t="s">
        <v>38</v>
      </c>
      <c r="C362" t="s">
        <v>840</v>
      </c>
      <c r="D362" t="s">
        <v>841</v>
      </c>
      <c r="E362">
        <v>39272</v>
      </c>
      <c r="F362">
        <v>44459</v>
      </c>
      <c r="G362" t="s">
        <v>841</v>
      </c>
      <c r="H362" s="1">
        <v>390.2</v>
      </c>
      <c r="I362" s="1">
        <v>36.31</v>
      </c>
      <c r="J362" s="10">
        <v>0.3856</v>
      </c>
      <c r="K362" s="10">
        <f t="shared" ca="1" si="110"/>
        <v>1.2470563098753801E-2</v>
      </c>
      <c r="L362" s="7">
        <v>5.2600000000000001E-2</v>
      </c>
      <c r="M362" s="7">
        <f t="shared" ca="1" si="111"/>
        <v>1.5958395909363822E-3</v>
      </c>
      <c r="N362" s="7">
        <v>0.96101999999999999</v>
      </c>
      <c r="O362" s="8">
        <v>19.011410000000001</v>
      </c>
      <c r="P362" s="8">
        <f t="shared" ca="1" si="112"/>
        <v>0.57679006814206679</v>
      </c>
      <c r="Q362" s="9">
        <v>5.2970000000000003E-2</v>
      </c>
      <c r="R362" s="9">
        <f t="shared" ca="1" si="113"/>
        <v>1.1188960452159977E-3</v>
      </c>
      <c r="S362" s="8">
        <f t="shared" si="114"/>
        <v>0.3472519358306842</v>
      </c>
      <c r="T362" s="11">
        <v>1.6500000000000001E-2</v>
      </c>
      <c r="U362" s="11">
        <f t="shared" ca="1" si="115"/>
        <v>4.8836461788299122E-4</v>
      </c>
      <c r="V362" s="6" t="e">
        <f ca="1">IF(agePb6U8(1/O362)&lt;1400,age7corr(1/O362,Q362,$W$2),agePb76(Q362))</f>
        <v>#NAME?</v>
      </c>
      <c r="W362" s="6" t="e">
        <f ca="1">IF(agePb6U8(1/O362)&lt;1400,ageer7corr(V362,1/O362,P362/O362*(1/O362),Q362,R362,$W$2,0.05),ageerPb76(Q362,R362))</f>
        <v>#NAME?</v>
      </c>
      <c r="X362" s="4" t="e">
        <f ca="1">agePb6U8(L362)/agePb7u5(J362)</f>
        <v>#NAME?</v>
      </c>
      <c r="Z362" s="1">
        <v>0.3856</v>
      </c>
      <c r="AA362" s="1">
        <v>9.7999999999999997E-3</v>
      </c>
      <c r="AB362" s="1">
        <v>5.2600000000000001E-2</v>
      </c>
      <c r="AC362" s="1">
        <v>1.1999999999999999E-3</v>
      </c>
      <c r="AD362" s="1">
        <v>0.96101999999999999</v>
      </c>
      <c r="AE362" s="1">
        <v>19.011410000000001</v>
      </c>
      <c r="AF362" s="1">
        <v>0.4337203</v>
      </c>
      <c r="AG362" s="1">
        <v>5.2970000000000003E-2</v>
      </c>
      <c r="AH362" s="1">
        <v>3.6000000000000002E-4</v>
      </c>
      <c r="AI362" s="1">
        <v>-0.10706</v>
      </c>
      <c r="AJ362" s="1">
        <v>1.6500000000000001E-2</v>
      </c>
      <c r="AK362" s="1">
        <v>3.6000000000000002E-4</v>
      </c>
      <c r="AL362" s="1">
        <v>36.299999999999997</v>
      </c>
      <c r="AM362" s="1">
        <v>0.32</v>
      </c>
      <c r="AN362" s="1">
        <v>331</v>
      </c>
      <c r="AO362" s="1">
        <v>7.2</v>
      </c>
      <c r="AP362" s="1">
        <v>330.7</v>
      </c>
      <c r="AQ362" s="1">
        <v>7.4</v>
      </c>
      <c r="AR362" s="1">
        <v>330.8</v>
      </c>
      <c r="AS362" s="1">
        <v>7.3</v>
      </c>
      <c r="AT362" s="1">
        <v>327</v>
      </c>
      <c r="AU362" s="1">
        <v>16</v>
      </c>
      <c r="AV362" s="1">
        <v>84</v>
      </c>
      <c r="AW362" s="1">
        <v>1.2</v>
      </c>
      <c r="AX362" s="1">
        <v>2.8530000000000002</v>
      </c>
      <c r="AY362" s="1">
        <v>6.8999999999999992E-2</v>
      </c>
      <c r="AZ362" s="1">
        <v>3843.9900000000002</v>
      </c>
      <c r="BA362" s="1">
        <v>38.502000000000002</v>
      </c>
      <c r="BB362" s="1">
        <v>9072.8100000000013</v>
      </c>
      <c r="BC362" s="1">
        <v>111.78</v>
      </c>
      <c r="BD362" s="1">
        <v>172948.5</v>
      </c>
      <c r="BE362" s="1">
        <v>1676.7</v>
      </c>
      <c r="BF362" s="1">
        <v>6.2099999999999991</v>
      </c>
      <c r="BG362" s="1">
        <v>6.2099999999999991</v>
      </c>
      <c r="BH362" s="1">
        <f t="shared" si="116"/>
        <v>27850.000000000004</v>
      </c>
      <c r="BI362" s="1">
        <f t="shared" si="117"/>
        <v>27851.308766375776</v>
      </c>
    </row>
    <row r="363" spans="1:61" x14ac:dyDescent="0.2">
      <c r="A363" t="s">
        <v>911</v>
      </c>
      <c r="B363" t="s">
        <v>38</v>
      </c>
      <c r="C363" t="s">
        <v>912</v>
      </c>
      <c r="D363" t="s">
        <v>913</v>
      </c>
      <c r="E363">
        <v>39069</v>
      </c>
      <c r="F363">
        <v>44794</v>
      </c>
      <c r="G363" t="s">
        <v>913</v>
      </c>
      <c r="H363" s="1">
        <v>454.1</v>
      </c>
      <c r="I363" s="1">
        <v>43.8</v>
      </c>
      <c r="J363" s="10">
        <v>0.38679999999999998</v>
      </c>
      <c r="K363" s="10">
        <f t="shared" ca="1" si="110"/>
        <v>1.0705404990003881E-2</v>
      </c>
      <c r="L363" s="7">
        <v>5.2999999999999999E-2</v>
      </c>
      <c r="M363" s="7">
        <f t="shared" ca="1" si="111"/>
        <v>1.4572576985557495E-3</v>
      </c>
      <c r="N363" s="7">
        <v>0.97324999999999995</v>
      </c>
      <c r="O363" s="8">
        <v>18.867920000000002</v>
      </c>
      <c r="P363" s="8">
        <f t="shared" ca="1" si="112"/>
        <v>0.51878161614741136</v>
      </c>
      <c r="Q363" s="9">
        <v>5.3109999999999997E-2</v>
      </c>
      <c r="R363" s="9">
        <f t="shared" ca="1" si="113"/>
        <v>1.0959784851902888E-3</v>
      </c>
      <c r="S363" s="8">
        <f t="shared" si="114"/>
        <v>0.37353718880190334</v>
      </c>
      <c r="T363" s="11">
        <v>1.6299999999999999E-2</v>
      </c>
      <c r="U363" s="11">
        <f t="shared" ca="1" si="115"/>
        <v>5.5567616468587167E-4</v>
      </c>
      <c r="V363" s="6" t="e">
        <f ca="1">IF(agePb6U8(1/O363)&lt;1400,age7corr(1/O363,Q363,$W$2),agePb76(Q363))</f>
        <v>#NAME?</v>
      </c>
      <c r="W363" s="6" t="e">
        <f ca="1">IF(agePb6U8(1/O363)&lt;1400,ageer7corr(V363,1/O363,P363/O363*(1/O363),Q363,R363,$W$2,0.05),ageerPb76(Q363,R363))</f>
        <v>#NAME?</v>
      </c>
      <c r="X363" s="4" t="e">
        <f ca="1">agePb6U8(L363)/agePb7u5(J363)</f>
        <v>#NAME?</v>
      </c>
      <c r="Z363" s="1">
        <v>0.38679999999999998</v>
      </c>
      <c r="AA363" s="1">
        <v>7.4000000000000003E-3</v>
      </c>
      <c r="AB363" s="1">
        <v>5.2999999999999999E-2</v>
      </c>
      <c r="AC363" s="1">
        <v>1E-3</v>
      </c>
      <c r="AD363" s="1">
        <v>0.97324999999999995</v>
      </c>
      <c r="AE363" s="1">
        <v>18.867920000000002</v>
      </c>
      <c r="AF363" s="1">
        <v>0.3559986</v>
      </c>
      <c r="AG363" s="1">
        <v>5.3109999999999997E-2</v>
      </c>
      <c r="AH363" s="1">
        <v>2.7E-4</v>
      </c>
      <c r="AI363" s="1">
        <v>8.8799000000000003E-2</v>
      </c>
      <c r="AJ363" s="1">
        <v>1.6299999999999999E-2</v>
      </c>
      <c r="AK363" s="1">
        <v>4.4999999999999999E-4</v>
      </c>
      <c r="AL363" s="1">
        <v>36.19</v>
      </c>
      <c r="AM363" s="1">
        <v>0.24</v>
      </c>
      <c r="AN363" s="1">
        <v>331.9</v>
      </c>
      <c r="AO363" s="1">
        <v>5.4</v>
      </c>
      <c r="AP363" s="1">
        <v>332.7</v>
      </c>
      <c r="AQ363" s="1">
        <v>6.1</v>
      </c>
      <c r="AR363" s="1">
        <v>326.89999999999998</v>
      </c>
      <c r="AS363" s="1">
        <v>8.9</v>
      </c>
      <c r="AT363" s="1">
        <v>333</v>
      </c>
      <c r="AU363" s="1">
        <v>12</v>
      </c>
      <c r="AV363" s="1">
        <v>97.5</v>
      </c>
      <c r="AW363" s="1">
        <v>1.5</v>
      </c>
      <c r="AX363" s="1">
        <v>3.4299999999999997</v>
      </c>
      <c r="AY363" s="1">
        <v>0.1</v>
      </c>
      <c r="AZ363" s="1">
        <v>4519.6380000000008</v>
      </c>
      <c r="BA363" s="1">
        <v>58.994999999999997</v>
      </c>
      <c r="BB363" s="1">
        <v>10594.26</v>
      </c>
      <c r="BC363" s="1">
        <v>124.2</v>
      </c>
      <c r="BD363" s="1">
        <v>202197.6</v>
      </c>
      <c r="BE363" s="1">
        <v>2111.4</v>
      </c>
      <c r="BF363" s="1">
        <v>8.0729999999999986</v>
      </c>
      <c r="BG363" s="1">
        <v>6.2099999999999991</v>
      </c>
      <c r="BH363" s="1">
        <f t="shared" si="116"/>
        <v>25046.153846153851</v>
      </c>
      <c r="BI363" s="1">
        <f t="shared" si="117"/>
        <v>19268.047291849562</v>
      </c>
    </row>
    <row r="364" spans="1:61" x14ac:dyDescent="0.2">
      <c r="A364" t="s">
        <v>983</v>
      </c>
      <c r="B364" t="s">
        <v>38</v>
      </c>
      <c r="C364" t="s">
        <v>984</v>
      </c>
      <c r="D364" t="s">
        <v>985</v>
      </c>
      <c r="E364">
        <v>39206</v>
      </c>
      <c r="F364">
        <v>44758</v>
      </c>
      <c r="G364" t="s">
        <v>985</v>
      </c>
      <c r="H364" s="1">
        <v>413.6</v>
      </c>
      <c r="I364" s="1">
        <v>42.49</v>
      </c>
      <c r="J364" s="10">
        <v>0.38440000000000002</v>
      </c>
      <c r="K364" s="10">
        <f t="shared" ca="1" si="110"/>
        <v>1.0740360515364464E-2</v>
      </c>
      <c r="L364" s="7">
        <v>5.2600000000000001E-2</v>
      </c>
      <c r="M364" s="7">
        <f t="shared" ca="1" si="111"/>
        <v>1.5220722716086778E-3</v>
      </c>
      <c r="N364" s="7">
        <v>0.94115000000000004</v>
      </c>
      <c r="O364" s="8">
        <v>19.011410000000001</v>
      </c>
      <c r="P364" s="8">
        <f t="shared" ca="1" si="112"/>
        <v>0.55012805371917728</v>
      </c>
      <c r="Q364" s="9">
        <v>5.3240000000000003E-2</v>
      </c>
      <c r="R364" s="9">
        <f t="shared" ca="1" si="113"/>
        <v>1.141007905318802E-3</v>
      </c>
      <c r="S364" s="8">
        <f t="shared" si="114"/>
        <v>0.43977185674577318</v>
      </c>
      <c r="T364" s="11">
        <v>1.6650000000000002E-2</v>
      </c>
      <c r="U364" s="11">
        <f t="shared" ca="1" si="115"/>
        <v>4.7590860467110701E-4</v>
      </c>
      <c r="V364" s="6" t="e">
        <f ca="1">IF(agePb6U8(1/O364)&lt;1400,age7corr(1/O364,Q364,$W$2),agePb76(Q364))</f>
        <v>#NAME?</v>
      </c>
      <c r="W364" s="6" t="e">
        <f ca="1">IF(agePb6U8(1/O364)&lt;1400,ageer7corr(V364,1/O364,P364/O364*(1/O364),Q364,R364,$W$2,0.05),ageerPb76(Q364,R364))</f>
        <v>#NAME?</v>
      </c>
      <c r="X364" s="4" t="e">
        <f ca="1">agePb6U8(L364)/agePb7u5(J364)</f>
        <v>#NAME?</v>
      </c>
      <c r="Z364" s="1">
        <v>0.38440000000000002</v>
      </c>
      <c r="AA364" s="1">
        <v>7.4999999999999997E-3</v>
      </c>
      <c r="AB364" s="1">
        <v>5.2600000000000001E-2</v>
      </c>
      <c r="AC364" s="1">
        <v>1.1000000000000001E-3</v>
      </c>
      <c r="AD364" s="1">
        <v>0.94115000000000004</v>
      </c>
      <c r="AE364" s="1">
        <v>19.011410000000001</v>
      </c>
      <c r="AF364" s="1">
        <v>0.39757690000000001</v>
      </c>
      <c r="AG364" s="1">
        <v>5.3240000000000003E-2</v>
      </c>
      <c r="AH364" s="1">
        <v>4.0999999999999999E-4</v>
      </c>
      <c r="AI364" s="1">
        <v>0.18254999999999999</v>
      </c>
      <c r="AJ364" s="1">
        <v>1.6650000000000002E-2</v>
      </c>
      <c r="AK364" s="1">
        <v>3.4000000000000002E-4</v>
      </c>
      <c r="AL364" s="1">
        <v>33.15</v>
      </c>
      <c r="AM364" s="1">
        <v>0.36</v>
      </c>
      <c r="AN364" s="1">
        <v>330.2</v>
      </c>
      <c r="AO364" s="1">
        <v>5.5</v>
      </c>
      <c r="AP364" s="1">
        <v>330.4</v>
      </c>
      <c r="AQ364" s="1">
        <v>6.5</v>
      </c>
      <c r="AR364" s="1">
        <v>333.8</v>
      </c>
      <c r="AS364" s="1">
        <v>6.8</v>
      </c>
      <c r="AT364" s="1">
        <v>339</v>
      </c>
      <c r="AU364" s="1">
        <v>17</v>
      </c>
      <c r="AV364" s="1">
        <v>88.6</v>
      </c>
      <c r="AW364" s="1">
        <v>1.4</v>
      </c>
      <c r="AX364" s="1">
        <v>3.33</v>
      </c>
      <c r="AY364" s="1">
        <v>7.4999999999999997E-2</v>
      </c>
      <c r="AZ364" s="1">
        <v>4514.67</v>
      </c>
      <c r="BA364" s="1">
        <v>80.72999999999999</v>
      </c>
      <c r="BB364" s="1">
        <v>9668.9699999999993</v>
      </c>
      <c r="BC364" s="1">
        <v>155.25</v>
      </c>
      <c r="BD364" s="1">
        <v>184809.60000000001</v>
      </c>
      <c r="BE364" s="1">
        <v>2608.1999999999998</v>
      </c>
      <c r="BF364" s="1">
        <v>6.2099999999999991</v>
      </c>
      <c r="BG364" s="1">
        <v>6.1478999999999999</v>
      </c>
      <c r="BH364" s="1">
        <f t="shared" si="116"/>
        <v>29760.000000000004</v>
      </c>
      <c r="BI364" s="1">
        <f t="shared" si="117"/>
        <v>29465.393494063512</v>
      </c>
    </row>
    <row r="365" spans="1:61" x14ac:dyDescent="0.2">
      <c r="A365" t="s">
        <v>1055</v>
      </c>
      <c r="B365" t="s">
        <v>38</v>
      </c>
      <c r="C365" t="s">
        <v>1056</v>
      </c>
      <c r="D365" t="s">
        <v>1057</v>
      </c>
      <c r="E365">
        <v>39173</v>
      </c>
      <c r="F365">
        <v>44361</v>
      </c>
      <c r="G365" t="s">
        <v>1057</v>
      </c>
      <c r="H365" s="1">
        <v>466.8</v>
      </c>
      <c r="I365" s="1">
        <v>44.7</v>
      </c>
      <c r="J365" s="10">
        <v>0.378</v>
      </c>
      <c r="K365" s="10">
        <f t="shared" ca="1" si="110"/>
        <v>1.4182862898582923E-2</v>
      </c>
      <c r="L365" s="7">
        <v>5.21E-2</v>
      </c>
      <c r="M365" s="7">
        <f t="shared" ca="1" si="111"/>
        <v>1.74521173500524E-3</v>
      </c>
      <c r="N365" s="7">
        <v>0.97087999999999997</v>
      </c>
      <c r="O365" s="8">
        <v>19.193860000000001</v>
      </c>
      <c r="P365" s="8">
        <f t="shared" ca="1" si="112"/>
        <v>0.64294336319978451</v>
      </c>
      <c r="Q365" s="9">
        <v>5.3019999999999998E-2</v>
      </c>
      <c r="R365" s="9">
        <f t="shared" ca="1" si="113"/>
        <v>1.1047842142246601E-3</v>
      </c>
      <c r="S365" s="8">
        <f t="shared" si="114"/>
        <v>0.40554828927370967</v>
      </c>
      <c r="T365" s="11">
        <v>1.5879999999999998E-2</v>
      </c>
      <c r="U365" s="11">
        <f t="shared" ca="1" si="115"/>
        <v>6.0080758983221906E-4</v>
      </c>
      <c r="V365" s="6" t="e">
        <f ca="1">IF(agePb6U8(1/O365)&lt;1400,age7corr(1/O365,Q365,$W$2),agePb76(Q365))</f>
        <v>#NAME?</v>
      </c>
      <c r="W365" s="6" t="e">
        <f ca="1">IF(agePb6U8(1/O365)&lt;1400,ageer7corr(V365,1/O365,P365/O365*(1/O365),Q365,R365,$W$2,0.05),ageerPb76(Q365,R365))</f>
        <v>#NAME?</v>
      </c>
      <c r="X365" s="4" t="e">
        <f ca="1">agePb6U8(L365)/agePb7u5(J365)</f>
        <v>#NAME?</v>
      </c>
      <c r="Z365" s="1">
        <v>0.378</v>
      </c>
      <c r="AA365" s="1">
        <v>1.2E-2</v>
      </c>
      <c r="AB365" s="1">
        <v>5.21E-2</v>
      </c>
      <c r="AC365" s="1">
        <v>1.4E-3</v>
      </c>
      <c r="AD365" s="1">
        <v>0.97087999999999997</v>
      </c>
      <c r="AE365" s="1">
        <v>19.193860000000001</v>
      </c>
      <c r="AF365" s="1">
        <v>0.5157659</v>
      </c>
      <c r="AG365" s="1">
        <v>5.3019999999999998E-2</v>
      </c>
      <c r="AH365" s="1">
        <v>3.1E-4</v>
      </c>
      <c r="AI365" s="1">
        <v>-6.7752999999999997E-3</v>
      </c>
      <c r="AJ365" s="1">
        <v>1.5879999999999998E-2</v>
      </c>
      <c r="AK365" s="1">
        <v>5.1000000000000004E-4</v>
      </c>
      <c r="AL365" s="1">
        <v>36.06</v>
      </c>
      <c r="AM365" s="1">
        <v>0.3</v>
      </c>
      <c r="AN365" s="1">
        <v>325.3</v>
      </c>
      <c r="AO365" s="1">
        <v>8.5</v>
      </c>
      <c r="AP365" s="1">
        <v>327.5</v>
      </c>
      <c r="AQ365" s="1">
        <v>8.6999999999999993</v>
      </c>
      <c r="AR365" s="1">
        <v>318</v>
      </c>
      <c r="AS365" s="1">
        <v>10</v>
      </c>
      <c r="AT365" s="1">
        <v>330</v>
      </c>
      <c r="AU365" s="1">
        <v>13</v>
      </c>
      <c r="AV365" s="1">
        <v>99.7</v>
      </c>
      <c r="AW365" s="1">
        <v>2.1</v>
      </c>
      <c r="AX365" s="1">
        <v>3.5</v>
      </c>
      <c r="AY365" s="1">
        <v>6.0999999999999999E-2</v>
      </c>
      <c r="AZ365" s="1">
        <v>4496.04</v>
      </c>
      <c r="BA365" s="1">
        <v>99.359999999999985</v>
      </c>
      <c r="BB365" s="1">
        <v>10693.62</v>
      </c>
      <c r="BC365" s="1">
        <v>192.51</v>
      </c>
      <c r="BD365" s="1">
        <v>204122.69999999998</v>
      </c>
      <c r="BE365" s="1">
        <v>3291.2999999999997</v>
      </c>
      <c r="BF365" s="1">
        <v>3.6017999999999999</v>
      </c>
      <c r="BG365" s="1">
        <v>5.8995000000000006</v>
      </c>
      <c r="BH365" s="1">
        <f t="shared" si="116"/>
        <v>56672.413793103442</v>
      </c>
      <c r="BI365" s="1">
        <f t="shared" si="117"/>
        <v>92830.003024142352</v>
      </c>
    </row>
    <row r="366" spans="1:61" x14ac:dyDescent="0.2">
      <c r="X366" s="4"/>
    </row>
    <row r="367" spans="1:61" x14ac:dyDescent="0.2">
      <c r="X367" s="4"/>
    </row>
    <row r="368" spans="1:61" x14ac:dyDescent="0.2">
      <c r="A368" t="s">
        <v>263</v>
      </c>
      <c r="B368" t="s">
        <v>38</v>
      </c>
      <c r="C368" t="s">
        <v>264</v>
      </c>
      <c r="D368" t="s">
        <v>265</v>
      </c>
      <c r="E368">
        <v>45432</v>
      </c>
      <c r="F368">
        <v>45805</v>
      </c>
      <c r="G368" t="s">
        <v>265</v>
      </c>
      <c r="H368" s="1">
        <v>77.8</v>
      </c>
      <c r="I368" s="1">
        <v>35.17</v>
      </c>
      <c r="J368" s="10">
        <v>0.498</v>
      </c>
      <c r="K368" s="10">
        <f ca="1">SQRT(K$2^2+(AA368/Z368)^2)*J368</f>
        <v>1.4839191352631044E-2</v>
      </c>
      <c r="L368" s="7">
        <v>6.6799999999999998E-2</v>
      </c>
      <c r="M368" s="7">
        <f ca="1">SQRT(M$2^2+(AC368/AB368)^2)*L368</f>
        <v>1.9351733772455632E-3</v>
      </c>
      <c r="N368" s="7">
        <v>0.79630000000000001</v>
      </c>
      <c r="O368" s="8">
        <v>14.97006</v>
      </c>
      <c r="P368" s="8">
        <f ca="1">SQRT(P$2^2+(AF368/AE368)^2)*O368</f>
        <v>0.43367758830712022</v>
      </c>
      <c r="Q368" s="9">
        <v>5.4530000000000002E-2</v>
      </c>
      <c r="R368" s="9">
        <f ca="1">SQRT(R$2^2+(AH368/AG368)^2)*Q368</f>
        <v>1.2447523287787013E-3</v>
      </c>
      <c r="S368" s="8">
        <f>(((BE368/BD368)^2+(AW368/AV368)^2)+((BE368/BD368)^2+(BC368/BB368)^2)-((BC368/BB368)^2+(AW368/AV368)^2))/(2*SQRT((BE368/BD368)^2+(AW368/AV368)^2)*SQRT((BE368/BD368)^2+(BC368/BB368)^2))</f>
        <v>0.54437635784927729</v>
      </c>
      <c r="T368" s="11">
        <v>2.213E-2</v>
      </c>
      <c r="U368" s="11">
        <f ca="1">SQRT(U$2^2+(AK368/AJ368)^2)*T368</f>
        <v>6.4559643741272292E-4</v>
      </c>
      <c r="V368" s="6" t="e">
        <f ca="1">IF(agePb6U8(1/O368)&lt;1400,age7corr(1/O368,Q368,$W$2),agePb76(Q368))</f>
        <v>#NAME?</v>
      </c>
      <c r="W368" s="6" t="e">
        <f ca="1">IF(agePb6U8(1/O368)&lt;1400,ageer7corr(V368,1/O368,P368/O368*(1/O368),Q368,R368,$W$2,0.05),ageerPb76(Q368,R368))</f>
        <v>#NAME?</v>
      </c>
      <c r="X368" s="4" t="e">
        <f ca="1">agePb6U8(L368)/agePb7u5(J368)</f>
        <v>#NAME?</v>
      </c>
      <c r="Z368" s="1">
        <v>0.498</v>
      </c>
      <c r="AA368" s="1">
        <v>1.0999999999999999E-2</v>
      </c>
      <c r="AB368" s="1">
        <v>6.6799999999999998E-2</v>
      </c>
      <c r="AC368" s="1">
        <v>1.4E-3</v>
      </c>
      <c r="AD368" s="1">
        <v>0.79630000000000001</v>
      </c>
      <c r="AE368" s="1">
        <v>14.97006</v>
      </c>
      <c r="AF368" s="1">
        <v>0.31374380000000002</v>
      </c>
      <c r="AG368" s="1">
        <v>5.4530000000000002E-2</v>
      </c>
      <c r="AH368" s="1">
        <v>5.9999999999999995E-4</v>
      </c>
      <c r="AI368" s="1">
        <v>0.26679000000000003</v>
      </c>
      <c r="AJ368" s="1">
        <v>2.213E-2</v>
      </c>
      <c r="AK368" s="1">
        <v>4.6999999999999999E-4</v>
      </c>
      <c r="AL368" s="1">
        <v>7.1059999999999999</v>
      </c>
      <c r="AM368" s="1">
        <v>5.8999999999999997E-2</v>
      </c>
      <c r="AN368" s="1">
        <v>410.1</v>
      </c>
      <c r="AO368" s="1">
        <v>7.3</v>
      </c>
      <c r="AP368" s="1">
        <v>416.9</v>
      </c>
      <c r="AQ368" s="1">
        <v>8.5</v>
      </c>
      <c r="AR368" s="1">
        <v>442.4</v>
      </c>
      <c r="AS368" s="1">
        <v>9.1999999999999993</v>
      </c>
      <c r="AT368" s="1">
        <v>392</v>
      </c>
      <c r="AU368" s="1">
        <v>25</v>
      </c>
      <c r="AV368" s="1">
        <v>17.080000000000002</v>
      </c>
      <c r="AW368" s="1">
        <v>0.18000000000000002</v>
      </c>
      <c r="AX368" s="1">
        <v>2.7869999999999999</v>
      </c>
      <c r="AY368" s="1">
        <v>6.3E-2</v>
      </c>
      <c r="AZ368" s="1">
        <v>5061.1500000000005</v>
      </c>
      <c r="BA368" s="1">
        <v>57.753</v>
      </c>
      <c r="BB368" s="1">
        <v>2415.6899999999996</v>
      </c>
      <c r="BC368" s="1">
        <v>42.227999999999994</v>
      </c>
      <c r="BD368" s="1">
        <v>44463.6</v>
      </c>
      <c r="BE368" s="1">
        <v>683.09999999999991</v>
      </c>
      <c r="BF368" s="1">
        <v>4.968</v>
      </c>
      <c r="BG368" s="1">
        <v>5.3406000000000002</v>
      </c>
      <c r="BH368" s="1">
        <f>BD368/BF368</f>
        <v>8950</v>
      </c>
      <c r="BI368" s="1">
        <f>SQRT((BG368/BF368)^2+(BE368/BD368)^2)*BH368</f>
        <v>9622.2324754965248</v>
      </c>
    </row>
    <row r="369" spans="1:61" x14ac:dyDescent="0.2">
      <c r="A369" t="s">
        <v>590</v>
      </c>
      <c r="B369" t="s">
        <v>38</v>
      </c>
      <c r="C369" t="s">
        <v>591</v>
      </c>
      <c r="D369" t="s">
        <v>592</v>
      </c>
      <c r="E369">
        <v>45981</v>
      </c>
      <c r="F369">
        <v>45404</v>
      </c>
      <c r="G369" t="s">
        <v>592</v>
      </c>
      <c r="H369" s="1">
        <v>82.7</v>
      </c>
      <c r="I369" s="1">
        <v>59.2</v>
      </c>
      <c r="J369" s="10">
        <v>0.48799999999999999</v>
      </c>
      <c r="K369" s="10">
        <f ca="1">SQRT(K$2^2+(AA369/Z369)^2)*J369</f>
        <v>1.7066270828742871E-2</v>
      </c>
      <c r="L369" s="7">
        <v>6.4899999999999999E-2</v>
      </c>
      <c r="M369" s="7">
        <f ca="1">SQRT(M$2^2+(AC369/AB369)^2)*L369</f>
        <v>2.1388791457209542E-3</v>
      </c>
      <c r="N369" s="7">
        <v>0.89431000000000005</v>
      </c>
      <c r="O369" s="8">
        <v>15.40832</v>
      </c>
      <c r="P369" s="8">
        <f ca="1">SQRT(P$2^2+(AF369/AE369)^2)*O369</f>
        <v>0.5078048703092557</v>
      </c>
      <c r="Q369" s="9">
        <v>5.4780000000000002E-2</v>
      </c>
      <c r="R369" s="9">
        <f ca="1">SQRT(R$2^2+(AH369/AG369)^2)*Q369</f>
        <v>1.2739071237731581E-3</v>
      </c>
      <c r="S369" s="8">
        <f>(((BE369/BD369)^2+(AW369/AV369)^2)+((BE369/BD369)^2+(BC369/BB369)^2)-((BC369/BB369)^2+(AW369/AV369)^2))/(2*SQRT((BE369/BD369)^2+(AW369/AV369)^2)*SQRT((BE369/BD369)^2+(BC369/BB369)^2))</f>
        <v>0.42216474326025843</v>
      </c>
      <c r="T369" s="11">
        <v>2.0740000000000001E-2</v>
      </c>
      <c r="U369" s="11">
        <f ca="1">SQRT(U$2^2+(AK369/AJ369)^2)*T369</f>
        <v>6.3439659519893394E-4</v>
      </c>
      <c r="V369" s="6" t="e">
        <f ca="1">IF(agePb6U8(1/O369)&lt;1400,age7corr(1/O369,Q369,$W$2),agePb76(Q369))</f>
        <v>#NAME?</v>
      </c>
      <c r="W369" s="6" t="e">
        <f ca="1">IF(agePb6U8(1/O369)&lt;1400,ageer7corr(V369,1/O369,P369/O369*(1/O369),Q369,R369,$W$2,0.05),ageerPb76(Q369,R369))</f>
        <v>#NAME?</v>
      </c>
      <c r="X369" s="4" t="e">
        <f ca="1">agePb6U8(L369)/agePb7u5(J369)</f>
        <v>#NAME?</v>
      </c>
      <c r="Z369" s="1">
        <v>0.48799999999999999</v>
      </c>
      <c r="AA369" s="1">
        <v>1.4E-2</v>
      </c>
      <c r="AB369" s="1">
        <v>6.4899999999999999E-2</v>
      </c>
      <c r="AC369" s="1">
        <v>1.6999999999999999E-3</v>
      </c>
      <c r="AD369" s="1">
        <v>0.89431000000000005</v>
      </c>
      <c r="AE369" s="1">
        <v>15.40832</v>
      </c>
      <c r="AF369" s="1">
        <v>0.40360780000000002</v>
      </c>
      <c r="AG369" s="1">
        <v>5.4780000000000002E-2</v>
      </c>
      <c r="AH369" s="1">
        <v>6.4999999999999997E-4</v>
      </c>
      <c r="AI369" s="1">
        <v>-5.5820000000000002E-2</v>
      </c>
      <c r="AJ369" s="1">
        <v>2.0740000000000001E-2</v>
      </c>
      <c r="AK369" s="1">
        <v>4.8000000000000001E-4</v>
      </c>
      <c r="AL369" s="1">
        <v>4.5949999999999998</v>
      </c>
      <c r="AM369" s="1">
        <v>5.0999999999999997E-2</v>
      </c>
      <c r="AN369" s="1">
        <v>403.2</v>
      </c>
      <c r="AO369" s="1">
        <v>9.5</v>
      </c>
      <c r="AP369" s="1">
        <v>405</v>
      </c>
      <c r="AQ369" s="1">
        <v>10</v>
      </c>
      <c r="AR369" s="1">
        <v>414.8</v>
      </c>
      <c r="AS369" s="1">
        <v>9.6</v>
      </c>
      <c r="AT369" s="1">
        <v>402</v>
      </c>
      <c r="AU369" s="1">
        <v>26</v>
      </c>
      <c r="AV369" s="1">
        <v>17.96</v>
      </c>
      <c r="AW369" s="1">
        <v>0.59000000000000008</v>
      </c>
      <c r="AX369" s="1">
        <v>4.6690000000000005</v>
      </c>
      <c r="AY369" s="1">
        <v>0.08</v>
      </c>
      <c r="AZ369" s="1">
        <v>7905.33</v>
      </c>
      <c r="BA369" s="1">
        <v>298.08</v>
      </c>
      <c r="BB369" s="1">
        <v>2477.79</v>
      </c>
      <c r="BC369" s="1">
        <v>93.15</v>
      </c>
      <c r="BD369" s="1">
        <v>45395.1</v>
      </c>
      <c r="BE369" s="1">
        <v>1366.1999999999998</v>
      </c>
      <c r="BF369" s="1">
        <v>-3.1049999999999995</v>
      </c>
      <c r="BG369" s="1">
        <v>5.7131999999999996</v>
      </c>
      <c r="BH369" s="1">
        <f>BD369/BF369</f>
        <v>-14620.000000000002</v>
      </c>
      <c r="BI369" s="1">
        <f>SQRT((BG369/BF369)^2+(BE369/BD369)^2)*BH369</f>
        <v>-26904.398165355793</v>
      </c>
    </row>
    <row r="370" spans="1:61" x14ac:dyDescent="0.2">
      <c r="A370" t="s">
        <v>806</v>
      </c>
      <c r="B370" t="s">
        <v>38</v>
      </c>
      <c r="C370" t="s">
        <v>807</v>
      </c>
      <c r="D370" t="s">
        <v>808</v>
      </c>
      <c r="E370">
        <v>46193</v>
      </c>
      <c r="F370">
        <v>45619</v>
      </c>
      <c r="G370" t="s">
        <v>808</v>
      </c>
      <c r="H370" s="1">
        <v>106</v>
      </c>
      <c r="I370" s="1">
        <v>44.7</v>
      </c>
      <c r="J370" s="10">
        <v>0.501</v>
      </c>
      <c r="K370" s="10">
        <f ca="1">SQRT(K$2^2+(AA370/Z370)^2)*J370</f>
        <v>2.0600980559186983E-2</v>
      </c>
      <c r="L370" s="7">
        <v>6.5799999999999997E-2</v>
      </c>
      <c r="M370" s="7">
        <f ca="1">SQRT(M$2^2+(AC370/AB370)^2)*L370</f>
        <v>2.5635631453116187E-3</v>
      </c>
      <c r="N370" s="7">
        <v>0.92837000000000003</v>
      </c>
      <c r="O370" s="8">
        <v>15.197570000000001</v>
      </c>
      <c r="P370" s="8">
        <f ca="1">SQRT(P$2^2+(AF370/AE370)^2)*O370</f>
        <v>0.59209617097826261</v>
      </c>
      <c r="Q370" s="9">
        <v>5.5550000000000002E-2</v>
      </c>
      <c r="R370" s="9">
        <f ca="1">SQRT(R$2^2+(AH370/AG370)^2)*Q370</f>
        <v>1.3184919415756776E-3</v>
      </c>
      <c r="S370" s="8">
        <f>(((BE370/BD370)^2+(AW370/AV370)^2)+((BE370/BD370)^2+(BC370/BB370)^2)-((BC370/BB370)^2+(AW370/AV370)^2))/(2*SQRT((BE370/BD370)^2+(AW370/AV370)^2)*SQRT((BE370/BD370)^2+(BC370/BB370)^2))</f>
        <v>0.4290080733448467</v>
      </c>
      <c r="T370" s="11">
        <v>2.2020000000000001E-2</v>
      </c>
      <c r="U370" s="11">
        <f ca="1">SQRT(U$2^2+(AK370/AJ370)^2)*T370</f>
        <v>8.2701400229984027E-4</v>
      </c>
      <c r="V370" s="6" t="e">
        <f ca="1">IF(agePb6U8(1/O370)&lt;1400,age7corr(1/O370,Q370,$W$2),agePb76(Q370))</f>
        <v>#NAME?</v>
      </c>
      <c r="W370" s="6" t="e">
        <f ca="1">IF(agePb6U8(1/O370)&lt;1400,ageer7corr(V370,1/O370,P370/O370*(1/O370),Q370,R370,$W$2,0.05),ageerPb76(Q370,R370))</f>
        <v>#NAME?</v>
      </c>
      <c r="X370" s="4" t="e">
        <f ca="1">agePb6U8(L370)/agePb7u5(J370)</f>
        <v>#NAME?</v>
      </c>
      <c r="Z370" s="1">
        <v>0.501</v>
      </c>
      <c r="AA370" s="1">
        <v>1.7999999999999999E-2</v>
      </c>
      <c r="AB370" s="1">
        <v>6.5799999999999997E-2</v>
      </c>
      <c r="AC370" s="1">
        <v>2.2000000000000001E-3</v>
      </c>
      <c r="AD370" s="1">
        <v>0.92837000000000003</v>
      </c>
      <c r="AE370" s="1">
        <v>15.197570000000001</v>
      </c>
      <c r="AF370" s="1">
        <v>0.50812539999999995</v>
      </c>
      <c r="AG370" s="1">
        <v>5.5550000000000002E-2</v>
      </c>
      <c r="AH370" s="1">
        <v>7.1000000000000002E-4</v>
      </c>
      <c r="AI370" s="1">
        <v>9.7657999999999995E-2</v>
      </c>
      <c r="AJ370" s="1">
        <v>2.2020000000000001E-2</v>
      </c>
      <c r="AK370" s="1">
        <v>6.9999999999999999E-4</v>
      </c>
      <c r="AL370" s="1">
        <v>7.53</v>
      </c>
      <c r="AM370" s="1">
        <v>4.7E-2</v>
      </c>
      <c r="AN370" s="1">
        <v>412</v>
      </c>
      <c r="AO370" s="1">
        <v>12</v>
      </c>
      <c r="AP370" s="1">
        <v>411</v>
      </c>
      <c r="AQ370" s="1">
        <v>13</v>
      </c>
      <c r="AR370" s="1">
        <v>440</v>
      </c>
      <c r="AS370" s="1">
        <v>14</v>
      </c>
      <c r="AT370" s="1">
        <v>433</v>
      </c>
      <c r="AU370" s="1">
        <v>29</v>
      </c>
      <c r="AV370" s="1">
        <v>22.849999999999998</v>
      </c>
      <c r="AW370" s="1">
        <v>0.46</v>
      </c>
      <c r="AX370" s="1">
        <v>3.5140000000000002</v>
      </c>
      <c r="AY370" s="1">
        <v>9.5000000000000001E-2</v>
      </c>
      <c r="AZ370" s="1">
        <v>6309.3600000000006</v>
      </c>
      <c r="BA370" s="1">
        <v>130.41</v>
      </c>
      <c r="BB370" s="1">
        <v>3241.6200000000003</v>
      </c>
      <c r="BC370" s="1">
        <v>68.31</v>
      </c>
      <c r="BD370" s="1">
        <v>59119.200000000004</v>
      </c>
      <c r="BE370" s="1">
        <v>1055.7</v>
      </c>
      <c r="BF370" s="1">
        <v>6.8931000000000004</v>
      </c>
      <c r="BG370" s="1">
        <v>5.1543000000000001</v>
      </c>
      <c r="BH370" s="1">
        <f>BD370/BF370</f>
        <v>8576.5765765765773</v>
      </c>
      <c r="BI370" s="1">
        <f>SQRT((BG370/BF370)^2+(BE370/BD370)^2)*BH370</f>
        <v>6414.944301401837</v>
      </c>
    </row>
    <row r="371" spans="1:61" x14ac:dyDescent="0.2">
      <c r="A371" t="s">
        <v>1022</v>
      </c>
      <c r="B371" t="s">
        <v>38</v>
      </c>
      <c r="C371" t="s">
        <v>1023</v>
      </c>
      <c r="D371" t="s">
        <v>1024</v>
      </c>
      <c r="E371">
        <v>46246</v>
      </c>
      <c r="F371">
        <v>45623</v>
      </c>
      <c r="G371" t="s">
        <v>1024</v>
      </c>
      <c r="H371" s="1">
        <v>51.61</v>
      </c>
      <c r="I371" s="1">
        <v>21.99</v>
      </c>
      <c r="J371" s="10">
        <v>0.51600000000000001</v>
      </c>
      <c r="K371" s="10">
        <f ca="1">SQRT(K$2^2+(AA371/Z371)^2)*J371</f>
        <v>1.7392596125938187E-2</v>
      </c>
      <c r="L371" s="7">
        <v>6.6500000000000004E-2</v>
      </c>
      <c r="M371" s="7">
        <f ca="1">SQRT(M$2^2+(AC371/AB371)^2)*L371</f>
        <v>1.7913402803487672E-3</v>
      </c>
      <c r="N371" s="7">
        <v>0.79800000000000004</v>
      </c>
      <c r="O371" s="8">
        <v>15.03759</v>
      </c>
      <c r="P371" s="8">
        <f ca="1">SQRT(P$2^2+(AF371/AE371)^2)*O371</f>
        <v>0.40507435798782671</v>
      </c>
      <c r="Q371" s="9">
        <v>5.5509999999999997E-2</v>
      </c>
      <c r="R371" s="9">
        <f ca="1">SQRT(R$2^2+(AH371/AG371)^2)*Q371</f>
        <v>1.4354943538725604E-3</v>
      </c>
      <c r="S371" s="8">
        <f>(((BE371/BD371)^2+(AW371/AV371)^2)+((BE371/BD371)^2+(BC371/BB371)^2)-((BC371/BB371)^2+(AW371/AV371)^2))/(2*SQRT((BE371/BD371)^2+(AW371/AV371)^2)*SQRT((BE371/BD371)^2+(BC371/BB371)^2))</f>
        <v>0.28522296288458471</v>
      </c>
      <c r="T371" s="11">
        <v>2.0820000000000002E-2</v>
      </c>
      <c r="U371" s="11">
        <f ca="1">SQRT(U$2^2+(AK371/AJ371)^2)*T371</f>
        <v>7.1399507001099107E-4</v>
      </c>
      <c r="V371" s="6" t="e">
        <f ca="1">IF(agePb6U8(1/O371)&lt;1400,age7corr(1/O371,Q371,$W$2),agePb76(Q371))</f>
        <v>#NAME?</v>
      </c>
      <c r="W371" s="6" t="e">
        <f ca="1">IF(agePb6U8(1/O371)&lt;1400,ageer7corr(V371,1/O371,P371/O371*(1/O371),Q371,R371,$W$2,0.05),ageerPb76(Q371,R371))</f>
        <v>#NAME?</v>
      </c>
      <c r="X371" s="4" t="e">
        <f ca="1">agePb6U8(L371)/agePb7u5(J371)</f>
        <v>#NAME?</v>
      </c>
      <c r="Z371" s="1">
        <v>0.51600000000000001</v>
      </c>
      <c r="AA371" s="1">
        <v>1.4E-2</v>
      </c>
      <c r="AB371" s="1">
        <v>6.6500000000000004E-2</v>
      </c>
      <c r="AC371" s="1">
        <v>1.1999999999999999E-3</v>
      </c>
      <c r="AD371" s="1">
        <v>0.79800000000000004</v>
      </c>
      <c r="AE371" s="1">
        <v>15.03759</v>
      </c>
      <c r="AF371" s="1">
        <v>0.27135510000000002</v>
      </c>
      <c r="AG371" s="1">
        <v>5.5509999999999997E-2</v>
      </c>
      <c r="AH371" s="1">
        <v>9.1E-4</v>
      </c>
      <c r="AI371" s="1">
        <v>-9.7800999999999999E-3</v>
      </c>
      <c r="AJ371" s="1">
        <v>2.0820000000000002E-2</v>
      </c>
      <c r="AK371" s="1">
        <v>5.8E-4</v>
      </c>
      <c r="AL371" s="1">
        <v>7.8479999999999999</v>
      </c>
      <c r="AM371" s="1">
        <v>6.7000000000000004E-2</v>
      </c>
      <c r="AN371" s="1">
        <v>422.2</v>
      </c>
      <c r="AO371" s="1">
        <v>9.1999999999999993</v>
      </c>
      <c r="AP371" s="1">
        <v>414.8</v>
      </c>
      <c r="AQ371" s="1">
        <v>7</v>
      </c>
      <c r="AR371" s="1">
        <v>416</v>
      </c>
      <c r="AS371" s="1">
        <v>12</v>
      </c>
      <c r="AT371" s="1">
        <v>431</v>
      </c>
      <c r="AU371" s="1">
        <v>37</v>
      </c>
      <c r="AV371" s="1">
        <v>11.04</v>
      </c>
      <c r="AW371" s="1">
        <v>0.19</v>
      </c>
      <c r="AX371" s="1">
        <v>1.7229999999999999</v>
      </c>
      <c r="AY371" s="1">
        <v>4.1000000000000002E-2</v>
      </c>
      <c r="AZ371" s="1">
        <v>2914.3530000000001</v>
      </c>
      <c r="BA371" s="1">
        <v>49.058999999999997</v>
      </c>
      <c r="BB371" s="1">
        <v>1588.5179999999998</v>
      </c>
      <c r="BC371" s="1">
        <v>44.711999999999996</v>
      </c>
      <c r="BD371" s="1">
        <v>28528.739999999998</v>
      </c>
      <c r="BE371" s="1">
        <v>403.65</v>
      </c>
      <c r="BF371" s="1">
        <v>-6.2099999999999991</v>
      </c>
      <c r="BG371" s="1">
        <v>6.2099999999999991</v>
      </c>
      <c r="BH371" s="1">
        <f>BD371/BF371</f>
        <v>-4594</v>
      </c>
      <c r="BI371" s="1">
        <f>SQRT((BG371/BF371)^2+(BE371/BD371)^2)*BH371</f>
        <v>-4594.4598159087209</v>
      </c>
    </row>
    <row r="372" spans="1:61" x14ac:dyDescent="0.2">
      <c r="X372" s="4"/>
    </row>
    <row r="373" spans="1:61" x14ac:dyDescent="0.2">
      <c r="X373" s="4"/>
    </row>
    <row r="374" spans="1:61" x14ac:dyDescent="0.2">
      <c r="A374" t="s">
        <v>37</v>
      </c>
      <c r="B374" t="s">
        <v>38</v>
      </c>
      <c r="C374" t="s">
        <v>39</v>
      </c>
      <c r="D374" t="s">
        <v>40</v>
      </c>
      <c r="E374">
        <v>45690</v>
      </c>
      <c r="F374">
        <v>47785</v>
      </c>
      <c r="G374" t="s">
        <v>40</v>
      </c>
      <c r="H374" s="1">
        <v>722</v>
      </c>
      <c r="I374" s="1">
        <v>656</v>
      </c>
      <c r="J374" s="10">
        <v>0.71699999999999997</v>
      </c>
      <c r="K374" s="10">
        <f t="shared" ref="K374:K379" ca="1" si="118">SQRT(K$2^2+(AA374/Z374)^2)*J374</f>
        <v>2.4609664768135302E-2</v>
      </c>
      <c r="L374" s="7">
        <v>8.8700000000000001E-2</v>
      </c>
      <c r="M374" s="7">
        <f t="shared" ref="M374:M379" ca="1" si="119">SQRT(M$2^2+(AC374/AB374)^2)*L374</f>
        <v>3.0654650544411689E-3</v>
      </c>
      <c r="N374" s="7">
        <v>0.99363999999999997</v>
      </c>
      <c r="O374" s="8">
        <v>11.273960000000001</v>
      </c>
      <c r="P374" s="8">
        <f t="shared" ref="P374:P379" ca="1" si="120">SQRT(P$2^2+(AF374/AE374)^2)*O374</f>
        <v>0.38962712984432957</v>
      </c>
      <c r="Q374" s="9">
        <v>5.8270000000000002E-2</v>
      </c>
      <c r="R374" s="9">
        <f t="shared" ref="R374:R379" ca="1" si="121">SQRT(R$2^2+(AH374/AG374)^2)*Q374</f>
        <v>1.1763320789640994E-3</v>
      </c>
      <c r="S374" s="8">
        <f t="shared" ref="S374:S379" si="122">(((BE374/BD374)^2+(AW374/AV374)^2)+((BE374/BD374)^2+(BC374/BB374)^2)-((BC374/BB374)^2+(AW374/AV374)^2))/(2*SQRT((BE374/BD374)^2+(AW374/AV374)^2)*SQRT((BE374/BD374)^2+(BC374/BB374)^2))</f>
        <v>0.48879512901957428</v>
      </c>
      <c r="T374" s="11">
        <v>2.9080000000000002E-2</v>
      </c>
      <c r="U374" s="11">
        <f t="shared" ref="U374:U379" ca="1" si="123">SQRT(U$2^2+(AK374/AJ374)^2)*T374</f>
        <v>1.0299313375172153E-3</v>
      </c>
      <c r="V374" s="6" t="e">
        <f ca="1">IF(agePb6U8(1/O374)&lt;1400,age7corr(1/O374,Q374,$W$2),agePb76(Q374))</f>
        <v>#NAME?</v>
      </c>
      <c r="W374" s="6" t="e">
        <f ca="1">IF(agePb6U8(1/O374)&lt;1400,ageer7corr(V374,1/O374,P374/O374*(1/O374),Q374,R374,$W$2,0.05),ageerPb76(Q374,R374))</f>
        <v>#NAME?</v>
      </c>
      <c r="X374" s="4" t="e">
        <f ca="1">agePb6U8(L374)/agePb7u5(J374)</f>
        <v>#NAME?</v>
      </c>
      <c r="Z374" s="1">
        <v>0.71699999999999997</v>
      </c>
      <c r="AA374" s="1">
        <v>0.02</v>
      </c>
      <c r="AB374" s="1">
        <v>8.8700000000000001E-2</v>
      </c>
      <c r="AC374" s="1">
        <v>2.5000000000000001E-3</v>
      </c>
      <c r="AD374" s="1">
        <v>0.99363999999999997</v>
      </c>
      <c r="AE374" s="1">
        <v>11.273960000000001</v>
      </c>
      <c r="AF374" s="1">
        <v>0.31775530000000002</v>
      </c>
      <c r="AG374" s="1">
        <v>5.8270000000000002E-2</v>
      </c>
      <c r="AH374" s="1">
        <v>1.6000000000000001E-4</v>
      </c>
      <c r="AI374" s="1">
        <v>-0.12021</v>
      </c>
      <c r="AJ374" s="1">
        <v>2.9080000000000002E-2</v>
      </c>
      <c r="AK374" s="1">
        <v>8.4999999999999995E-4</v>
      </c>
      <c r="AL374" s="1">
        <v>3.754</v>
      </c>
      <c r="AM374" s="1">
        <v>7.9000000000000008E-3</v>
      </c>
      <c r="AN374" s="1">
        <v>548</v>
      </c>
      <c r="AO374" s="1">
        <v>12</v>
      </c>
      <c r="AP374" s="1">
        <v>548</v>
      </c>
      <c r="AQ374" s="1">
        <v>15</v>
      </c>
      <c r="AR374" s="1">
        <v>579</v>
      </c>
      <c r="AS374" s="1">
        <v>17</v>
      </c>
      <c r="AT374" s="1">
        <v>539.79999999999995</v>
      </c>
      <c r="AU374" s="1">
        <v>5.9</v>
      </c>
      <c r="AV374" s="1">
        <v>159.70000000000002</v>
      </c>
      <c r="AW374" s="1">
        <v>2.9</v>
      </c>
      <c r="AX374" s="1">
        <v>52.2</v>
      </c>
      <c r="AY374" s="1">
        <v>1.7</v>
      </c>
      <c r="AZ374" s="1">
        <v>122833.80000000002</v>
      </c>
      <c r="BA374" s="1">
        <v>2546.1</v>
      </c>
      <c r="BB374" s="1">
        <v>31919.4</v>
      </c>
      <c r="BC374" s="1">
        <v>683.09999999999991</v>
      </c>
      <c r="BD374" s="1">
        <v>545859</v>
      </c>
      <c r="BE374" s="1">
        <v>10557</v>
      </c>
      <c r="BF374" s="1">
        <v>2.5461</v>
      </c>
      <c r="BG374" s="1">
        <v>3.3533999999999997</v>
      </c>
      <c r="BH374" s="1">
        <f t="shared" ref="BH374:BH379" si="124">BD374/BF374</f>
        <v>214390.24390243902</v>
      </c>
      <c r="BI374" s="1">
        <f t="shared" ref="BI374:BI379" si="125">SQRT((BG374/BF374)^2+(BE374/BD374)^2)*BH374</f>
        <v>282398.07951294072</v>
      </c>
    </row>
    <row r="375" spans="1:61" x14ac:dyDescent="0.2">
      <c r="A375" t="s">
        <v>41</v>
      </c>
      <c r="B375" t="s">
        <v>38</v>
      </c>
      <c r="C375" t="s">
        <v>42</v>
      </c>
      <c r="D375" t="s">
        <v>43</v>
      </c>
      <c r="E375">
        <v>45730</v>
      </c>
      <c r="F375">
        <v>47815</v>
      </c>
      <c r="G375" t="s">
        <v>43</v>
      </c>
      <c r="H375" s="1">
        <v>770</v>
      </c>
      <c r="I375" s="1">
        <v>703</v>
      </c>
      <c r="J375" s="10">
        <v>0.71499999999999997</v>
      </c>
      <c r="K375" s="10">
        <f t="shared" ca="1" si="118"/>
        <v>1.9325889371514058E-2</v>
      </c>
      <c r="L375" s="7">
        <v>8.6900000000000005E-2</v>
      </c>
      <c r="M375" s="7">
        <f t="shared" ca="1" si="119"/>
        <v>2.5750036893177454E-3</v>
      </c>
      <c r="N375" s="7">
        <v>0.99412999999999996</v>
      </c>
      <c r="O375" s="8">
        <v>11.507479999999999</v>
      </c>
      <c r="P375" s="8">
        <f t="shared" ca="1" si="120"/>
        <v>0.34098739681131907</v>
      </c>
      <c r="Q375" s="9">
        <v>5.919E-2</v>
      </c>
      <c r="R375" s="9">
        <f t="shared" ca="1" si="121"/>
        <v>1.2005758784849876E-3</v>
      </c>
      <c r="S375" s="8">
        <f t="shared" si="122"/>
        <v>0.46615417979325036</v>
      </c>
      <c r="T375" s="11">
        <v>2.869E-2</v>
      </c>
      <c r="U375" s="11">
        <f t="shared" ca="1" si="123"/>
        <v>8.4477597030218612E-4</v>
      </c>
      <c r="V375" s="6" t="e">
        <f ca="1">IF(agePb6U8(1/O375)&lt;1400,age7corr(1/O375,Q375,$W$2),agePb76(Q375))</f>
        <v>#NAME?</v>
      </c>
      <c r="W375" s="6" t="e">
        <f ca="1">IF(agePb6U8(1/O375)&lt;1400,ageer7corr(V375,1/O375,P375/O375*(1/O375),Q375,R375,$W$2,0.05),ageerPb76(Q375,R375))</f>
        <v>#NAME?</v>
      </c>
      <c r="X375" s="4" t="e">
        <f ca="1">agePb6U8(L375)/agePb7u5(J375)</f>
        <v>#NAME?</v>
      </c>
      <c r="Z375" s="1">
        <v>0.71499999999999997</v>
      </c>
      <c r="AA375" s="1">
        <v>1.2999999999999999E-2</v>
      </c>
      <c r="AB375" s="1">
        <v>8.6900000000000005E-2</v>
      </c>
      <c r="AC375" s="1">
        <v>1.9E-3</v>
      </c>
      <c r="AD375" s="1">
        <v>0.99412999999999996</v>
      </c>
      <c r="AE375" s="1">
        <v>11.507479999999999</v>
      </c>
      <c r="AF375" s="1">
        <v>0.25160199999999999</v>
      </c>
      <c r="AG375" s="1">
        <v>5.919E-2</v>
      </c>
      <c r="AH375" s="1">
        <v>2.0000000000000001E-4</v>
      </c>
      <c r="AI375" s="1">
        <v>0.36037000000000002</v>
      </c>
      <c r="AJ375" s="1">
        <v>2.869E-2</v>
      </c>
      <c r="AK375" s="1">
        <v>6.2E-4</v>
      </c>
      <c r="AL375" s="1">
        <v>3.6899000000000002</v>
      </c>
      <c r="AM375" s="1">
        <v>8.3999999999999995E-3</v>
      </c>
      <c r="AN375" s="1">
        <v>547.79999999999995</v>
      </c>
      <c r="AO375" s="1">
        <v>7.8</v>
      </c>
      <c r="AP375" s="1">
        <v>537</v>
      </c>
      <c r="AQ375" s="1">
        <v>12</v>
      </c>
      <c r="AR375" s="1">
        <v>572</v>
      </c>
      <c r="AS375" s="1">
        <v>12</v>
      </c>
      <c r="AT375" s="1">
        <v>574</v>
      </c>
      <c r="AU375" s="1">
        <v>7.4</v>
      </c>
      <c r="AV375" s="1">
        <v>170.2</v>
      </c>
      <c r="AW375" s="1">
        <v>3.2</v>
      </c>
      <c r="AX375" s="1">
        <v>55.9</v>
      </c>
      <c r="AY375" s="1">
        <v>1</v>
      </c>
      <c r="AZ375" s="1">
        <v>129416.40000000001</v>
      </c>
      <c r="BA375" s="1">
        <v>1987.2</v>
      </c>
      <c r="BB375" s="1">
        <v>33701.670000000006</v>
      </c>
      <c r="BC375" s="1">
        <v>471.96</v>
      </c>
      <c r="BD375" s="1">
        <v>567594</v>
      </c>
      <c r="BE375" s="1">
        <v>8694</v>
      </c>
      <c r="BF375" s="1">
        <v>18.63</v>
      </c>
      <c r="BG375" s="1">
        <v>6.8310000000000004</v>
      </c>
      <c r="BH375" s="1">
        <f t="shared" si="124"/>
        <v>30466.666666666668</v>
      </c>
      <c r="BI375" s="1">
        <f t="shared" si="125"/>
        <v>11180.854226514535</v>
      </c>
    </row>
    <row r="376" spans="1:61" x14ac:dyDescent="0.2">
      <c r="A376" t="s">
        <v>44</v>
      </c>
      <c r="B376" t="s">
        <v>38</v>
      </c>
      <c r="C376" t="s">
        <v>45</v>
      </c>
      <c r="D376" t="s">
        <v>46</v>
      </c>
      <c r="E376">
        <v>45759</v>
      </c>
      <c r="F376">
        <v>47851</v>
      </c>
      <c r="G376" t="s">
        <v>46</v>
      </c>
      <c r="H376" s="1">
        <v>789</v>
      </c>
      <c r="I376" s="1">
        <v>718</v>
      </c>
      <c r="J376" s="10">
        <v>0.69899999999999995</v>
      </c>
      <c r="K376" s="10">
        <f t="shared" ca="1" si="118"/>
        <v>1.9784852791971945E-2</v>
      </c>
      <c r="L376" s="7">
        <v>8.5199999999999998E-2</v>
      </c>
      <c r="M376" s="7">
        <f t="shared" ca="1" si="119"/>
        <v>2.3374379136139635E-3</v>
      </c>
      <c r="N376" s="7">
        <v>0.98028000000000004</v>
      </c>
      <c r="O376" s="8">
        <v>11.73709</v>
      </c>
      <c r="P376" s="8">
        <f t="shared" ca="1" si="120"/>
        <v>0.32200372160315166</v>
      </c>
      <c r="Q376" s="9">
        <v>5.919E-2</v>
      </c>
      <c r="R376" s="9">
        <f t="shared" ca="1" si="121"/>
        <v>1.2289354905771091E-3</v>
      </c>
      <c r="S376" s="8">
        <f t="shared" si="122"/>
        <v>0.31659027039867393</v>
      </c>
      <c r="T376" s="11">
        <v>2.887E-2</v>
      </c>
      <c r="U376" s="11">
        <f t="shared" ca="1" si="123"/>
        <v>8.0435735839240019E-4</v>
      </c>
      <c r="V376" s="6" t="e">
        <f ca="1">IF(agePb6U8(1/O376)&lt;1400,age7corr(1/O376,Q376,$W$2),agePb76(Q376))</f>
        <v>#NAME?</v>
      </c>
      <c r="W376" s="6" t="e">
        <f ca="1">IF(agePb6U8(1/O376)&lt;1400,ageer7corr(V376,1/O376,P376/O376*(1/O376),Q376,R376,$W$2,0.05),ageerPb76(Q376,R376))</f>
        <v>#NAME?</v>
      </c>
      <c r="X376" s="4" t="e">
        <f ca="1">agePb6U8(L376)/agePb7u5(J376)</f>
        <v>#NAME?</v>
      </c>
      <c r="Z376" s="1">
        <v>0.69899999999999995</v>
      </c>
      <c r="AA376" s="1">
        <v>1.4E-2</v>
      </c>
      <c r="AB376" s="1">
        <v>8.5199999999999998E-2</v>
      </c>
      <c r="AC376" s="1">
        <v>1.6000000000000001E-3</v>
      </c>
      <c r="AD376" s="1">
        <v>0.98028000000000004</v>
      </c>
      <c r="AE376" s="1">
        <v>11.73709</v>
      </c>
      <c r="AF376" s="1">
        <v>0.22041479999999999</v>
      </c>
      <c r="AG376" s="1">
        <v>5.919E-2</v>
      </c>
      <c r="AH376" s="1">
        <v>3.3E-4</v>
      </c>
      <c r="AI376" s="1">
        <v>-1.0579E-2</v>
      </c>
      <c r="AJ376" s="1">
        <v>2.887E-2</v>
      </c>
      <c r="AK376" s="1">
        <v>5.5999999999999995E-4</v>
      </c>
      <c r="AL376" s="1">
        <v>3.6842000000000001</v>
      </c>
      <c r="AM376" s="1">
        <v>8.6999999999999994E-3</v>
      </c>
      <c r="AN376" s="1">
        <v>537.79999999999995</v>
      </c>
      <c r="AO376" s="1">
        <v>8.4</v>
      </c>
      <c r="AP376" s="1">
        <v>527.1</v>
      </c>
      <c r="AQ376" s="1">
        <v>9.4</v>
      </c>
      <c r="AR376" s="1">
        <v>575</v>
      </c>
      <c r="AS376" s="1">
        <v>11</v>
      </c>
      <c r="AT376" s="1">
        <v>574</v>
      </c>
      <c r="AU376" s="1">
        <v>12</v>
      </c>
      <c r="AV376" s="1">
        <v>174.5</v>
      </c>
      <c r="AW376" s="1">
        <v>3.2</v>
      </c>
      <c r="AX376" s="1">
        <v>57</v>
      </c>
      <c r="AY376" s="1">
        <v>1.4</v>
      </c>
      <c r="AZ376" s="1">
        <v>131900.4</v>
      </c>
      <c r="BA376" s="1">
        <v>1428.3</v>
      </c>
      <c r="BB376" s="1">
        <v>34335.090000000004</v>
      </c>
      <c r="BC376" s="1">
        <v>428.49</v>
      </c>
      <c r="BD376" s="1">
        <v>578151</v>
      </c>
      <c r="BE376" s="1">
        <v>6023.7</v>
      </c>
      <c r="BF376" s="1">
        <v>18.63</v>
      </c>
      <c r="BG376" s="1">
        <v>8.0729999999999986</v>
      </c>
      <c r="BH376" s="1">
        <f t="shared" si="124"/>
        <v>31033.333333333336</v>
      </c>
      <c r="BI376" s="1">
        <f t="shared" si="125"/>
        <v>13451.664268964576</v>
      </c>
    </row>
    <row r="377" spans="1:61" x14ac:dyDescent="0.2">
      <c r="A377" t="s">
        <v>47</v>
      </c>
      <c r="B377" t="s">
        <v>38</v>
      </c>
      <c r="C377" t="s">
        <v>48</v>
      </c>
      <c r="D377" t="s">
        <v>49</v>
      </c>
      <c r="E377">
        <v>45789</v>
      </c>
      <c r="F377">
        <v>47891</v>
      </c>
      <c r="G377" t="s">
        <v>49</v>
      </c>
      <c r="H377" s="1">
        <v>776</v>
      </c>
      <c r="I377" s="1">
        <v>705</v>
      </c>
      <c r="J377" s="10">
        <v>0.69399999999999995</v>
      </c>
      <c r="K377" s="10">
        <f t="shared" ca="1" si="118"/>
        <v>1.9714319668707819E-2</v>
      </c>
      <c r="L377" s="7">
        <v>8.5300000000000001E-2</v>
      </c>
      <c r="M377" s="7">
        <f t="shared" ca="1" si="119"/>
        <v>2.4800072580538953E-3</v>
      </c>
      <c r="N377" s="7">
        <v>0.97755999999999998</v>
      </c>
      <c r="O377" s="8">
        <v>11.723330000000001</v>
      </c>
      <c r="P377" s="8">
        <f t="shared" ca="1" si="120"/>
        <v>0.34084339747590831</v>
      </c>
      <c r="Q377" s="9">
        <v>5.9020000000000003E-2</v>
      </c>
      <c r="R377" s="9">
        <f t="shared" ca="1" si="121"/>
        <v>1.2256607034575272E-3</v>
      </c>
      <c r="S377" s="8">
        <f t="shared" si="122"/>
        <v>0.34341487711483559</v>
      </c>
      <c r="T377" s="11">
        <v>2.8400000000000002E-2</v>
      </c>
      <c r="U377" s="11">
        <f t="shared" ca="1" si="123"/>
        <v>7.3090628674269862E-4</v>
      </c>
      <c r="V377" s="6" t="e">
        <f ca="1">IF(agePb6U8(1/O377)&lt;1400,age7corr(1/O377,Q377,$W$2),agePb76(Q377))</f>
        <v>#NAME?</v>
      </c>
      <c r="W377" s="6" t="e">
        <f ca="1">IF(agePb6U8(1/O377)&lt;1400,ageer7corr(V377,1/O377,P377/O377*(1/O377),Q377,R377,$W$2,0.05),ageerPb76(Q377,R377))</f>
        <v>#NAME?</v>
      </c>
      <c r="X377" s="4" t="e">
        <f ca="1">agePb6U8(L377)/agePb7u5(J377)</f>
        <v>#NAME?</v>
      </c>
      <c r="Z377" s="1">
        <v>0.69399999999999995</v>
      </c>
      <c r="AA377" s="1">
        <v>1.4E-2</v>
      </c>
      <c r="AB377" s="1">
        <v>8.5300000000000001E-2</v>
      </c>
      <c r="AC377" s="1">
        <v>1.8E-3</v>
      </c>
      <c r="AD377" s="1">
        <v>0.97755999999999998</v>
      </c>
      <c r="AE377" s="1">
        <v>11.723330000000001</v>
      </c>
      <c r="AF377" s="1">
        <v>0.24738560000000001</v>
      </c>
      <c r="AG377" s="1">
        <v>5.9020000000000003E-2</v>
      </c>
      <c r="AH377" s="1">
        <v>3.3E-4</v>
      </c>
      <c r="AI377" s="1">
        <v>2.4598999999999999E-2</v>
      </c>
      <c r="AJ377" s="1">
        <v>2.8400000000000002E-2</v>
      </c>
      <c r="AK377" s="1">
        <v>4.6000000000000001E-4</v>
      </c>
      <c r="AL377" s="1">
        <v>3.6989999999999998</v>
      </c>
      <c r="AM377" s="1">
        <v>1.0999999999999999E-2</v>
      </c>
      <c r="AN377" s="1">
        <v>534.79999999999995</v>
      </c>
      <c r="AO377" s="1">
        <v>8.3000000000000007</v>
      </c>
      <c r="AP377" s="1">
        <v>527</v>
      </c>
      <c r="AQ377" s="1">
        <v>10</v>
      </c>
      <c r="AR377" s="1">
        <v>566</v>
      </c>
      <c r="AS377" s="1">
        <v>9.1</v>
      </c>
      <c r="AT377" s="1">
        <v>568</v>
      </c>
      <c r="AU377" s="1">
        <v>12</v>
      </c>
      <c r="AV377" s="1">
        <v>171.5</v>
      </c>
      <c r="AW377" s="1">
        <v>3</v>
      </c>
      <c r="AX377" s="1">
        <v>56</v>
      </c>
      <c r="AY377" s="1">
        <v>1.3</v>
      </c>
      <c r="AZ377" s="1">
        <v>128546.99999999999</v>
      </c>
      <c r="BA377" s="1">
        <v>1614.6</v>
      </c>
      <c r="BB377" s="1">
        <v>33521.58</v>
      </c>
      <c r="BC377" s="1">
        <v>434.7</v>
      </c>
      <c r="BD377" s="1">
        <v>565731</v>
      </c>
      <c r="BE377" s="1">
        <v>6210</v>
      </c>
      <c r="BF377" s="1">
        <v>-18.63</v>
      </c>
      <c r="BG377" s="1">
        <v>6.8310000000000004</v>
      </c>
      <c r="BH377" s="1">
        <f t="shared" si="124"/>
        <v>-30366.666666666668</v>
      </c>
      <c r="BI377" s="1">
        <f t="shared" si="125"/>
        <v>-11139.432849006762</v>
      </c>
    </row>
    <row r="378" spans="1:61" x14ac:dyDescent="0.2">
      <c r="A378" t="s">
        <v>50</v>
      </c>
      <c r="B378" t="s">
        <v>38</v>
      </c>
      <c r="C378" t="s">
        <v>51</v>
      </c>
      <c r="D378" t="s">
        <v>52</v>
      </c>
      <c r="E378">
        <v>40589</v>
      </c>
      <c r="F378">
        <v>49061</v>
      </c>
      <c r="G378" t="s">
        <v>52</v>
      </c>
      <c r="H378" s="1">
        <v>74.3</v>
      </c>
      <c r="I378" s="1">
        <v>28.15</v>
      </c>
      <c r="J378" s="10">
        <v>1.831</v>
      </c>
      <c r="K378" s="10">
        <f t="shared" ca="1" si="118"/>
        <v>6.3600506287293024E-2</v>
      </c>
      <c r="L378" s="7">
        <v>0.17599999999999999</v>
      </c>
      <c r="M378" s="7">
        <f t="shared" ca="1" si="119"/>
        <v>5.8720013623976622E-3</v>
      </c>
      <c r="N378" s="7">
        <v>0.96282999999999996</v>
      </c>
      <c r="O378" s="8">
        <v>5.6818179999999998</v>
      </c>
      <c r="P378" s="8">
        <f t="shared" ca="1" si="120"/>
        <v>0.1895661799958252</v>
      </c>
      <c r="Q378" s="9">
        <v>7.5139999999999998E-2</v>
      </c>
      <c r="R378" s="9">
        <f t="shared" ca="1" si="121"/>
        <v>1.6037480600144152E-3</v>
      </c>
      <c r="S378" s="8">
        <f t="shared" si="122"/>
        <v>0.47957230639101528</v>
      </c>
      <c r="T378" s="11">
        <v>5.4199999999999998E-2</v>
      </c>
      <c r="U378" s="11">
        <f t="shared" ca="1" si="123"/>
        <v>1.9326292970976095E-3</v>
      </c>
      <c r="V378" s="6" t="e">
        <f ca="1">IF(agePb6U8(1/O378)&lt;1400,age7corr(1/O378,Q378,$W$2),agePb76(Q378))</f>
        <v>#NAME?</v>
      </c>
      <c r="W378" s="6" t="e">
        <f ca="1">IF(agePb6U8(1/O378)&lt;1400,ageer7corr(V378,1/O378,P378/O378*(1/O378),Q378,R378,$W$2,0.05),ageerPb76(Q378,R378))</f>
        <v>#NAME?</v>
      </c>
      <c r="X378" s="4" t="e">
        <f ca="1">agePb6U8(L378)/agePb7u5(J378)</f>
        <v>#NAME?</v>
      </c>
      <c r="Z378" s="1">
        <v>1.831</v>
      </c>
      <c r="AA378" s="1">
        <v>5.1999999999999998E-2</v>
      </c>
      <c r="AB378" s="1">
        <v>0.17599999999999999</v>
      </c>
      <c r="AC378" s="1">
        <v>4.7000000000000002E-3</v>
      </c>
      <c r="AD378" s="1">
        <v>0.96282999999999996</v>
      </c>
      <c r="AE378" s="1">
        <v>5.6818179999999998</v>
      </c>
      <c r="AF378" s="1">
        <v>0.15173039999999999</v>
      </c>
      <c r="AG378" s="1">
        <v>7.5139999999999998E-2</v>
      </c>
      <c r="AH378" s="1">
        <v>5.5999999999999995E-4</v>
      </c>
      <c r="AI378" s="1">
        <v>9.1747999999999996E-2</v>
      </c>
      <c r="AJ378" s="1">
        <v>5.4199999999999998E-2</v>
      </c>
      <c r="AK378" s="1">
        <v>1.6000000000000001E-3</v>
      </c>
      <c r="AL378" s="1">
        <v>9.4760000000000009</v>
      </c>
      <c r="AM378" s="1">
        <v>7.0000000000000007E-2</v>
      </c>
      <c r="AN378" s="1">
        <v>1056</v>
      </c>
      <c r="AO378" s="1">
        <v>19</v>
      </c>
      <c r="AP378" s="1">
        <v>1045</v>
      </c>
      <c r="AQ378" s="1">
        <v>26</v>
      </c>
      <c r="AR378" s="1">
        <v>1066</v>
      </c>
      <c r="AS378" s="1">
        <v>31</v>
      </c>
      <c r="AT378" s="1">
        <v>1072</v>
      </c>
      <c r="AU378" s="1">
        <v>15</v>
      </c>
      <c r="AV378" s="1">
        <v>16.420000000000002</v>
      </c>
      <c r="AW378" s="1">
        <v>0.3</v>
      </c>
      <c r="AX378" s="1">
        <v>2.238</v>
      </c>
      <c r="AY378" s="1">
        <v>6.8999999999999992E-2</v>
      </c>
      <c r="AZ378" s="1">
        <v>9849.0600000000013</v>
      </c>
      <c r="BA378" s="1">
        <v>192.51</v>
      </c>
      <c r="BB378" s="1">
        <v>8395.92</v>
      </c>
      <c r="BC378" s="1">
        <v>149.04</v>
      </c>
      <c r="BD378" s="1">
        <v>111345.3</v>
      </c>
      <c r="BE378" s="1">
        <v>1925.1</v>
      </c>
      <c r="BF378" s="1">
        <v>3.7259999999999995</v>
      </c>
      <c r="BG378" s="1">
        <v>5.8995000000000006</v>
      </c>
      <c r="BH378" s="1">
        <f t="shared" si="124"/>
        <v>29883.333333333339</v>
      </c>
      <c r="BI378" s="1">
        <f t="shared" si="125"/>
        <v>47318.098605424944</v>
      </c>
    </row>
    <row r="379" spans="1:61" x14ac:dyDescent="0.2">
      <c r="A379" t="s">
        <v>53</v>
      </c>
      <c r="B379" t="s">
        <v>38</v>
      </c>
      <c r="C379" t="s">
        <v>54</v>
      </c>
      <c r="D379" t="s">
        <v>55</v>
      </c>
      <c r="E379">
        <v>38968</v>
      </c>
      <c r="F379">
        <v>44280</v>
      </c>
      <c r="G379" t="s">
        <v>55</v>
      </c>
      <c r="H379" s="1">
        <v>521</v>
      </c>
      <c r="I379" s="1">
        <v>50.53</v>
      </c>
      <c r="J379" s="10">
        <v>0.38400000000000001</v>
      </c>
      <c r="K379" s="10">
        <f t="shared" ca="1" si="118"/>
        <v>1.3415751935691118E-2</v>
      </c>
      <c r="L379" s="7">
        <v>5.1999999999999998E-2</v>
      </c>
      <c r="M379" s="7">
        <f t="shared" ca="1" si="119"/>
        <v>1.825267103741258E-3</v>
      </c>
      <c r="N379" s="7">
        <v>0.98653999999999997</v>
      </c>
      <c r="O379" s="8">
        <v>19.23077</v>
      </c>
      <c r="P379" s="8">
        <f t="shared" ca="1" si="120"/>
        <v>0.6750248023834754</v>
      </c>
      <c r="Q379" s="9">
        <v>5.3400000000000003E-2</v>
      </c>
      <c r="R379" s="9">
        <f t="shared" ca="1" si="121"/>
        <v>1.0968700925816149E-3</v>
      </c>
      <c r="S379" s="8">
        <f t="shared" si="122"/>
        <v>0.45551735993470277</v>
      </c>
      <c r="T379" s="11">
        <v>1.6920000000000001E-2</v>
      </c>
      <c r="U379" s="11">
        <f t="shared" ca="1" si="123"/>
        <v>6.8015774640887549E-4</v>
      </c>
      <c r="V379" s="6" t="e">
        <f ca="1">IF(agePb6U8(1/O379)&lt;1400,age7corr(1/O379,Q379,$W$2),agePb76(Q379))</f>
        <v>#NAME?</v>
      </c>
      <c r="W379" s="6" t="e">
        <f ca="1">IF(agePb6U8(1/O379)&lt;1400,ageer7corr(V379,1/O379,P379/O379*(1/O379),Q379,R379,$W$2,0.05),ageerPb76(Q379,R379))</f>
        <v>#NAME?</v>
      </c>
      <c r="X379" s="4" t="e">
        <f ca="1">agePb6U8(L379)/agePb7u5(J379)</f>
        <v>#NAME?</v>
      </c>
      <c r="Z379" s="1">
        <v>0.38400000000000001</v>
      </c>
      <c r="AA379" s="1">
        <v>1.0999999999999999E-2</v>
      </c>
      <c r="AB379" s="1">
        <v>5.1999999999999998E-2</v>
      </c>
      <c r="AC379" s="1">
        <v>1.5E-3</v>
      </c>
      <c r="AD379" s="1">
        <v>0.98653999999999997</v>
      </c>
      <c r="AE379" s="1">
        <v>19.23077</v>
      </c>
      <c r="AF379" s="1">
        <v>0.5547337</v>
      </c>
      <c r="AG379" s="1">
        <v>5.3400000000000003E-2</v>
      </c>
      <c r="AH379" s="1">
        <v>2.5000000000000001E-4</v>
      </c>
      <c r="AI379" s="1">
        <v>-6.2086000000000002E-2</v>
      </c>
      <c r="AJ379" s="1">
        <v>1.6920000000000001E-2</v>
      </c>
      <c r="AK379" s="1">
        <v>5.9000000000000003E-4</v>
      </c>
      <c r="AL379" s="1">
        <v>35.619999999999997</v>
      </c>
      <c r="AM379" s="1">
        <v>0.42</v>
      </c>
      <c r="AN379" s="1">
        <v>329.9</v>
      </c>
      <c r="AO379" s="1">
        <v>8.3000000000000007</v>
      </c>
      <c r="AP379" s="1">
        <v>327</v>
      </c>
      <c r="AQ379" s="1">
        <v>9.3000000000000007</v>
      </c>
      <c r="AR379" s="1">
        <v>339</v>
      </c>
      <c r="AS379" s="1">
        <v>12</v>
      </c>
      <c r="AT379" s="1">
        <v>346</v>
      </c>
      <c r="AU379" s="1">
        <v>11</v>
      </c>
      <c r="AV379" s="1">
        <v>115.1</v>
      </c>
      <c r="AW379" s="1">
        <v>2.5</v>
      </c>
      <c r="AX379" s="1">
        <v>4.0169999999999995</v>
      </c>
      <c r="AY379" s="1">
        <v>7.6999999999999999E-2</v>
      </c>
      <c r="AZ379" s="1">
        <v>5533.11</v>
      </c>
      <c r="BA379" s="1">
        <v>130.41</v>
      </c>
      <c r="BB379" s="1">
        <v>12525.57</v>
      </c>
      <c r="BC379" s="1">
        <v>229.77</v>
      </c>
      <c r="BD379" s="1">
        <v>233930.69999999998</v>
      </c>
      <c r="BE379" s="1">
        <v>4284.8999999999996</v>
      </c>
      <c r="BF379" s="1">
        <v>6.2099999999999991</v>
      </c>
      <c r="BG379" s="1">
        <v>6.8310000000000004</v>
      </c>
      <c r="BH379" s="1">
        <f t="shared" si="124"/>
        <v>37670</v>
      </c>
      <c r="BI379" s="1">
        <f t="shared" si="125"/>
        <v>41442.744467518081</v>
      </c>
    </row>
  </sheetData>
  <sortState xmlns:xlrd2="http://schemas.microsoft.com/office/spreadsheetml/2017/richdata2" ref="A2:EL2026">
    <sortCondition ref="G2:G202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74D8B-01B7-4B45-8E5F-072AD88119EC}">
  <dimension ref="A1:BR22"/>
  <sheetViews>
    <sheetView tabSelected="1" topLeftCell="BA1" workbookViewId="0">
      <selection activeCell="BJ2" sqref="BJ2:BR22"/>
    </sheetView>
  </sheetViews>
  <sheetFormatPr baseColWidth="10" defaultRowHeight="15" x14ac:dyDescent="0.2"/>
  <cols>
    <col min="4" max="4" width="20.5" customWidth="1"/>
  </cols>
  <sheetData>
    <row r="1" spans="1:70" ht="17" x14ac:dyDescent="0.2">
      <c r="B1" t="s">
        <v>0</v>
      </c>
      <c r="C1" t="s">
        <v>1</v>
      </c>
      <c r="D1" t="s">
        <v>1109</v>
      </c>
      <c r="E1" t="s">
        <v>1110</v>
      </c>
      <c r="F1" t="s">
        <v>1111</v>
      </c>
      <c r="G1" t="s">
        <v>2</v>
      </c>
      <c r="H1" s="1" t="s">
        <v>1104</v>
      </c>
      <c r="I1" s="1" t="s">
        <v>1105</v>
      </c>
      <c r="J1" s="12" t="s">
        <v>1097</v>
      </c>
      <c r="K1" s="13" t="s">
        <v>1102</v>
      </c>
      <c r="L1" s="14" t="s">
        <v>1098</v>
      </c>
      <c r="M1" s="15" t="s">
        <v>1102</v>
      </c>
      <c r="N1" s="15" t="s">
        <v>1108</v>
      </c>
      <c r="O1" s="16" t="s">
        <v>1099</v>
      </c>
      <c r="P1" s="17" t="s">
        <v>1102</v>
      </c>
      <c r="Q1" s="18" t="s">
        <v>1100</v>
      </c>
      <c r="R1" s="19" t="s">
        <v>1102</v>
      </c>
      <c r="S1" s="17" t="s">
        <v>1108</v>
      </c>
      <c r="T1" s="20" t="s">
        <v>1106</v>
      </c>
      <c r="U1" s="21" t="s">
        <v>1102</v>
      </c>
      <c r="V1" s="22" t="s">
        <v>1101</v>
      </c>
      <c r="W1" s="22" t="s">
        <v>1102</v>
      </c>
      <c r="X1" s="5" t="s">
        <v>1103</v>
      </c>
      <c r="Y1" s="3"/>
      <c r="Z1" s="1" t="s">
        <v>3</v>
      </c>
      <c r="AA1" s="1" t="s">
        <v>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14</v>
      </c>
      <c r="AL1" s="1" t="s">
        <v>15</v>
      </c>
      <c r="AM1" s="1" t="s">
        <v>16</v>
      </c>
      <c r="AN1" s="1" t="s">
        <v>17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23</v>
      </c>
      <c r="AU1" s="1" t="s">
        <v>24</v>
      </c>
      <c r="AV1" s="1" t="s">
        <v>35</v>
      </c>
      <c r="AW1" s="1" t="s">
        <v>36</v>
      </c>
      <c r="AX1" s="1" t="s">
        <v>25</v>
      </c>
      <c r="AY1" s="1" t="s">
        <v>26</v>
      </c>
      <c r="AZ1" s="1" t="s">
        <v>27</v>
      </c>
      <c r="BA1" s="1" t="s">
        <v>28</v>
      </c>
      <c r="BB1" s="1" t="s">
        <v>29</v>
      </c>
      <c r="BC1" s="1" t="s">
        <v>30</v>
      </c>
      <c r="BD1" s="1" t="s">
        <v>31</v>
      </c>
      <c r="BE1" s="1" t="s">
        <v>32</v>
      </c>
      <c r="BF1" s="1" t="s">
        <v>33</v>
      </c>
      <c r="BG1" s="1" t="s">
        <v>34</v>
      </c>
      <c r="BH1" s="2" t="s">
        <v>1107</v>
      </c>
      <c r="BI1" s="1" t="s">
        <v>1102</v>
      </c>
      <c r="BJ1" s="1" t="s">
        <v>1112</v>
      </c>
      <c r="BK1" s="1" t="s">
        <v>1113</v>
      </c>
      <c r="BL1" s="1" t="s">
        <v>1114</v>
      </c>
      <c r="BM1" s="1" t="s">
        <v>1115</v>
      </c>
      <c r="BN1" s="1" t="s">
        <v>1116</v>
      </c>
      <c r="BO1" s="1" t="s">
        <v>1117</v>
      </c>
      <c r="BP1" s="1" t="s">
        <v>1118</v>
      </c>
      <c r="BQ1" s="1" t="s">
        <v>1119</v>
      </c>
      <c r="BR1" s="1" t="s">
        <v>1120</v>
      </c>
    </row>
    <row r="2" spans="1:70" x14ac:dyDescent="0.2">
      <c r="A2" t="s">
        <v>1016</v>
      </c>
      <c r="B2" t="s">
        <v>38</v>
      </c>
      <c r="C2" t="s">
        <v>1017</v>
      </c>
      <c r="D2" t="s">
        <v>1018</v>
      </c>
      <c r="E2">
        <v>81359</v>
      </c>
      <c r="F2">
        <v>51584</v>
      </c>
      <c r="G2" t="s">
        <v>1018</v>
      </c>
      <c r="H2" s="1">
        <v>227.6</v>
      </c>
      <c r="I2" s="1">
        <v>114.7</v>
      </c>
      <c r="J2" s="10">
        <v>2.923</v>
      </c>
      <c r="K2" s="10">
        <f t="shared" ref="K2:K22" ca="1" si="0">SQRT(K$2^2+(AA2/Z2)^2)*J2</f>
        <v>9.5092437133559665E-2</v>
      </c>
      <c r="L2" s="7">
        <v>0.23269999999999999</v>
      </c>
      <c r="M2" s="7">
        <f t="shared" ref="M2:M22" ca="1" si="1">SQRT(M$2^2+(AC2/AB2)^2)*L2</f>
        <v>6.614356809244569E-3</v>
      </c>
      <c r="N2" s="7">
        <v>0.98928000000000005</v>
      </c>
      <c r="O2" s="8">
        <v>4.2973790000000003</v>
      </c>
      <c r="P2" s="8">
        <f t="shared" ref="P2:P22" ca="1" si="2">SQRT(P$2^2+(AF2/AE2)^2)*O2</f>
        <v>0.12215039747943025</v>
      </c>
      <c r="Q2" s="9">
        <v>9.1719999999999996E-2</v>
      </c>
      <c r="R2" s="9">
        <f t="shared" ref="R2:R22" ca="1" si="3">SQRT(R$2^2+(AH2/AG2)^2)*Q2</f>
        <v>1.8841240298876293E-3</v>
      </c>
      <c r="S2" s="8">
        <f t="shared" ref="S2:S22" si="4">(((BE2/BD2)^2+(AW2/AV2)^2)+((BE2/BD2)^2+(BC2/BB2)^2)-((BC2/BB2)^2+(AW2/AV2)^2))/(2*SQRT((BE2/BD2)^2+(AW2/AV2)^2)*SQRT((BE2/BD2)^2+(BC2/BB2)^2))</f>
        <v>0.51210753231104478</v>
      </c>
      <c r="T2" s="11">
        <v>7.6700000000000004E-2</v>
      </c>
      <c r="U2" s="11">
        <f t="shared" ref="U2:U22" ca="1" si="5">SQRT(U$2^2+(AK2/AJ2)^2)*T2</f>
        <v>2.1454966790932116E-3</v>
      </c>
      <c r="V2" s="6" t="e">
        <f ca="1">IF(agePb6U8(1/O2)&lt;1400,age7corr(1/O2,Q2,$W$2),agePb76(Q2))</f>
        <v>#NAME?</v>
      </c>
      <c r="W2" s="6" t="e">
        <f ca="1">IF(agePb6U8(1/O2)&lt;1400,ageer7corr(V2,1/O2,P2/O2*(1/O2),Q2,R2,$W$2,0.05),ageerPb76(Q2,R2))</f>
        <v>#NAME?</v>
      </c>
      <c r="X2" s="4" t="e">
        <f ca="1">agePb6U8(L2)/agePb7u5(J2)</f>
        <v>#NAME?</v>
      </c>
      <c r="Y2" s="3"/>
      <c r="Z2" s="1">
        <v>2.923</v>
      </c>
      <c r="AA2" s="1">
        <v>7.4999999999999997E-2</v>
      </c>
      <c r="AB2" s="1">
        <v>0.23269999999999999</v>
      </c>
      <c r="AC2" s="1">
        <v>4.7000000000000002E-3</v>
      </c>
      <c r="AD2" s="1">
        <v>0.98928000000000005</v>
      </c>
      <c r="AE2" s="1">
        <v>4.2973790000000003</v>
      </c>
      <c r="AF2" s="1">
        <v>8.6797079999999999E-2</v>
      </c>
      <c r="AG2" s="1">
        <v>9.1719999999999996E-2</v>
      </c>
      <c r="AH2" s="1">
        <v>4.2999999999999999E-4</v>
      </c>
      <c r="AI2" s="1">
        <v>-0.25134000000000001</v>
      </c>
      <c r="AJ2" s="1">
        <v>7.6700000000000004E-2</v>
      </c>
      <c r="AK2" s="1">
        <v>1.5E-3</v>
      </c>
      <c r="AL2" s="1">
        <v>6.3819999999999997</v>
      </c>
      <c r="AM2" s="1">
        <v>3.6999999999999998E-2</v>
      </c>
      <c r="AN2" s="1">
        <v>1387</v>
      </c>
      <c r="AO2" s="1">
        <v>20</v>
      </c>
      <c r="AP2" s="1">
        <v>1349</v>
      </c>
      <c r="AQ2" s="1">
        <v>25</v>
      </c>
      <c r="AR2" s="1">
        <v>1494</v>
      </c>
      <c r="AS2" s="1">
        <v>27</v>
      </c>
      <c r="AT2" s="1">
        <v>1461.5</v>
      </c>
      <c r="AU2" s="1">
        <v>8.9</v>
      </c>
      <c r="AV2" s="1">
        <v>48.7</v>
      </c>
      <c r="AW2" s="1">
        <v>1.3</v>
      </c>
      <c r="AX2" s="1">
        <v>8.98</v>
      </c>
      <c r="AY2" s="1">
        <v>0.42000000000000004</v>
      </c>
      <c r="AZ2" s="1">
        <v>56076.3</v>
      </c>
      <c r="BA2" s="1">
        <v>1428.3</v>
      </c>
      <c r="BB2" s="1">
        <v>40489.200000000004</v>
      </c>
      <c r="BC2" s="1">
        <v>1117.8000000000002</v>
      </c>
      <c r="BD2" s="1">
        <v>446499</v>
      </c>
      <c r="BE2" s="1">
        <v>12420</v>
      </c>
      <c r="BF2" s="1">
        <v>7.8246000000000002</v>
      </c>
      <c r="BG2" s="1">
        <v>5.5889999999999995</v>
      </c>
      <c r="BH2" s="1">
        <f t="shared" ref="BH2:BH22" si="6">BD2/BF2</f>
        <v>57063.492063492064</v>
      </c>
      <c r="BI2" s="1">
        <f t="shared" ref="BI2:BI22" si="7">SQRT((BG2/BF2)^2+(BE2/BD2)^2)*BH2</f>
        <v>40790.532603086336</v>
      </c>
      <c r="BJ2" s="27">
        <v>1394.5</v>
      </c>
      <c r="BK2" s="27">
        <v>19.100000000000001</v>
      </c>
      <c r="BL2" s="27">
        <v>1347.9</v>
      </c>
      <c r="BM2" s="27">
        <v>33.9</v>
      </c>
      <c r="BN2" s="27">
        <v>1466.5</v>
      </c>
      <c r="BO2" s="27">
        <v>41.3</v>
      </c>
      <c r="BP2" s="27">
        <v>1399.4</v>
      </c>
      <c r="BQ2" s="27">
        <v>19</v>
      </c>
      <c r="BR2" s="27">
        <v>3.2</v>
      </c>
    </row>
    <row r="3" spans="1:70" x14ac:dyDescent="0.2">
      <c r="A3" t="s">
        <v>1049</v>
      </c>
      <c r="B3" t="s">
        <v>38</v>
      </c>
      <c r="C3" t="s">
        <v>1050</v>
      </c>
      <c r="D3" t="s">
        <v>1051</v>
      </c>
      <c r="E3">
        <v>81433</v>
      </c>
      <c r="F3">
        <v>54001</v>
      </c>
      <c r="G3" t="s">
        <v>1051</v>
      </c>
      <c r="H3" s="1">
        <v>66.2</v>
      </c>
      <c r="I3" s="1">
        <v>50.3</v>
      </c>
      <c r="J3" s="10">
        <v>2.5249999999999999</v>
      </c>
      <c r="K3" s="10">
        <f t="shared" ca="1" si="0"/>
        <v>9.9730887893370312E-2</v>
      </c>
      <c r="L3" s="7">
        <v>0.21820000000000001</v>
      </c>
      <c r="M3" s="7">
        <f t="shared" ca="1" si="1"/>
        <v>7.912300297637849E-3</v>
      </c>
      <c r="N3" s="7">
        <v>0.98129999999999995</v>
      </c>
      <c r="O3" s="8">
        <v>4.5829510000000004</v>
      </c>
      <c r="P3" s="8">
        <f t="shared" ca="1" si="2"/>
        <v>0.16618552555096486</v>
      </c>
      <c r="Q3" s="9">
        <v>8.3970000000000003E-2</v>
      </c>
      <c r="R3" s="9">
        <f t="shared" ca="1" si="3"/>
        <v>1.8044346372202017E-3</v>
      </c>
      <c r="S3" s="8">
        <f t="shared" si="4"/>
        <v>0.4684018878013107</v>
      </c>
      <c r="T3" s="11">
        <v>7.6399999999999996E-2</v>
      </c>
      <c r="U3" s="11">
        <f t="shared" ca="1" si="5"/>
        <v>3.1897937237382605E-3</v>
      </c>
      <c r="V3" s="6" t="e">
        <f ca="1">IF(agePb6U8(1/O3)&lt;1400,age7corr(1/O3,Q3,$W$2),agePb76(Q3))</f>
        <v>#NAME?</v>
      </c>
      <c r="W3" s="6" t="e">
        <f ca="1">IF(agePb6U8(1/O3)&lt;1400,ageer7corr(V3,1/O3,P3/O3*(1/O3),Q3,R3,$W$2,0.05),ageerPb76(Q3,R3))</f>
        <v>#NAME?</v>
      </c>
      <c r="X3" s="4" t="e">
        <f ca="1">agePb6U8(L3)/agePb7u5(J3)</f>
        <v>#NAME?</v>
      </c>
      <c r="Y3" s="3"/>
      <c r="Z3" s="1">
        <v>2.5249999999999999</v>
      </c>
      <c r="AA3" s="1">
        <v>8.5999999999999993E-2</v>
      </c>
      <c r="AB3" s="1">
        <v>0.21820000000000001</v>
      </c>
      <c r="AC3" s="1">
        <v>6.6E-3</v>
      </c>
      <c r="AD3" s="1">
        <v>0.98129999999999995</v>
      </c>
      <c r="AE3" s="1">
        <v>4.5829510000000004</v>
      </c>
      <c r="AF3" s="1">
        <v>0.13862269999999999</v>
      </c>
      <c r="AG3" s="1">
        <v>8.3970000000000003E-2</v>
      </c>
      <c r="AH3" s="1">
        <v>6.6E-4</v>
      </c>
      <c r="AI3" s="1">
        <v>-0.26789000000000002</v>
      </c>
      <c r="AJ3" s="1">
        <v>7.6399999999999996E-2</v>
      </c>
      <c r="AK3" s="1">
        <v>2.8E-3</v>
      </c>
      <c r="AL3" s="1">
        <v>4.01</v>
      </c>
      <c r="AM3" s="1">
        <v>2.1999999999999999E-2</v>
      </c>
      <c r="AN3" s="1">
        <v>1278</v>
      </c>
      <c r="AO3" s="1">
        <v>25</v>
      </c>
      <c r="AP3" s="1">
        <v>1272</v>
      </c>
      <c r="AQ3" s="1">
        <v>35</v>
      </c>
      <c r="AR3" s="1">
        <v>1501</v>
      </c>
      <c r="AS3" s="1">
        <v>57</v>
      </c>
      <c r="AT3" s="1">
        <v>1292</v>
      </c>
      <c r="AU3" s="1">
        <v>15</v>
      </c>
      <c r="AV3" s="1">
        <v>14.14</v>
      </c>
      <c r="AW3" s="1">
        <v>0.31</v>
      </c>
      <c r="AX3" s="1">
        <v>3.94</v>
      </c>
      <c r="AY3" s="1">
        <v>0.19</v>
      </c>
      <c r="AZ3" s="1">
        <v>24219</v>
      </c>
      <c r="BA3" s="1">
        <v>621</v>
      </c>
      <c r="BB3" s="1">
        <v>10116.09</v>
      </c>
      <c r="BC3" s="1">
        <v>273.24</v>
      </c>
      <c r="BD3" s="1">
        <v>121716</v>
      </c>
      <c r="BE3" s="1">
        <v>2794.5000000000005</v>
      </c>
      <c r="BF3" s="1">
        <v>-24.839999999999996</v>
      </c>
      <c r="BG3" s="1">
        <v>7.4519999999999991</v>
      </c>
      <c r="BH3" s="1">
        <f t="shared" si="6"/>
        <v>-4900.0000000000009</v>
      </c>
      <c r="BI3" s="1">
        <f t="shared" si="7"/>
        <v>-1474.2985620287368</v>
      </c>
      <c r="BJ3" s="27">
        <v>1280</v>
      </c>
      <c r="BK3" s="27">
        <v>24.3</v>
      </c>
      <c r="BL3" s="27">
        <v>1273.0999999999999</v>
      </c>
      <c r="BM3" s="27">
        <v>42.9</v>
      </c>
      <c r="BN3" s="27">
        <v>1291.7</v>
      </c>
      <c r="BO3" s="27">
        <v>46.3</v>
      </c>
      <c r="BP3" s="27">
        <v>1281.9000000000001</v>
      </c>
      <c r="BQ3" s="27">
        <v>23</v>
      </c>
      <c r="BR3" s="27">
        <v>0.54</v>
      </c>
    </row>
    <row r="4" spans="1:70" x14ac:dyDescent="0.2">
      <c r="A4" t="s">
        <v>1052</v>
      </c>
      <c r="B4" t="s">
        <v>38</v>
      </c>
      <c r="C4" t="s">
        <v>1053</v>
      </c>
      <c r="D4" t="s">
        <v>1054</v>
      </c>
      <c r="E4">
        <v>81400</v>
      </c>
      <c r="F4">
        <v>54279</v>
      </c>
      <c r="G4" t="s">
        <v>1054</v>
      </c>
      <c r="H4" s="1">
        <v>131.5</v>
      </c>
      <c r="I4" s="1">
        <v>68.900000000000006</v>
      </c>
      <c r="J4" s="10">
        <v>2.39</v>
      </c>
      <c r="K4" s="10">
        <f t="shared" ca="1" si="0"/>
        <v>0.11083699743316759</v>
      </c>
      <c r="L4" s="7">
        <v>0.2082</v>
      </c>
      <c r="M4" s="7">
        <f t="shared" ca="1" si="1"/>
        <v>9.8259297778887072E-3</v>
      </c>
      <c r="N4" s="7">
        <v>0.99268000000000001</v>
      </c>
      <c r="O4" s="8">
        <v>4.8030739999999996</v>
      </c>
      <c r="P4" s="8">
        <f t="shared" ca="1" si="2"/>
        <v>0.22667945762569749</v>
      </c>
      <c r="Q4" s="9">
        <v>8.3419999999999994E-2</v>
      </c>
      <c r="R4" s="9">
        <f t="shared" ca="1" si="3"/>
        <v>1.7869411182241009E-3</v>
      </c>
      <c r="S4" s="8">
        <f t="shared" si="4"/>
        <v>0.40729786745224306</v>
      </c>
      <c r="T4" s="11">
        <v>8.0500000000000002E-2</v>
      </c>
      <c r="U4" s="11">
        <f t="shared" ca="1" si="5"/>
        <v>3.852544613628764E-3</v>
      </c>
      <c r="V4" s="6" t="e">
        <f ca="1">IF(agePb6U8(1/O4)&lt;1400,age7corr(1/O4,Q4,$W$2),agePb76(Q4))</f>
        <v>#NAME?</v>
      </c>
      <c r="W4" s="6" t="e">
        <f ca="1">IF(agePb6U8(1/O4)&lt;1400,ageer7corr(V4,1/O4,P4/O4*(1/O4),Q4,R4,$W$2,0.05),ageerPb76(Q4,R4))</f>
        <v>#NAME?</v>
      </c>
      <c r="X4" s="4" t="e">
        <f ca="1">agePb6U8(L4)/agePb7u5(J4)</f>
        <v>#NAME?</v>
      </c>
      <c r="Y4" s="3"/>
      <c r="Z4" s="1">
        <v>2.39</v>
      </c>
      <c r="AA4" s="1">
        <v>0.1</v>
      </c>
      <c r="AB4" s="1">
        <v>0.2082</v>
      </c>
      <c r="AC4" s="1">
        <v>8.8999999999999999E-3</v>
      </c>
      <c r="AD4" s="1">
        <v>0.99268000000000001</v>
      </c>
      <c r="AE4" s="1">
        <v>4.8030739999999996</v>
      </c>
      <c r="AF4" s="1">
        <v>0.20531869999999999</v>
      </c>
      <c r="AG4" s="1">
        <v>8.3419999999999994E-2</v>
      </c>
      <c r="AH4" s="1">
        <v>6.4000000000000005E-4</v>
      </c>
      <c r="AI4" s="1">
        <v>-7.8001000000000001E-2</v>
      </c>
      <c r="AJ4" s="1">
        <v>8.0500000000000002E-2</v>
      </c>
      <c r="AK4" s="1">
        <v>3.5000000000000001E-3</v>
      </c>
      <c r="AL4" s="1">
        <v>5.234</v>
      </c>
      <c r="AM4" s="1">
        <v>5.6000000000000001E-2</v>
      </c>
      <c r="AN4" s="1">
        <v>1238</v>
      </c>
      <c r="AO4" s="1">
        <v>31</v>
      </c>
      <c r="AP4" s="1">
        <v>1218</v>
      </c>
      <c r="AQ4" s="1">
        <v>47</v>
      </c>
      <c r="AR4" s="1">
        <v>1565</v>
      </c>
      <c r="AS4" s="1">
        <v>65</v>
      </c>
      <c r="AT4" s="1">
        <v>1279</v>
      </c>
      <c r="AU4" s="1">
        <v>15</v>
      </c>
      <c r="AV4" s="1">
        <v>28.1</v>
      </c>
      <c r="AW4" s="1">
        <v>0.98</v>
      </c>
      <c r="AX4" s="1">
        <v>5.39</v>
      </c>
      <c r="AY4" s="1">
        <v>0.12000000000000001</v>
      </c>
      <c r="AZ4" s="1">
        <v>34776</v>
      </c>
      <c r="BA4" s="1">
        <v>931.50000000000011</v>
      </c>
      <c r="BB4" s="1">
        <v>18859.77</v>
      </c>
      <c r="BC4" s="1">
        <v>416.07</v>
      </c>
      <c r="BD4" s="1">
        <v>229956.30000000002</v>
      </c>
      <c r="BE4" s="1">
        <v>5402.7</v>
      </c>
      <c r="BF4" s="1">
        <v>2.2356000000000003</v>
      </c>
      <c r="BG4" s="1">
        <v>5.8995000000000006</v>
      </c>
      <c r="BH4" s="1">
        <f t="shared" si="6"/>
        <v>102861.11111111111</v>
      </c>
      <c r="BI4" s="1">
        <f t="shared" si="7"/>
        <v>271449.8009880851</v>
      </c>
      <c r="BJ4" s="27">
        <v>1237.5</v>
      </c>
      <c r="BK4" s="27">
        <v>31.4</v>
      </c>
      <c r="BL4" s="27">
        <v>1219.9000000000001</v>
      </c>
      <c r="BM4" s="27">
        <v>53.3</v>
      </c>
      <c r="BN4" s="27">
        <v>1268.3</v>
      </c>
      <c r="BO4" s="27">
        <v>47</v>
      </c>
      <c r="BP4" s="27">
        <v>1246.4000000000001</v>
      </c>
      <c r="BQ4" s="27">
        <v>27.4</v>
      </c>
      <c r="BR4" s="27">
        <v>1.7</v>
      </c>
    </row>
    <row r="5" spans="1:70" x14ac:dyDescent="0.2">
      <c r="A5" t="s">
        <v>1061</v>
      </c>
      <c r="B5" t="s">
        <v>38</v>
      </c>
      <c r="C5" t="s">
        <v>1062</v>
      </c>
      <c r="D5" t="s">
        <v>1063</v>
      </c>
      <c r="E5">
        <v>81429</v>
      </c>
      <c r="F5">
        <v>54426</v>
      </c>
      <c r="G5" t="s">
        <v>1063</v>
      </c>
      <c r="H5" s="1">
        <v>114</v>
      </c>
      <c r="I5" s="1">
        <v>56.8</v>
      </c>
      <c r="J5" s="10">
        <v>2.37</v>
      </c>
      <c r="K5" s="10">
        <f t="shared" ca="1" si="0"/>
        <v>0.11066508030991529</v>
      </c>
      <c r="L5" s="7">
        <v>0.2009</v>
      </c>
      <c r="M5" s="7">
        <f t="shared" ca="1" si="1"/>
        <v>9.2214057496674551E-3</v>
      </c>
      <c r="N5" s="7">
        <v>0.99170000000000003</v>
      </c>
      <c r="O5" s="8">
        <v>4.9776009999999999</v>
      </c>
      <c r="P5" s="8">
        <f t="shared" ca="1" si="2"/>
        <v>0.22847422329680955</v>
      </c>
      <c r="Q5" s="9">
        <v>8.5790000000000005E-2</v>
      </c>
      <c r="R5" s="9">
        <f t="shared" ca="1" si="3"/>
        <v>1.7957922040147075E-3</v>
      </c>
      <c r="S5" s="8">
        <f t="shared" si="4"/>
        <v>0.46638590236297295</v>
      </c>
      <c r="T5" s="11">
        <v>8.0299999999999996E-2</v>
      </c>
      <c r="U5" s="11">
        <f t="shared" ca="1" si="5"/>
        <v>3.2278841367062729E-3</v>
      </c>
      <c r="V5" s="6" t="e">
        <f ca="1">IF(agePb6U8(1/O5)&lt;1400,age7corr(1/O5,Q5,$W$2),agePb76(Q5))</f>
        <v>#NAME?</v>
      </c>
      <c r="W5" s="6" t="e">
        <f ca="1">IF(agePb6U8(1/O5)&lt;1400,ageer7corr(V5,1/O5,P5/O5*(1/O5),Q5,R5,$W$2,0.05),ageerPb76(Q5,R5))</f>
        <v>#NAME?</v>
      </c>
      <c r="X5" s="4" t="e">
        <f ca="1">agePb6U8(L5)/agePb7u5(J5)</f>
        <v>#NAME?</v>
      </c>
      <c r="Y5" s="3"/>
      <c r="Z5" s="1">
        <v>2.37</v>
      </c>
      <c r="AA5" s="1">
        <v>0.1</v>
      </c>
      <c r="AB5" s="1">
        <v>0.2009</v>
      </c>
      <c r="AC5" s="1">
        <v>8.3000000000000001E-3</v>
      </c>
      <c r="AD5" s="1">
        <v>0.99170000000000003</v>
      </c>
      <c r="AE5" s="1">
        <v>4.9776009999999999</v>
      </c>
      <c r="AF5" s="1">
        <v>0.20564499999999999</v>
      </c>
      <c r="AG5" s="1">
        <v>8.5790000000000005E-2</v>
      </c>
      <c r="AH5" s="1">
        <v>5.2999999999999998E-4</v>
      </c>
      <c r="AI5" s="1">
        <v>-0.4168</v>
      </c>
      <c r="AJ5" s="1">
        <v>8.0299999999999996E-2</v>
      </c>
      <c r="AK5" s="1">
        <v>2.8E-3</v>
      </c>
      <c r="AL5" s="1">
        <v>5.2069999999999999</v>
      </c>
      <c r="AM5" s="1">
        <v>6.2E-2</v>
      </c>
      <c r="AN5" s="1">
        <v>1232</v>
      </c>
      <c r="AO5" s="1">
        <v>32</v>
      </c>
      <c r="AP5" s="1">
        <v>1180</v>
      </c>
      <c r="AQ5" s="1">
        <v>45</v>
      </c>
      <c r="AR5" s="1">
        <v>1561</v>
      </c>
      <c r="AS5" s="1">
        <v>53</v>
      </c>
      <c r="AT5" s="1">
        <v>1333</v>
      </c>
      <c r="AU5" s="1">
        <v>12</v>
      </c>
      <c r="AV5" s="1">
        <v>24.36</v>
      </c>
      <c r="AW5" s="1">
        <v>0.84000000000000008</v>
      </c>
      <c r="AX5" s="1">
        <v>4.45</v>
      </c>
      <c r="AY5" s="1">
        <v>0.11</v>
      </c>
      <c r="AZ5" s="1">
        <v>28938.6</v>
      </c>
      <c r="BA5" s="1">
        <v>869.4</v>
      </c>
      <c r="BB5" s="1">
        <v>15885.179999999998</v>
      </c>
      <c r="BC5" s="1">
        <v>577.53000000000009</v>
      </c>
      <c r="BD5" s="1">
        <v>187542</v>
      </c>
      <c r="BE5" s="1">
        <v>6210</v>
      </c>
      <c r="BF5" s="1">
        <v>7.1415000000000006</v>
      </c>
      <c r="BG5" s="1">
        <v>5.5889999999999995</v>
      </c>
      <c r="BH5" s="1">
        <f t="shared" si="6"/>
        <v>26260.869565217388</v>
      </c>
      <c r="BI5" s="1">
        <f t="shared" si="7"/>
        <v>20570.372530825472</v>
      </c>
      <c r="BJ5" s="27">
        <v>1236.5999999999999</v>
      </c>
      <c r="BK5" s="27">
        <v>29.2</v>
      </c>
      <c r="BL5" s="27">
        <v>1179.5999999999999</v>
      </c>
      <c r="BM5" s="27">
        <v>49.8</v>
      </c>
      <c r="BN5" s="27">
        <v>1337.3</v>
      </c>
      <c r="BO5" s="27">
        <v>45</v>
      </c>
      <c r="BP5" s="27">
        <v>1265</v>
      </c>
      <c r="BQ5" s="27">
        <v>25.1</v>
      </c>
      <c r="BR5" s="27">
        <v>5.4</v>
      </c>
    </row>
    <row r="6" spans="1:70" x14ac:dyDescent="0.2">
      <c r="A6" t="s">
        <v>1064</v>
      </c>
      <c r="B6" t="s">
        <v>38</v>
      </c>
      <c r="C6" t="s">
        <v>1065</v>
      </c>
      <c r="D6" t="s">
        <v>1066</v>
      </c>
      <c r="E6">
        <v>81380</v>
      </c>
      <c r="F6">
        <v>54503</v>
      </c>
      <c r="G6" t="s">
        <v>1066</v>
      </c>
      <c r="H6" s="1">
        <v>185.5</v>
      </c>
      <c r="I6" s="1">
        <v>141.4</v>
      </c>
      <c r="J6" s="10">
        <v>2.6059999999999999</v>
      </c>
      <c r="K6" s="10">
        <f t="shared" ca="1" si="0"/>
        <v>9.8007624193222842E-2</v>
      </c>
      <c r="L6" s="7">
        <v>0.20880000000000001</v>
      </c>
      <c r="M6" s="7">
        <f t="shared" ca="1" si="1"/>
        <v>7.4752241437966256E-3</v>
      </c>
      <c r="N6" s="7">
        <v>0.98018000000000005</v>
      </c>
      <c r="O6" s="8">
        <v>4.7892720000000004</v>
      </c>
      <c r="P6" s="8">
        <f t="shared" ca="1" si="2"/>
        <v>0.17146017467631838</v>
      </c>
      <c r="Q6" s="9">
        <v>8.9709999999999998E-2</v>
      </c>
      <c r="R6" s="9">
        <f t="shared" ca="1" si="3"/>
        <v>1.8625664122387689E-3</v>
      </c>
      <c r="S6" s="8">
        <f t="shared" si="4"/>
        <v>0.53997891876113913</v>
      </c>
      <c r="T6" s="11">
        <v>5.7799999999999997E-2</v>
      </c>
      <c r="U6" s="11">
        <f t="shared" ca="1" si="5"/>
        <v>2.2240359709321251E-3</v>
      </c>
      <c r="V6" s="6" t="e">
        <f ca="1">IF(agePb6U8(1/O6)&lt;1400,age7corr(1/O6,Q6,$W$2),agePb76(Q6))</f>
        <v>#NAME?</v>
      </c>
      <c r="W6" s="6" t="e">
        <f ca="1">IF(agePb6U8(1/O6)&lt;1400,ageer7corr(V6,1/O6,P6/O6*(1/O6),Q6,R6,$W$2,0.05),ageerPb76(Q6,R6))</f>
        <v>#NAME?</v>
      </c>
      <c r="X6" s="4" t="e">
        <f ca="1">agePb6U8(L6)/agePb7u5(J6)</f>
        <v>#NAME?</v>
      </c>
      <c r="Y6" s="3"/>
      <c r="Z6" s="1">
        <v>2.6059999999999999</v>
      </c>
      <c r="AA6" s="1">
        <v>8.3000000000000004E-2</v>
      </c>
      <c r="AB6" s="1">
        <v>0.20880000000000001</v>
      </c>
      <c r="AC6" s="1">
        <v>6.1999999999999998E-3</v>
      </c>
      <c r="AD6" s="1">
        <v>0.98018000000000005</v>
      </c>
      <c r="AE6" s="1">
        <v>4.7892720000000004</v>
      </c>
      <c r="AF6" s="1">
        <v>0.14221020000000001</v>
      </c>
      <c r="AG6" s="1">
        <v>8.9709999999999998E-2</v>
      </c>
      <c r="AH6" s="1">
        <v>5.0000000000000001E-4</v>
      </c>
      <c r="AI6" s="1">
        <v>-8.1323999999999994E-2</v>
      </c>
      <c r="AJ6" s="1">
        <v>5.7799999999999997E-2</v>
      </c>
      <c r="AK6" s="1">
        <v>1.9E-3</v>
      </c>
      <c r="AL6" s="1">
        <v>5.0279999999999996</v>
      </c>
      <c r="AM6" s="1">
        <v>3.5999999999999997E-2</v>
      </c>
      <c r="AN6" s="1">
        <v>1301</v>
      </c>
      <c r="AO6" s="1">
        <v>24</v>
      </c>
      <c r="AP6" s="1">
        <v>1222</v>
      </c>
      <c r="AQ6" s="1">
        <v>33</v>
      </c>
      <c r="AR6" s="1">
        <v>1135</v>
      </c>
      <c r="AS6" s="1">
        <v>36</v>
      </c>
      <c r="AT6" s="1">
        <v>1419</v>
      </c>
      <c r="AU6" s="1">
        <v>11</v>
      </c>
      <c r="AV6" s="1">
        <v>39.620000000000005</v>
      </c>
      <c r="AW6" s="1">
        <v>0.87</v>
      </c>
      <c r="AX6" s="1">
        <v>11.07</v>
      </c>
      <c r="AY6" s="1">
        <v>0.28999999999999998</v>
      </c>
      <c r="AZ6" s="1">
        <v>52164.000000000007</v>
      </c>
      <c r="BA6" s="1">
        <v>1490.4</v>
      </c>
      <c r="BB6" s="1">
        <v>29187</v>
      </c>
      <c r="BC6" s="1">
        <v>683.09999999999991</v>
      </c>
      <c r="BD6" s="1">
        <v>328509</v>
      </c>
      <c r="BE6" s="1">
        <v>8072.9999999999982</v>
      </c>
      <c r="BF6" s="1">
        <v>11.426399999999999</v>
      </c>
      <c r="BG6" s="1">
        <v>5.3406000000000002</v>
      </c>
      <c r="BH6" s="1">
        <f t="shared" si="6"/>
        <v>28750.000000000004</v>
      </c>
      <c r="BI6" s="1">
        <f t="shared" si="7"/>
        <v>13456.061058789233</v>
      </c>
      <c r="BJ6" s="27">
        <v>1297.7</v>
      </c>
      <c r="BK6" s="27">
        <v>22</v>
      </c>
      <c r="BL6" s="27">
        <v>1222.3</v>
      </c>
      <c r="BM6" s="27">
        <v>39.5</v>
      </c>
      <c r="BN6" s="27">
        <v>1424.7</v>
      </c>
      <c r="BO6" s="27">
        <v>42.4</v>
      </c>
      <c r="BP6" s="27">
        <v>1319.5</v>
      </c>
      <c r="BQ6" s="27">
        <v>20.6</v>
      </c>
      <c r="BR6" s="27">
        <v>6</v>
      </c>
    </row>
    <row r="7" spans="1:70" x14ac:dyDescent="0.2">
      <c r="A7" t="s">
        <v>1067</v>
      </c>
      <c r="B7" t="s">
        <v>38</v>
      </c>
      <c r="C7" t="s">
        <v>1068</v>
      </c>
      <c r="D7" t="s">
        <v>1069</v>
      </c>
      <c r="E7">
        <v>81418</v>
      </c>
      <c r="F7">
        <v>54567</v>
      </c>
      <c r="G7" t="s">
        <v>1069</v>
      </c>
      <c r="H7" s="1">
        <v>45.26</v>
      </c>
      <c r="I7" s="1">
        <v>37.6</v>
      </c>
      <c r="J7" s="10">
        <v>3.2450000000000001</v>
      </c>
      <c r="K7" s="10">
        <f t="shared" ca="1" si="0"/>
        <v>9.7678093756993434E-2</v>
      </c>
      <c r="L7" s="7">
        <v>0.25740000000000002</v>
      </c>
      <c r="M7" s="7">
        <f t="shared" ca="1" si="1"/>
        <v>7.9819736907609518E-3</v>
      </c>
      <c r="N7" s="7">
        <v>0.95142000000000004</v>
      </c>
      <c r="O7" s="8">
        <v>3.8850039999999999</v>
      </c>
      <c r="P7" s="8">
        <f t="shared" ca="1" si="2"/>
        <v>0.12047396985949288</v>
      </c>
      <c r="Q7" s="9">
        <v>9.1509999999999994E-2</v>
      </c>
      <c r="R7" s="9">
        <f t="shared" ca="1" si="3"/>
        <v>2.0055004462727001E-3</v>
      </c>
      <c r="S7" s="8">
        <f t="shared" si="4"/>
        <v>0.41575780438243615</v>
      </c>
      <c r="T7" s="11">
        <v>9.4600000000000004E-2</v>
      </c>
      <c r="U7" s="11">
        <f t="shared" ca="1" si="5"/>
        <v>3.7174808674692596E-3</v>
      </c>
      <c r="V7" s="6" t="e">
        <f ca="1">IF(agePb6U8(1/O7)&lt;1400,age7corr(1/O7,Q7,$W$2),agePb76(Q7))</f>
        <v>#NAME?</v>
      </c>
      <c r="W7" s="6" t="e">
        <f ca="1">IF(agePb6U8(1/O7)&lt;1400,ageer7corr(V7,1/O7,P7/O7*(1/O7),Q7,R7,$W$2,0.05),ageerPb76(Q7,R7))</f>
        <v>#NAME?</v>
      </c>
      <c r="X7" s="4" t="e">
        <f ca="1">agePb6U8(L7)/agePb7u5(J7)</f>
        <v>#NAME?</v>
      </c>
      <c r="Y7" s="3"/>
      <c r="Z7" s="1">
        <v>3.2450000000000001</v>
      </c>
      <c r="AA7" s="1">
        <v>7.2999999999999995E-2</v>
      </c>
      <c r="AB7" s="1">
        <v>0.25740000000000002</v>
      </c>
      <c r="AC7" s="1">
        <v>6.1000000000000004E-3</v>
      </c>
      <c r="AD7" s="1">
        <v>0.95142000000000004</v>
      </c>
      <c r="AE7" s="1">
        <v>3.8850039999999999</v>
      </c>
      <c r="AF7" s="1">
        <v>9.2068860000000002E-2</v>
      </c>
      <c r="AG7" s="1">
        <v>9.1509999999999994E-2</v>
      </c>
      <c r="AH7" s="1">
        <v>8.1999999999999998E-4</v>
      </c>
      <c r="AI7" s="1">
        <v>0.13106000000000001</v>
      </c>
      <c r="AJ7" s="1">
        <v>9.4600000000000004E-2</v>
      </c>
      <c r="AK7" s="1">
        <v>3.2000000000000002E-3</v>
      </c>
      <c r="AL7" s="1">
        <v>3.4940000000000002</v>
      </c>
      <c r="AM7" s="1">
        <v>2.7E-2</v>
      </c>
      <c r="AN7" s="1">
        <v>1467</v>
      </c>
      <c r="AO7" s="1">
        <v>17</v>
      </c>
      <c r="AP7" s="1">
        <v>1476</v>
      </c>
      <c r="AQ7" s="1">
        <v>31</v>
      </c>
      <c r="AR7" s="1">
        <v>1827</v>
      </c>
      <c r="AS7" s="1">
        <v>60</v>
      </c>
      <c r="AT7" s="1">
        <v>1457</v>
      </c>
      <c r="AU7" s="1">
        <v>17</v>
      </c>
      <c r="AV7" s="1">
        <v>9.67</v>
      </c>
      <c r="AW7" s="1">
        <v>0.19</v>
      </c>
      <c r="AX7" s="1">
        <v>2.94</v>
      </c>
      <c r="AY7" s="1">
        <v>0.12000000000000001</v>
      </c>
      <c r="AZ7" s="1">
        <v>22505.040000000001</v>
      </c>
      <c r="BA7" s="1">
        <v>353.96999999999997</v>
      </c>
      <c r="BB7" s="1">
        <v>8898.9299999999985</v>
      </c>
      <c r="BC7" s="1">
        <v>173.88</v>
      </c>
      <c r="BD7" s="1">
        <v>97683.3</v>
      </c>
      <c r="BE7" s="1">
        <v>1614.6</v>
      </c>
      <c r="BF7" s="1">
        <v>-2.5461</v>
      </c>
      <c r="BG7" s="1">
        <v>5.7131999999999996</v>
      </c>
      <c r="BH7" s="1">
        <f t="shared" si="6"/>
        <v>-38365.853658536587</v>
      </c>
      <c r="BI7" s="1">
        <f t="shared" si="7"/>
        <v>-86091.568177016263</v>
      </c>
      <c r="BJ7" s="27">
        <v>1471.4</v>
      </c>
      <c r="BK7" s="27">
        <v>22.8</v>
      </c>
      <c r="BL7" s="27">
        <v>1474.8</v>
      </c>
      <c r="BM7" s="27">
        <v>40.700000000000003</v>
      </c>
      <c r="BN7" s="27">
        <v>1466.5</v>
      </c>
      <c r="BO7" s="27">
        <v>41.3</v>
      </c>
      <c r="BP7" s="27">
        <v>1470.7</v>
      </c>
      <c r="BQ7" s="27">
        <v>22</v>
      </c>
      <c r="BR7" s="27">
        <v>-0.23</v>
      </c>
    </row>
    <row r="8" spans="1:70" x14ac:dyDescent="0.2">
      <c r="A8" t="s">
        <v>1070</v>
      </c>
      <c r="B8" t="s">
        <v>38</v>
      </c>
      <c r="C8" t="s">
        <v>1071</v>
      </c>
      <c r="D8" t="s">
        <v>1072</v>
      </c>
      <c r="E8">
        <v>81368</v>
      </c>
      <c r="F8">
        <v>54706</v>
      </c>
      <c r="G8" t="s">
        <v>1072</v>
      </c>
      <c r="H8" s="1">
        <v>140.80000000000001</v>
      </c>
      <c r="I8" s="1">
        <v>60</v>
      </c>
      <c r="J8" s="10">
        <v>2.286</v>
      </c>
      <c r="K8" s="10">
        <f t="shared" ca="1" si="0"/>
        <v>7.4641264726691234E-2</v>
      </c>
      <c r="L8" s="7">
        <v>0.20300000000000001</v>
      </c>
      <c r="M8" s="7">
        <f t="shared" ca="1" si="1"/>
        <v>6.5972418479240255E-3</v>
      </c>
      <c r="N8" s="7">
        <v>0.97729999999999995</v>
      </c>
      <c r="O8" s="8">
        <v>4.9261080000000002</v>
      </c>
      <c r="P8" s="8">
        <f t="shared" ca="1" si="2"/>
        <v>0.16009223156376326</v>
      </c>
      <c r="Q8" s="9">
        <v>8.1920000000000007E-2</v>
      </c>
      <c r="R8" s="9">
        <f t="shared" ca="1" si="3"/>
        <v>1.7282518797906749E-3</v>
      </c>
      <c r="S8" s="8">
        <f t="shared" si="4"/>
        <v>0.44112128020017838</v>
      </c>
      <c r="T8" s="11">
        <v>7.6100000000000001E-2</v>
      </c>
      <c r="U8" s="11">
        <f t="shared" ca="1" si="5"/>
        <v>2.3572195485359439E-3</v>
      </c>
      <c r="V8" s="6" t="e">
        <f ca="1">IF(agePb6U8(1/O8)&lt;1400,age7corr(1/O8,Q8,$W$2),agePb76(Q8))</f>
        <v>#NAME?</v>
      </c>
      <c r="W8" s="6" t="e">
        <f ca="1">IF(agePb6U8(1/O8)&lt;1400,ageer7corr(V8,1/O8,P8/O8*(1/O8),Q8,R8,$W$2,0.05),ageerPb76(Q8,R8))</f>
        <v>#NAME?</v>
      </c>
      <c r="X8" s="4" t="e">
        <f ca="1">agePb6U8(L8)/agePb7u5(J8)</f>
        <v>#NAME?</v>
      </c>
      <c r="Y8" s="3"/>
      <c r="Z8" s="1">
        <v>2.286</v>
      </c>
      <c r="AA8" s="1">
        <v>5.8999999999999997E-2</v>
      </c>
      <c r="AB8" s="1">
        <v>0.20300000000000001</v>
      </c>
      <c r="AC8" s="1">
        <v>5.1999999999999998E-3</v>
      </c>
      <c r="AD8" s="1">
        <v>0.97729999999999995</v>
      </c>
      <c r="AE8" s="1">
        <v>4.9261080000000002</v>
      </c>
      <c r="AF8" s="1">
        <v>0.12618599999999999</v>
      </c>
      <c r="AG8" s="1">
        <v>8.1920000000000007E-2</v>
      </c>
      <c r="AH8" s="1">
        <v>5.5000000000000003E-4</v>
      </c>
      <c r="AI8" s="1">
        <v>-8.974E-2</v>
      </c>
      <c r="AJ8" s="1">
        <v>7.6100000000000001E-2</v>
      </c>
      <c r="AK8" s="1">
        <v>1.8E-3</v>
      </c>
      <c r="AL8" s="1">
        <v>6.6559999999999997</v>
      </c>
      <c r="AM8" s="1">
        <v>4.2999999999999997E-2</v>
      </c>
      <c r="AN8" s="1">
        <v>1207</v>
      </c>
      <c r="AO8" s="1">
        <v>18</v>
      </c>
      <c r="AP8" s="1">
        <v>1191</v>
      </c>
      <c r="AQ8" s="1">
        <v>28</v>
      </c>
      <c r="AR8" s="1">
        <v>1483</v>
      </c>
      <c r="AS8" s="1">
        <v>34</v>
      </c>
      <c r="AT8" s="1">
        <v>1243</v>
      </c>
      <c r="AU8" s="1">
        <v>13</v>
      </c>
      <c r="AV8" s="1">
        <v>30.07</v>
      </c>
      <c r="AW8" s="1">
        <v>0.72000000000000008</v>
      </c>
      <c r="AX8" s="1">
        <v>4.7</v>
      </c>
      <c r="AY8" s="1">
        <v>0.12999999999999998</v>
      </c>
      <c r="AZ8" s="1">
        <v>28814.400000000001</v>
      </c>
      <c r="BA8" s="1">
        <v>552.68999999999994</v>
      </c>
      <c r="BB8" s="1">
        <v>19486.98</v>
      </c>
      <c r="BC8" s="1">
        <v>484.38</v>
      </c>
      <c r="BD8" s="1">
        <v>240637.5</v>
      </c>
      <c r="BE8" s="1">
        <v>5216.3999999999996</v>
      </c>
      <c r="BF8" s="1">
        <v>3.2292000000000001</v>
      </c>
      <c r="BG8" s="1">
        <v>6.0858000000000008</v>
      </c>
      <c r="BH8" s="1">
        <f t="shared" si="6"/>
        <v>74519.230769230766</v>
      </c>
      <c r="BI8" s="1">
        <f t="shared" si="7"/>
        <v>140449.37877271304</v>
      </c>
      <c r="BJ8" s="27">
        <v>1209.9000000000001</v>
      </c>
      <c r="BK8" s="27">
        <v>21.8</v>
      </c>
      <c r="BL8" s="27">
        <v>1190.5999999999999</v>
      </c>
      <c r="BM8" s="27">
        <v>35.299999999999997</v>
      </c>
      <c r="BN8" s="27">
        <v>1244.5999999999999</v>
      </c>
      <c r="BO8" s="27">
        <v>47.8</v>
      </c>
      <c r="BP8" s="27">
        <v>1211.9000000000001</v>
      </c>
      <c r="BQ8" s="27">
        <v>21.7</v>
      </c>
      <c r="BR8" s="27">
        <v>1.5</v>
      </c>
    </row>
    <row r="9" spans="1:70" x14ac:dyDescent="0.2">
      <c r="A9" t="s">
        <v>1073</v>
      </c>
      <c r="B9" t="s">
        <v>38</v>
      </c>
      <c r="C9" t="s">
        <v>1074</v>
      </c>
      <c r="D9" t="s">
        <v>1075</v>
      </c>
      <c r="E9">
        <v>81324</v>
      </c>
      <c r="F9">
        <v>55150</v>
      </c>
      <c r="G9" t="s">
        <v>1075</v>
      </c>
      <c r="H9" s="1">
        <v>111.2</v>
      </c>
      <c r="I9" s="1">
        <v>73</v>
      </c>
      <c r="J9" s="10">
        <v>3.4009999999999998</v>
      </c>
      <c r="K9" s="10">
        <f t="shared" ca="1" si="0"/>
        <v>0.11847244574161539</v>
      </c>
      <c r="L9" s="7">
        <v>0.26100000000000001</v>
      </c>
      <c r="M9" s="7">
        <f t="shared" ca="1" si="1"/>
        <v>8.4934327571365414E-3</v>
      </c>
      <c r="N9" s="7">
        <v>0.97990999999999995</v>
      </c>
      <c r="O9" s="8">
        <v>3.8314180000000002</v>
      </c>
      <c r="P9" s="8">
        <f t="shared" ca="1" si="2"/>
        <v>0.12468156862844484</v>
      </c>
      <c r="Q9" s="9">
        <v>9.4369999999999996E-2</v>
      </c>
      <c r="R9" s="9">
        <f t="shared" ca="1" si="3"/>
        <v>2.0027927401506124E-3</v>
      </c>
      <c r="S9" s="8">
        <f t="shared" si="4"/>
        <v>0.37346829093930073</v>
      </c>
      <c r="T9" s="11">
        <v>0.1031</v>
      </c>
      <c r="U9" s="11">
        <f t="shared" ca="1" si="5"/>
        <v>3.1641498068201508E-3</v>
      </c>
      <c r="V9" s="6" t="e">
        <f ca="1">IF(agePb6U8(1/O9)&lt;1400,age7corr(1/O9,Q9,$W$2),agePb76(Q9))</f>
        <v>#NAME?</v>
      </c>
      <c r="W9" s="6" t="e">
        <f ca="1">IF(agePb6U8(1/O9)&lt;1400,ageer7corr(V9,1/O9,P9/O9*(1/O9),Q9,R9,$W$2,0.05),ageerPb76(Q9,R9))</f>
        <v>#NAME?</v>
      </c>
      <c r="X9" s="4" t="e">
        <f ca="1">agePb6U8(L9)/agePb7u5(J9)</f>
        <v>#NAME?</v>
      </c>
      <c r="Y9" s="3"/>
      <c r="Z9" s="1">
        <v>3.4009999999999998</v>
      </c>
      <c r="AA9" s="1">
        <v>9.7000000000000003E-2</v>
      </c>
      <c r="AB9" s="1">
        <v>0.26100000000000001</v>
      </c>
      <c r="AC9" s="1">
        <v>6.7000000000000002E-3</v>
      </c>
      <c r="AD9" s="1">
        <v>0.97990999999999995</v>
      </c>
      <c r="AE9" s="1">
        <v>3.8314180000000002</v>
      </c>
      <c r="AF9" s="1">
        <v>9.8354399999999995E-2</v>
      </c>
      <c r="AG9" s="1">
        <v>9.4369999999999996E-2</v>
      </c>
      <c r="AH9" s="1">
        <v>6.7000000000000002E-4</v>
      </c>
      <c r="AI9" s="1">
        <v>-0.38849</v>
      </c>
      <c r="AJ9" s="1">
        <v>0.1031</v>
      </c>
      <c r="AK9" s="1">
        <v>2.3999999999999998E-3</v>
      </c>
      <c r="AL9" s="1">
        <v>4.0529999999999999</v>
      </c>
      <c r="AM9" s="1">
        <v>1.0999999999999999E-2</v>
      </c>
      <c r="AN9" s="1">
        <v>1503</v>
      </c>
      <c r="AO9" s="1">
        <v>23</v>
      </c>
      <c r="AP9" s="1">
        <v>1494</v>
      </c>
      <c r="AQ9" s="1">
        <v>34</v>
      </c>
      <c r="AR9" s="1">
        <v>1983</v>
      </c>
      <c r="AS9" s="1">
        <v>44</v>
      </c>
      <c r="AT9" s="1">
        <v>1515</v>
      </c>
      <c r="AU9" s="1">
        <v>13</v>
      </c>
      <c r="AV9" s="1">
        <v>23.75</v>
      </c>
      <c r="AW9" s="1">
        <v>0.63</v>
      </c>
      <c r="AX9" s="1">
        <v>5.7200000000000006</v>
      </c>
      <c r="AY9" s="1">
        <v>0.12999999999999998</v>
      </c>
      <c r="AZ9" s="1">
        <v>47009.7</v>
      </c>
      <c r="BA9" s="1">
        <v>931.50000000000011</v>
      </c>
      <c r="BB9" s="1">
        <v>22262.85</v>
      </c>
      <c r="BC9" s="1">
        <v>521.64</v>
      </c>
      <c r="BD9" s="1">
        <v>238401.9</v>
      </c>
      <c r="BE9" s="1">
        <v>4595.3999999999996</v>
      </c>
      <c r="BF9" s="1">
        <v>18.63</v>
      </c>
      <c r="BG9" s="1">
        <v>8.0729999999999986</v>
      </c>
      <c r="BH9" s="1">
        <f t="shared" si="6"/>
        <v>12796.666666666668</v>
      </c>
      <c r="BI9" s="1">
        <f t="shared" si="7"/>
        <v>5550.7057153367086</v>
      </c>
      <c r="BJ9" s="27">
        <v>1500.3</v>
      </c>
      <c r="BK9" s="27">
        <v>24</v>
      </c>
      <c r="BL9" s="27">
        <v>1495.4</v>
      </c>
      <c r="BM9" s="27">
        <v>41.8</v>
      </c>
      <c r="BN9" s="27">
        <v>1507.3</v>
      </c>
      <c r="BO9" s="27">
        <v>40.200000000000003</v>
      </c>
      <c r="BP9" s="27">
        <v>1501.5</v>
      </c>
      <c r="BQ9" s="27">
        <v>23.1</v>
      </c>
      <c r="BR9" s="27">
        <v>0.33</v>
      </c>
    </row>
    <row r="10" spans="1:70" x14ac:dyDescent="0.2">
      <c r="A10" t="s">
        <v>1076</v>
      </c>
      <c r="B10" t="s">
        <v>38</v>
      </c>
      <c r="C10" t="s">
        <v>1077</v>
      </c>
      <c r="D10" t="s">
        <v>1078</v>
      </c>
      <c r="E10">
        <v>81365</v>
      </c>
      <c r="F10">
        <v>55277</v>
      </c>
      <c r="G10" t="s">
        <v>1078</v>
      </c>
      <c r="H10" s="1">
        <v>135</v>
      </c>
      <c r="I10" s="1">
        <v>37.9</v>
      </c>
      <c r="J10" s="10">
        <v>4.2699999999999996</v>
      </c>
      <c r="K10" s="10">
        <f t="shared" ca="1" si="0"/>
        <v>0.1555415057147127</v>
      </c>
      <c r="L10" s="7">
        <v>0.28489999999999999</v>
      </c>
      <c r="M10" s="7">
        <f t="shared" ca="1" si="1"/>
        <v>1.0483663672590798E-2</v>
      </c>
      <c r="N10" s="7">
        <v>0.94767000000000001</v>
      </c>
      <c r="O10" s="8">
        <v>3.5100039999999999</v>
      </c>
      <c r="P10" s="8">
        <f t="shared" ca="1" si="2"/>
        <v>0.12916005111649811</v>
      </c>
      <c r="Q10" s="9">
        <v>0.1085</v>
      </c>
      <c r="R10" s="9">
        <f t="shared" ca="1" si="3"/>
        <v>2.4796975622039075E-3</v>
      </c>
      <c r="S10" s="8">
        <f t="shared" si="4"/>
        <v>0.37955852212047514</v>
      </c>
      <c r="T10" s="11">
        <v>0.1191</v>
      </c>
      <c r="U10" s="11">
        <f t="shared" ca="1" si="5"/>
        <v>3.4531035316074724E-3</v>
      </c>
      <c r="V10" s="6" t="e">
        <f ca="1">IF(agePb6U8(1/O10)&lt;1400,age7corr(1/O10,Q10,$W$2),agePb76(Q10))</f>
        <v>#NAME?</v>
      </c>
      <c r="W10" s="6" t="e">
        <f ca="1">IF(agePb6U8(1/O10)&lt;1400,ageer7corr(V10,1/O10,P10/O10*(1/O10),Q10,R10,$W$2,0.05),ageerPb76(Q10,R10))</f>
        <v>#NAME?</v>
      </c>
      <c r="X10" s="4" t="e">
        <f ca="1">agePb6U8(L10)/agePb7u5(J10)</f>
        <v>#NAME?</v>
      </c>
      <c r="Y10" s="3"/>
      <c r="Z10" s="1">
        <v>4.2699999999999996</v>
      </c>
      <c r="AA10" s="1">
        <v>0.13</v>
      </c>
      <c r="AB10" s="1">
        <v>0.28489999999999999</v>
      </c>
      <c r="AC10" s="1">
        <v>8.8000000000000005E-3</v>
      </c>
      <c r="AD10" s="1">
        <v>0.94767000000000001</v>
      </c>
      <c r="AE10" s="1">
        <v>3.5100039999999999</v>
      </c>
      <c r="AF10" s="1">
        <v>0.1084171</v>
      </c>
      <c r="AG10" s="1">
        <v>0.1085</v>
      </c>
      <c r="AH10" s="1">
        <v>1.1999999999999999E-3</v>
      </c>
      <c r="AI10" s="1">
        <v>-5.2247000000000002E-2</v>
      </c>
      <c r="AJ10" s="1">
        <v>0.1191</v>
      </c>
      <c r="AK10" s="1">
        <v>2.5000000000000001E-3</v>
      </c>
      <c r="AL10" s="1">
        <v>9.17</v>
      </c>
      <c r="AM10" s="1">
        <v>0.28999999999999998</v>
      </c>
      <c r="AN10" s="1">
        <v>1692</v>
      </c>
      <c r="AO10" s="1">
        <v>24</v>
      </c>
      <c r="AP10" s="1">
        <v>1615</v>
      </c>
      <c r="AQ10" s="1">
        <v>44</v>
      </c>
      <c r="AR10" s="1">
        <v>2274</v>
      </c>
      <c r="AS10" s="1">
        <v>44</v>
      </c>
      <c r="AT10" s="1">
        <v>1773</v>
      </c>
      <c r="AU10" s="1">
        <v>20</v>
      </c>
      <c r="AV10" s="1">
        <v>28.8</v>
      </c>
      <c r="AW10" s="1">
        <v>1.4</v>
      </c>
      <c r="AX10" s="1">
        <v>2.96</v>
      </c>
      <c r="AY10" s="1">
        <v>0.11</v>
      </c>
      <c r="AZ10" s="1">
        <v>28752.3</v>
      </c>
      <c r="BA10" s="1">
        <v>1863.0000000000002</v>
      </c>
      <c r="BB10" s="1">
        <v>34900.200000000004</v>
      </c>
      <c r="BC10" s="1">
        <v>1552.5</v>
      </c>
      <c r="BD10" s="1">
        <v>324162</v>
      </c>
      <c r="BE10" s="1">
        <v>11799</v>
      </c>
      <c r="BF10" s="1">
        <v>18.63</v>
      </c>
      <c r="BG10" s="1">
        <v>13.662000000000001</v>
      </c>
      <c r="BH10" s="1">
        <f t="shared" si="6"/>
        <v>17400</v>
      </c>
      <c r="BI10" s="1">
        <f t="shared" si="7"/>
        <v>12775.707851665642</v>
      </c>
      <c r="BJ10" s="27">
        <v>1689.5</v>
      </c>
      <c r="BK10" s="27">
        <v>28.4</v>
      </c>
      <c r="BL10" s="27">
        <v>1616</v>
      </c>
      <c r="BM10" s="27">
        <v>52.9</v>
      </c>
      <c r="BN10" s="27">
        <v>1781.9</v>
      </c>
      <c r="BO10" s="27">
        <v>33.5</v>
      </c>
      <c r="BP10" s="27">
        <v>1727</v>
      </c>
      <c r="BQ10" s="27">
        <v>22.8</v>
      </c>
      <c r="BR10" s="27">
        <v>5.3</v>
      </c>
    </row>
    <row r="11" spans="1:70" x14ac:dyDescent="0.2">
      <c r="A11" t="s">
        <v>1079</v>
      </c>
      <c r="B11" t="s">
        <v>38</v>
      </c>
      <c r="C11" t="s">
        <v>1080</v>
      </c>
      <c r="D11" t="s">
        <v>1081</v>
      </c>
      <c r="E11">
        <v>81386</v>
      </c>
      <c r="F11">
        <v>55425</v>
      </c>
      <c r="G11" t="s">
        <v>1081</v>
      </c>
      <c r="H11" s="1">
        <v>73.400000000000006</v>
      </c>
      <c r="I11" s="1">
        <v>29.1</v>
      </c>
      <c r="J11" s="10">
        <v>2.161</v>
      </c>
      <c r="K11" s="10">
        <f t="shared" ca="1" si="0"/>
        <v>9.8040646672693868E-2</v>
      </c>
      <c r="L11" s="7">
        <v>0.19889999999999999</v>
      </c>
      <c r="M11" s="7">
        <f t="shared" ca="1" si="1"/>
        <v>8.6668612542257772E-3</v>
      </c>
      <c r="N11" s="7">
        <v>0.98645000000000005</v>
      </c>
      <c r="O11" s="8">
        <v>5.0276519999999998</v>
      </c>
      <c r="P11" s="8">
        <f t="shared" ca="1" si="2"/>
        <v>0.21907472698887839</v>
      </c>
      <c r="Q11" s="9">
        <v>7.8799999999999995E-2</v>
      </c>
      <c r="R11" s="9">
        <f t="shared" ca="1" si="3"/>
        <v>1.6863499043792778E-3</v>
      </c>
      <c r="S11" s="8">
        <f t="shared" si="4"/>
        <v>0.47081033579932791</v>
      </c>
      <c r="T11" s="11">
        <v>7.9500000000000001E-2</v>
      </c>
      <c r="U11" s="11">
        <f t="shared" ca="1" si="5"/>
        <v>3.3953055827126957E-3</v>
      </c>
      <c r="V11" s="6" t="e">
        <f ca="1">IF(agePb6U8(1/O11)&lt;1400,age7corr(1/O11,Q11,$W$2),agePb76(Q11))</f>
        <v>#NAME?</v>
      </c>
      <c r="W11" s="6" t="e">
        <f ca="1">IF(agePb6U8(1/O11)&lt;1400,ageer7corr(V11,1/O11,P11/O11*(1/O11),Q11,R11,$W$2,0.05),ageerPb76(Q11,R11))</f>
        <v>#NAME?</v>
      </c>
      <c r="X11" s="4" t="e">
        <f ca="1">agePb6U8(L11)/agePb7u5(J11)</f>
        <v>#NAME?</v>
      </c>
      <c r="Y11" s="3"/>
      <c r="Z11" s="1">
        <v>2.161</v>
      </c>
      <c r="AA11" s="1">
        <v>8.7999999999999995E-2</v>
      </c>
      <c r="AB11" s="1">
        <v>0.19889999999999999</v>
      </c>
      <c r="AC11" s="1">
        <v>7.7000000000000002E-3</v>
      </c>
      <c r="AD11" s="1">
        <v>0.98645000000000005</v>
      </c>
      <c r="AE11" s="1">
        <v>5.0276519999999998</v>
      </c>
      <c r="AF11" s="1">
        <v>0.19463510000000001</v>
      </c>
      <c r="AG11" s="1">
        <v>7.8799999999999995E-2</v>
      </c>
      <c r="AH11" s="1">
        <v>5.9999999999999995E-4</v>
      </c>
      <c r="AI11" s="1">
        <v>-0.35291</v>
      </c>
      <c r="AJ11" s="1">
        <v>7.9500000000000001E-2</v>
      </c>
      <c r="AK11" s="1">
        <v>3.0000000000000001E-3</v>
      </c>
      <c r="AL11" s="1">
        <v>6.6879999999999997</v>
      </c>
      <c r="AM11" s="1">
        <v>5.0999999999999997E-2</v>
      </c>
      <c r="AN11" s="1">
        <v>1173</v>
      </c>
      <c r="AO11" s="1">
        <v>26</v>
      </c>
      <c r="AP11" s="1">
        <v>1169</v>
      </c>
      <c r="AQ11" s="1">
        <v>42</v>
      </c>
      <c r="AR11" s="1">
        <v>1546</v>
      </c>
      <c r="AS11" s="1">
        <v>56</v>
      </c>
      <c r="AT11" s="1">
        <v>1167</v>
      </c>
      <c r="AU11" s="1">
        <v>15</v>
      </c>
      <c r="AV11" s="1">
        <v>15.67</v>
      </c>
      <c r="AW11" s="1">
        <v>0.36000000000000004</v>
      </c>
      <c r="AX11" s="1">
        <v>2.27</v>
      </c>
      <c r="AY11" s="1">
        <v>0.1</v>
      </c>
      <c r="AZ11" s="1">
        <v>14574.87</v>
      </c>
      <c r="BA11" s="1">
        <v>341.54999999999995</v>
      </c>
      <c r="BB11" s="1">
        <v>9495.09</v>
      </c>
      <c r="BC11" s="1">
        <v>223.56</v>
      </c>
      <c r="BD11" s="1">
        <v>121716</v>
      </c>
      <c r="BE11" s="1">
        <v>2670.3</v>
      </c>
      <c r="BF11" s="1">
        <v>6.5826000000000002</v>
      </c>
      <c r="BG11" s="1">
        <v>5.2164000000000001</v>
      </c>
      <c r="BH11" s="1">
        <f t="shared" si="6"/>
        <v>18490.566037735847</v>
      </c>
      <c r="BI11" s="1">
        <f t="shared" si="7"/>
        <v>14658.515594690019</v>
      </c>
      <c r="BJ11" s="27">
        <v>1169.7</v>
      </c>
      <c r="BK11" s="27">
        <v>27</v>
      </c>
      <c r="BL11" s="27">
        <v>1168.9000000000001</v>
      </c>
      <c r="BM11" s="27">
        <v>46.8</v>
      </c>
      <c r="BN11" s="27">
        <v>1171.2</v>
      </c>
      <c r="BO11" s="27">
        <v>50.1</v>
      </c>
      <c r="BP11" s="27">
        <v>1170</v>
      </c>
      <c r="BQ11" s="27">
        <v>24.9</v>
      </c>
      <c r="BR11" s="27">
        <v>7.3999999999999996E-2</v>
      </c>
    </row>
    <row r="12" spans="1:70" x14ac:dyDescent="0.2">
      <c r="A12" t="s">
        <v>1082</v>
      </c>
      <c r="B12" t="s">
        <v>38</v>
      </c>
      <c r="C12" t="s">
        <v>1083</v>
      </c>
      <c r="D12" t="s">
        <v>1084</v>
      </c>
      <c r="E12">
        <v>81373</v>
      </c>
      <c r="F12">
        <v>55506</v>
      </c>
      <c r="G12" t="s">
        <v>1084</v>
      </c>
      <c r="H12" s="1">
        <v>101.2</v>
      </c>
      <c r="I12" s="1">
        <v>65.8</v>
      </c>
      <c r="J12" s="10">
        <v>2.38</v>
      </c>
      <c r="K12" s="10">
        <f t="shared" ca="1" si="0"/>
        <v>0.13844045651470527</v>
      </c>
      <c r="L12" s="7">
        <v>0.214</v>
      </c>
      <c r="M12" s="7">
        <f t="shared" ca="1" si="1"/>
        <v>1.0602282773063545E-2</v>
      </c>
      <c r="N12" s="7">
        <v>0.98609000000000002</v>
      </c>
      <c r="O12" s="8">
        <v>4.6728969999999999</v>
      </c>
      <c r="P12" s="8">
        <f t="shared" ca="1" si="2"/>
        <v>0.23151111564729154</v>
      </c>
      <c r="Q12" s="9">
        <v>8.1960000000000005E-2</v>
      </c>
      <c r="R12" s="9">
        <f t="shared" ca="1" si="3"/>
        <v>1.8068139472563302E-3</v>
      </c>
      <c r="S12" s="8">
        <f t="shared" si="4"/>
        <v>0.46669713773465993</v>
      </c>
      <c r="T12" s="11">
        <v>8.2600000000000007E-2</v>
      </c>
      <c r="U12" s="11">
        <f t="shared" ca="1" si="5"/>
        <v>3.8702847440466185E-3</v>
      </c>
      <c r="V12" s="6" t="e">
        <f ca="1">IF(agePb6U8(1/O12)&lt;1400,age7corr(1/O12,Q12,$W$2),agePb76(Q12))</f>
        <v>#NAME?</v>
      </c>
      <c r="W12" s="6" t="e">
        <f ca="1">IF(agePb6U8(1/O12)&lt;1400,ageer7corr(V12,1/O12,P12/O12*(1/O12),Q12,R12,$W$2,0.05),ageerPb76(Q12,R12))</f>
        <v>#NAME?</v>
      </c>
      <c r="X12" s="4" t="e">
        <f ca="1">agePb6U8(L12)/agePb7u5(J12)</f>
        <v>#NAME?</v>
      </c>
      <c r="Y12" s="3"/>
      <c r="Z12" s="1">
        <v>2.38</v>
      </c>
      <c r="AA12" s="1">
        <v>0.13</v>
      </c>
      <c r="AB12" s="1">
        <v>0.214</v>
      </c>
      <c r="AC12" s="1">
        <v>9.7000000000000003E-3</v>
      </c>
      <c r="AD12" s="1">
        <v>0.98609000000000002</v>
      </c>
      <c r="AE12" s="1">
        <v>4.6728969999999999</v>
      </c>
      <c r="AF12" s="1">
        <v>0.21180889999999999</v>
      </c>
      <c r="AG12" s="1">
        <v>8.1960000000000005E-2</v>
      </c>
      <c r="AH12" s="1">
        <v>7.6000000000000004E-4</v>
      </c>
      <c r="AI12" s="1">
        <v>-0.30181000000000002</v>
      </c>
      <c r="AJ12" s="1">
        <v>8.2600000000000007E-2</v>
      </c>
      <c r="AK12" s="1">
        <v>3.5000000000000001E-3</v>
      </c>
      <c r="AL12" s="1">
        <v>4.1790000000000003</v>
      </c>
      <c r="AM12" s="1">
        <v>1.9E-2</v>
      </c>
      <c r="AN12" s="1">
        <v>1242</v>
      </c>
      <c r="AO12" s="1">
        <v>36</v>
      </c>
      <c r="AP12" s="1">
        <v>1249</v>
      </c>
      <c r="AQ12" s="1">
        <v>51</v>
      </c>
      <c r="AR12" s="1">
        <v>1603</v>
      </c>
      <c r="AS12" s="1">
        <v>66</v>
      </c>
      <c r="AT12" s="1">
        <v>1244</v>
      </c>
      <c r="AU12" s="1">
        <v>18</v>
      </c>
      <c r="AV12" s="1">
        <v>21.61</v>
      </c>
      <c r="AW12" s="1">
        <v>0.53</v>
      </c>
      <c r="AX12" s="1">
        <v>5.15</v>
      </c>
      <c r="AY12" s="1">
        <v>0.19</v>
      </c>
      <c r="AZ12" s="1">
        <v>34279.199999999997</v>
      </c>
      <c r="BA12" s="1">
        <v>1117.8000000000002</v>
      </c>
      <c r="BB12" s="1">
        <v>14518.98</v>
      </c>
      <c r="BC12" s="1">
        <v>496.8</v>
      </c>
      <c r="BD12" s="1">
        <v>180959.4</v>
      </c>
      <c r="BE12" s="1">
        <v>4968</v>
      </c>
      <c r="BF12" s="1">
        <v>18.63</v>
      </c>
      <c r="BG12" s="1">
        <v>6.2099999999999991</v>
      </c>
      <c r="BH12" s="1">
        <f t="shared" si="6"/>
        <v>9713.3333333333339</v>
      </c>
      <c r="BI12" s="1">
        <f t="shared" si="7"/>
        <v>3248.7406866942638</v>
      </c>
      <c r="BJ12" s="27">
        <v>1248.5</v>
      </c>
      <c r="BK12" s="27">
        <v>31.2</v>
      </c>
      <c r="BL12" s="27">
        <v>1250.8</v>
      </c>
      <c r="BM12" s="27">
        <v>56</v>
      </c>
      <c r="BN12" s="27">
        <v>1244.5999999999999</v>
      </c>
      <c r="BO12" s="27">
        <v>47.8</v>
      </c>
      <c r="BP12" s="27">
        <v>1247.4000000000001</v>
      </c>
      <c r="BQ12" s="27">
        <v>26.5</v>
      </c>
      <c r="BR12" s="27">
        <v>-0.21</v>
      </c>
    </row>
    <row r="13" spans="1:70" x14ac:dyDescent="0.2">
      <c r="A13" t="s">
        <v>1025</v>
      </c>
      <c r="B13" t="s">
        <v>38</v>
      </c>
      <c r="C13" t="s">
        <v>1026</v>
      </c>
      <c r="D13" t="s">
        <v>1027</v>
      </c>
      <c r="E13">
        <v>81356</v>
      </c>
      <c r="F13">
        <v>51833</v>
      </c>
      <c r="G13" t="s">
        <v>1027</v>
      </c>
      <c r="H13" s="1">
        <v>207</v>
      </c>
      <c r="I13" s="1">
        <v>66.599999999999994</v>
      </c>
      <c r="J13" s="10">
        <v>2.7</v>
      </c>
      <c r="K13" s="10">
        <f t="shared" ca="1" si="0"/>
        <v>8.5276022421311382E-2</v>
      </c>
      <c r="L13" s="7">
        <v>0.22509999999999999</v>
      </c>
      <c r="M13" s="7">
        <f t="shared" ca="1" si="1"/>
        <v>6.9539919470761541E-3</v>
      </c>
      <c r="N13" s="7">
        <v>0.98589000000000004</v>
      </c>
      <c r="O13" s="8">
        <v>4.4424700000000001</v>
      </c>
      <c r="P13" s="8">
        <f t="shared" ca="1" si="2"/>
        <v>0.13724081449379408</v>
      </c>
      <c r="Q13" s="9">
        <v>8.72E-2</v>
      </c>
      <c r="R13" s="9">
        <f t="shared" ca="1" si="3"/>
        <v>1.8011207621922525E-3</v>
      </c>
      <c r="S13" s="8">
        <f t="shared" si="4"/>
        <v>0.53433452233225898</v>
      </c>
      <c r="T13" s="11">
        <v>7.6600000000000001E-2</v>
      </c>
      <c r="U13" s="11">
        <f t="shared" ca="1" si="5"/>
        <v>2.8472836177662383E-3</v>
      </c>
      <c r="V13" s="6" t="e">
        <f ca="1">IF(agePb6U8(1/O13)&lt;1400,age7corr(1/O13,Q13,$W$2),agePb76(Q13))</f>
        <v>#NAME?</v>
      </c>
      <c r="W13" s="6" t="e">
        <f ca="1">IF(agePb6U8(1/O13)&lt;1400,ageer7corr(V13,1/O13,P13/O13*(1/O13),Q13,R13,$W$2,0.05),ageerPb76(Q13,R13))</f>
        <v>#NAME?</v>
      </c>
      <c r="X13" s="4" t="e">
        <f ca="1">agePb6U8(L13)/agePb7u5(J13)</f>
        <v>#NAME?</v>
      </c>
      <c r="Y13" s="3"/>
      <c r="Z13" s="1">
        <v>2.7</v>
      </c>
      <c r="AA13" s="1">
        <v>6.6000000000000003E-2</v>
      </c>
      <c r="AB13" s="1">
        <v>0.22509999999999999</v>
      </c>
      <c r="AC13" s="1">
        <v>5.3E-3</v>
      </c>
      <c r="AD13" s="1">
        <v>0.98589000000000004</v>
      </c>
      <c r="AE13" s="1">
        <v>4.4424700000000001</v>
      </c>
      <c r="AF13" s="1">
        <v>0.10459839999999999</v>
      </c>
      <c r="AG13" s="1">
        <v>8.72E-2</v>
      </c>
      <c r="AH13" s="1">
        <v>4.4999999999999999E-4</v>
      </c>
      <c r="AI13" s="1">
        <v>-0.24615999999999999</v>
      </c>
      <c r="AJ13" s="1">
        <v>7.6600000000000001E-2</v>
      </c>
      <c r="AK13" s="1">
        <v>2.3999999999999998E-3</v>
      </c>
      <c r="AL13" s="1">
        <v>9.6920000000000002</v>
      </c>
      <c r="AM13" s="1">
        <v>6.4000000000000001E-2</v>
      </c>
      <c r="AN13" s="1">
        <v>1328</v>
      </c>
      <c r="AO13" s="1">
        <v>18</v>
      </c>
      <c r="AP13" s="1">
        <v>1309</v>
      </c>
      <c r="AQ13" s="1">
        <v>28</v>
      </c>
      <c r="AR13" s="1">
        <v>1491</v>
      </c>
      <c r="AS13" s="1">
        <v>46</v>
      </c>
      <c r="AT13" s="1">
        <v>1365</v>
      </c>
      <c r="AU13" s="1">
        <v>10</v>
      </c>
      <c r="AV13" s="1">
        <v>44.269999999999996</v>
      </c>
      <c r="AW13" s="1">
        <v>0.78</v>
      </c>
      <c r="AX13" s="1">
        <v>5.22</v>
      </c>
      <c r="AY13" s="1">
        <v>0.27999999999999997</v>
      </c>
      <c r="AZ13" s="1">
        <v>32291.999999999993</v>
      </c>
      <c r="BA13" s="1">
        <v>683.09999999999991</v>
      </c>
      <c r="BB13" s="1">
        <v>33478.11</v>
      </c>
      <c r="BC13" s="1">
        <v>503.01</v>
      </c>
      <c r="BD13" s="1">
        <v>390608.99999999994</v>
      </c>
      <c r="BE13" s="1">
        <v>6831</v>
      </c>
      <c r="BF13" s="1">
        <v>9.3770999999999987</v>
      </c>
      <c r="BG13" s="1">
        <v>4.8437999999999999</v>
      </c>
      <c r="BH13" s="1">
        <f t="shared" si="6"/>
        <v>41655.629139072844</v>
      </c>
      <c r="BI13" s="1">
        <f t="shared" si="7"/>
        <v>21529.805108061679</v>
      </c>
      <c r="BJ13" s="27">
        <v>1328.6</v>
      </c>
      <c r="BK13" s="27">
        <v>20.399999999999999</v>
      </c>
      <c r="BL13" s="27">
        <v>1309.4000000000001</v>
      </c>
      <c r="BM13" s="27">
        <v>37.4</v>
      </c>
      <c r="BN13" s="27">
        <v>1359.6</v>
      </c>
      <c r="BO13" s="27">
        <v>44.3</v>
      </c>
      <c r="BP13" s="27">
        <v>1331.7</v>
      </c>
      <c r="BQ13" s="27">
        <v>19.899999999999999</v>
      </c>
      <c r="BR13" s="27">
        <v>1.4</v>
      </c>
    </row>
    <row r="14" spans="1:70" x14ac:dyDescent="0.2">
      <c r="A14" t="s">
        <v>1085</v>
      </c>
      <c r="B14" t="s">
        <v>38</v>
      </c>
      <c r="C14" t="s">
        <v>1086</v>
      </c>
      <c r="D14" t="s">
        <v>1087</v>
      </c>
      <c r="E14">
        <v>81372</v>
      </c>
      <c r="F14">
        <v>55580</v>
      </c>
      <c r="G14" t="s">
        <v>1087</v>
      </c>
      <c r="H14" s="1">
        <v>232.6</v>
      </c>
      <c r="I14" s="1">
        <v>71.8</v>
      </c>
      <c r="J14" s="10">
        <v>2.5169999999999999</v>
      </c>
      <c r="K14" s="10">
        <f t="shared" ca="1" si="0"/>
        <v>6.9556564032447726E-2</v>
      </c>
      <c r="L14" s="7">
        <v>0.21229999999999999</v>
      </c>
      <c r="M14" s="7">
        <f t="shared" ca="1" si="1"/>
        <v>6.5596124885544879E-3</v>
      </c>
      <c r="N14" s="7">
        <v>0.97345999999999999</v>
      </c>
      <c r="O14" s="8">
        <v>4.7103159999999997</v>
      </c>
      <c r="P14" s="8">
        <f t="shared" ca="1" si="2"/>
        <v>0.14553863301921727</v>
      </c>
      <c r="Q14" s="9">
        <v>8.5930000000000006E-2</v>
      </c>
      <c r="R14" s="9">
        <f t="shared" ca="1" si="3"/>
        <v>1.7715772520553543E-3</v>
      </c>
      <c r="S14" s="8">
        <f t="shared" si="4"/>
        <v>0.37075842033286016</v>
      </c>
      <c r="T14" s="11">
        <v>8.1500000000000003E-2</v>
      </c>
      <c r="U14" s="11">
        <f t="shared" ca="1" si="5"/>
        <v>2.6583641586509551E-3</v>
      </c>
      <c r="V14" s="6" t="e">
        <f ca="1">IF(agePb6U8(1/O14)&lt;1400,age7corr(1/O14,Q14,$W$2),agePb76(Q14))</f>
        <v>#NAME?</v>
      </c>
      <c r="W14" s="6" t="e">
        <f ca="1">IF(agePb6U8(1/O14)&lt;1400,ageer7corr(V14,1/O14,P14/O14*(1/O14),Q14,R14,$W$2,0.05),ageerPb76(Q14,R14))</f>
        <v>#NAME?</v>
      </c>
      <c r="X14" s="4" t="e">
        <f ca="1">agePb6U8(L14)/agePb7u5(J14)</f>
        <v>#NAME?</v>
      </c>
      <c r="Y14" s="3"/>
      <c r="Z14" s="1">
        <v>2.5169999999999999</v>
      </c>
      <c r="AA14" s="1">
        <v>4.8000000000000001E-2</v>
      </c>
      <c r="AB14" s="1">
        <v>0.21229999999999999</v>
      </c>
      <c r="AC14" s="1">
        <v>5.0000000000000001E-3</v>
      </c>
      <c r="AD14" s="1">
        <v>0.97345999999999999</v>
      </c>
      <c r="AE14" s="1">
        <v>4.7103159999999997</v>
      </c>
      <c r="AF14" s="1">
        <v>0.1109354</v>
      </c>
      <c r="AG14" s="1">
        <v>8.5930000000000006E-2</v>
      </c>
      <c r="AH14" s="1">
        <v>4.2999999999999999E-4</v>
      </c>
      <c r="AI14" s="1">
        <v>8.9374999999999996E-2</v>
      </c>
      <c r="AJ14" s="1">
        <v>8.1500000000000003E-2</v>
      </c>
      <c r="AK14" s="1">
        <v>2.0999999999999999E-3</v>
      </c>
      <c r="AL14" s="1">
        <v>9.0139999999999993</v>
      </c>
      <c r="AM14" s="1">
        <v>4.5999999999999999E-2</v>
      </c>
      <c r="AN14" s="1">
        <v>1276</v>
      </c>
      <c r="AO14" s="1">
        <v>14</v>
      </c>
      <c r="AP14" s="1">
        <v>1241</v>
      </c>
      <c r="AQ14" s="1">
        <v>26</v>
      </c>
      <c r="AR14" s="1">
        <v>1583</v>
      </c>
      <c r="AS14" s="1">
        <v>39</v>
      </c>
      <c r="AT14" s="1">
        <v>1336.4</v>
      </c>
      <c r="AU14" s="1">
        <v>9.6999999999999993</v>
      </c>
      <c r="AV14" s="1">
        <v>49.7</v>
      </c>
      <c r="AW14" s="1">
        <v>1.1000000000000001</v>
      </c>
      <c r="AX14" s="1">
        <v>5.62</v>
      </c>
      <c r="AY14" s="1">
        <v>0.17</v>
      </c>
      <c r="AZ14" s="1">
        <v>36160.83</v>
      </c>
      <c r="BA14" s="1">
        <v>577.53000000000009</v>
      </c>
      <c r="BB14" s="1">
        <v>35210.700000000004</v>
      </c>
      <c r="BC14" s="1">
        <v>745.2</v>
      </c>
      <c r="BD14" s="1">
        <v>411102</v>
      </c>
      <c r="BE14" s="1">
        <v>6831</v>
      </c>
      <c r="BF14" s="1">
        <v>18.63</v>
      </c>
      <c r="BG14" s="1">
        <v>6.2099999999999991</v>
      </c>
      <c r="BH14" s="1">
        <f t="shared" si="6"/>
        <v>22066.666666666668</v>
      </c>
      <c r="BI14" s="1">
        <f t="shared" si="7"/>
        <v>7364.6888580108152</v>
      </c>
      <c r="BJ14" s="27">
        <v>1276.8</v>
      </c>
      <c r="BK14" s="27">
        <v>23.1</v>
      </c>
      <c r="BL14" s="27">
        <v>1241.0999999999999</v>
      </c>
      <c r="BM14" s="27">
        <v>36</v>
      </c>
      <c r="BN14" s="27">
        <v>1337.3</v>
      </c>
      <c r="BO14" s="27">
        <v>45</v>
      </c>
      <c r="BP14" s="27">
        <v>1281.0999999999999</v>
      </c>
      <c r="BQ14" s="27">
        <v>23.1</v>
      </c>
      <c r="BR14" s="27">
        <v>2.6</v>
      </c>
    </row>
    <row r="15" spans="1:70" x14ac:dyDescent="0.2">
      <c r="A15" t="s">
        <v>1088</v>
      </c>
      <c r="B15" t="s">
        <v>38</v>
      </c>
      <c r="C15" t="s">
        <v>1089</v>
      </c>
      <c r="D15" t="s">
        <v>1090</v>
      </c>
      <c r="E15">
        <v>81338</v>
      </c>
      <c r="F15">
        <v>55660</v>
      </c>
      <c r="G15" t="s">
        <v>1090</v>
      </c>
      <c r="H15" s="1">
        <v>193.3</v>
      </c>
      <c r="I15" s="1">
        <v>97.7</v>
      </c>
      <c r="J15" s="10">
        <v>4.1399999999999997</v>
      </c>
      <c r="K15" s="10">
        <f t="shared" ca="1" si="0"/>
        <v>0.17133546042778183</v>
      </c>
      <c r="L15" s="7">
        <v>0.2661</v>
      </c>
      <c r="M15" s="7">
        <f t="shared" ca="1" si="1"/>
        <v>9.6919391248604103E-3</v>
      </c>
      <c r="N15" s="7">
        <v>0.98014000000000001</v>
      </c>
      <c r="O15" s="8">
        <v>3.7579859999999998</v>
      </c>
      <c r="P15" s="8">
        <f t="shared" ca="1" si="2"/>
        <v>0.13687399422859114</v>
      </c>
      <c r="Q15" s="9">
        <v>0.1139</v>
      </c>
      <c r="R15" s="9">
        <f t="shared" ca="1" si="3"/>
        <v>2.6228389199491452E-3</v>
      </c>
      <c r="S15" s="8">
        <f t="shared" si="4"/>
        <v>0.50355185862256258</v>
      </c>
      <c r="T15" s="11">
        <v>0.1</v>
      </c>
      <c r="U15" s="11">
        <f t="shared" ca="1" si="5"/>
        <v>6.4195015382816139E-3</v>
      </c>
      <c r="V15" s="6" t="e">
        <f ca="1">IF(agePb6U8(1/O15)&lt;1400,age7corr(1/O15,Q15,$W$2),agePb76(Q15))</f>
        <v>#NAME?</v>
      </c>
      <c r="W15" s="6" t="e">
        <f ca="1">IF(agePb6U8(1/O15)&lt;1400,ageer7corr(V15,1/O15,P15/O15*(1/O15),Q15,R15,$W$2,0.05),ageerPb76(Q15,R15))</f>
        <v>#NAME?</v>
      </c>
      <c r="X15" s="4" t="e">
        <f ca="1">agePb6U8(L15)/agePb7u5(J15)</f>
        <v>#NAME?</v>
      </c>
      <c r="Y15" s="3"/>
      <c r="Z15" s="1">
        <v>4.1399999999999997</v>
      </c>
      <c r="AA15" s="1">
        <v>0.15</v>
      </c>
      <c r="AB15" s="1">
        <v>0.2661</v>
      </c>
      <c r="AC15" s="1">
        <v>8.0999999999999996E-3</v>
      </c>
      <c r="AD15" s="1">
        <v>0.98014000000000001</v>
      </c>
      <c r="AE15" s="1">
        <v>3.7579859999999998</v>
      </c>
      <c r="AF15" s="1">
        <v>0.1143919</v>
      </c>
      <c r="AG15" s="1">
        <v>0.1139</v>
      </c>
      <c r="AH15" s="1">
        <v>1.2999999999999999E-3</v>
      </c>
      <c r="AI15" s="1">
        <v>-0.56894</v>
      </c>
      <c r="AJ15" s="1">
        <v>0.1</v>
      </c>
      <c r="AK15" s="1">
        <v>6.1000000000000004E-3</v>
      </c>
      <c r="AL15" s="1">
        <v>5.63</v>
      </c>
      <c r="AM15" s="1">
        <v>0.11</v>
      </c>
      <c r="AN15" s="1">
        <v>1661</v>
      </c>
      <c r="AO15" s="1">
        <v>29</v>
      </c>
      <c r="AP15" s="1">
        <v>1520</v>
      </c>
      <c r="AQ15" s="1">
        <v>41</v>
      </c>
      <c r="AR15" s="1">
        <v>1920</v>
      </c>
      <c r="AS15" s="1">
        <v>110</v>
      </c>
      <c r="AT15" s="1">
        <v>1861</v>
      </c>
      <c r="AU15" s="1">
        <v>21</v>
      </c>
      <c r="AV15" s="1">
        <v>41.300000000000004</v>
      </c>
      <c r="AW15" s="1">
        <v>1.2</v>
      </c>
      <c r="AX15" s="1">
        <v>7.6499999999999995</v>
      </c>
      <c r="AY15" s="1">
        <v>0.32</v>
      </c>
      <c r="AZ15" s="1">
        <v>61044.299999999996</v>
      </c>
      <c r="BA15" s="1">
        <v>3477.6</v>
      </c>
      <c r="BB15" s="1">
        <v>48562.200000000004</v>
      </c>
      <c r="BC15" s="1">
        <v>2359.7999999999997</v>
      </c>
      <c r="BD15" s="1">
        <v>428489.99999999994</v>
      </c>
      <c r="BE15" s="1">
        <v>16767</v>
      </c>
      <c r="BF15" s="1">
        <v>11.177999999999999</v>
      </c>
      <c r="BG15" s="1">
        <v>7.4519999999999991</v>
      </c>
      <c r="BH15" s="1">
        <f t="shared" si="6"/>
        <v>38333.333333333328</v>
      </c>
      <c r="BI15" s="1">
        <f t="shared" si="7"/>
        <v>25599.539444159662</v>
      </c>
      <c r="BJ15" s="27">
        <v>1669.8</v>
      </c>
      <c r="BK15" s="27">
        <v>27.2</v>
      </c>
      <c r="BL15" s="27">
        <v>1520.2</v>
      </c>
      <c r="BM15" s="27">
        <v>50.4</v>
      </c>
      <c r="BN15" s="27">
        <v>1863.3</v>
      </c>
      <c r="BO15" s="27">
        <v>47.5</v>
      </c>
      <c r="BP15" s="27">
        <v>1699.7</v>
      </c>
      <c r="BQ15" s="27">
        <v>26.3</v>
      </c>
      <c r="BR15" s="27">
        <v>9.1999999999999993</v>
      </c>
    </row>
    <row r="16" spans="1:70" x14ac:dyDescent="0.2">
      <c r="A16" t="s">
        <v>1028</v>
      </c>
      <c r="B16" t="s">
        <v>38</v>
      </c>
      <c r="C16" t="s">
        <v>1029</v>
      </c>
      <c r="D16" t="s">
        <v>1030</v>
      </c>
      <c r="E16">
        <v>81341</v>
      </c>
      <c r="F16">
        <v>52004</v>
      </c>
      <c r="G16" t="s">
        <v>1030</v>
      </c>
      <c r="H16" s="1">
        <v>120.1</v>
      </c>
      <c r="I16" s="1">
        <v>66.3</v>
      </c>
      <c r="J16" s="10">
        <v>1.516</v>
      </c>
      <c r="K16" s="10">
        <f t="shared" ca="1" si="0"/>
        <v>4.7066999054539267E-2</v>
      </c>
      <c r="L16" s="7">
        <v>0.13830000000000001</v>
      </c>
      <c r="M16" s="7">
        <f t="shared" ca="1" si="1"/>
        <v>4.080533788611485E-3</v>
      </c>
      <c r="N16" s="7">
        <v>0.98141999999999996</v>
      </c>
      <c r="O16" s="8">
        <v>7.230658</v>
      </c>
      <c r="P16" s="8">
        <f t="shared" ca="1" si="2"/>
        <v>0.21334012794836699</v>
      </c>
      <c r="Q16" s="9">
        <v>7.961E-2</v>
      </c>
      <c r="R16" s="9">
        <f t="shared" ca="1" si="3"/>
        <v>1.6346255962757957E-3</v>
      </c>
      <c r="S16" s="8">
        <f t="shared" si="4"/>
        <v>0.29465064678082353</v>
      </c>
      <c r="T16" s="11">
        <v>6.6799999999999998E-2</v>
      </c>
      <c r="U16" s="11">
        <f t="shared" ca="1" si="5"/>
        <v>1.9351733772455632E-3</v>
      </c>
      <c r="V16" s="6" t="e">
        <f ca="1">IF(agePb6U8(1/O16)&lt;1400,age7corr(1/O16,Q16,$W$2),agePb76(Q16))</f>
        <v>#NAME?</v>
      </c>
      <c r="W16" s="6" t="e">
        <f ca="1">IF(agePb6U8(1/O16)&lt;1400,ageer7corr(V16,1/O16,P16/O16*(1/O16),Q16,R16,$W$2,0.05),ageerPb76(Q16,R16))</f>
        <v>#NAME?</v>
      </c>
      <c r="X16" s="4" t="e">
        <f ca="1">agePb6U8(L16)/agePb7u5(J16)</f>
        <v>#NAME?</v>
      </c>
      <c r="Y16" s="3"/>
      <c r="Z16" s="1">
        <v>1.516</v>
      </c>
      <c r="AA16" s="1">
        <v>3.5999999999999997E-2</v>
      </c>
      <c r="AB16" s="1">
        <v>0.13830000000000001</v>
      </c>
      <c r="AC16" s="1">
        <v>3.0000000000000001E-3</v>
      </c>
      <c r="AD16" s="1">
        <v>0.98141999999999996</v>
      </c>
      <c r="AE16" s="1">
        <v>7.230658</v>
      </c>
      <c r="AF16" s="1">
        <v>0.15684719999999999</v>
      </c>
      <c r="AG16" s="1">
        <v>7.961E-2</v>
      </c>
      <c r="AH16" s="1">
        <v>3.6999999999999999E-4</v>
      </c>
      <c r="AI16" s="1">
        <v>-9.6620999999999999E-2</v>
      </c>
      <c r="AJ16" s="1">
        <v>6.6799999999999998E-2</v>
      </c>
      <c r="AK16" s="1">
        <v>1.4E-3</v>
      </c>
      <c r="AL16" s="1">
        <v>3.944</v>
      </c>
      <c r="AM16" s="1">
        <v>2.9000000000000001E-2</v>
      </c>
      <c r="AN16" s="1">
        <v>936</v>
      </c>
      <c r="AO16" s="1">
        <v>14</v>
      </c>
      <c r="AP16" s="1">
        <v>835</v>
      </c>
      <c r="AQ16" s="1">
        <v>17</v>
      </c>
      <c r="AR16" s="1">
        <v>1306</v>
      </c>
      <c r="AS16" s="1">
        <v>26</v>
      </c>
      <c r="AT16" s="1">
        <v>1187.2</v>
      </c>
      <c r="AU16" s="1">
        <v>9.3000000000000007</v>
      </c>
      <c r="AV16" s="1">
        <v>25.69</v>
      </c>
      <c r="AW16" s="1">
        <v>0.74</v>
      </c>
      <c r="AX16" s="1">
        <v>5.2</v>
      </c>
      <c r="AY16" s="1">
        <v>0.17</v>
      </c>
      <c r="AZ16" s="1">
        <v>28249.289999999997</v>
      </c>
      <c r="BA16" s="1">
        <v>347.76</v>
      </c>
      <c r="BB16" s="1">
        <v>10942.02</v>
      </c>
      <c r="BC16" s="1">
        <v>111.78</v>
      </c>
      <c r="BD16" s="1">
        <v>139041.90000000002</v>
      </c>
      <c r="BE16" s="1">
        <v>1676.7</v>
      </c>
      <c r="BF16" s="1">
        <v>2.1114000000000002</v>
      </c>
      <c r="BG16" s="1">
        <v>3.1671</v>
      </c>
      <c r="BH16" s="1">
        <f t="shared" si="6"/>
        <v>65852.941176470587</v>
      </c>
      <c r="BI16" s="1">
        <f t="shared" si="7"/>
        <v>98782.603789425819</v>
      </c>
      <c r="BJ16" s="27">
        <v>940.5</v>
      </c>
      <c r="BK16" s="27">
        <v>19.8</v>
      </c>
      <c r="BL16" s="27">
        <v>835.1</v>
      </c>
      <c r="BM16" s="27">
        <v>22.8</v>
      </c>
      <c r="BN16" s="27">
        <v>1196.0999999999999</v>
      </c>
      <c r="BO16" s="27">
        <v>49.3</v>
      </c>
      <c r="BP16" s="27">
        <v>902.5</v>
      </c>
      <c r="BQ16" s="27">
        <v>20.8</v>
      </c>
      <c r="BR16" s="27">
        <v>10</v>
      </c>
    </row>
    <row r="17" spans="1:70" x14ac:dyDescent="0.2">
      <c r="A17" t="s">
        <v>1031</v>
      </c>
      <c r="B17" t="s">
        <v>38</v>
      </c>
      <c r="C17" t="s">
        <v>1032</v>
      </c>
      <c r="D17" t="s">
        <v>1033</v>
      </c>
      <c r="E17">
        <v>81324</v>
      </c>
      <c r="F17">
        <v>52151</v>
      </c>
      <c r="G17" t="s">
        <v>1033</v>
      </c>
      <c r="H17" s="1">
        <v>38.4</v>
      </c>
      <c r="I17" s="1">
        <v>14.35</v>
      </c>
      <c r="J17" s="10">
        <v>2.8220000000000001</v>
      </c>
      <c r="K17" s="10">
        <f t="shared" ca="1" si="0"/>
        <v>0.11309055486644319</v>
      </c>
      <c r="L17" s="7">
        <v>0.2281</v>
      </c>
      <c r="M17" s="7">
        <f t="shared" ca="1" si="1"/>
        <v>9.4711057432593383E-3</v>
      </c>
      <c r="N17" s="7">
        <v>0.99455000000000005</v>
      </c>
      <c r="O17" s="8">
        <v>4.384042</v>
      </c>
      <c r="P17" s="8">
        <f t="shared" ca="1" si="2"/>
        <v>0.18203295252056867</v>
      </c>
      <c r="Q17" s="9">
        <v>8.974E-2</v>
      </c>
      <c r="R17" s="9">
        <f t="shared" ca="1" si="3"/>
        <v>1.8742750705272693E-3</v>
      </c>
      <c r="S17" s="8">
        <f t="shared" si="4"/>
        <v>0.42980636232951841</v>
      </c>
      <c r="T17" s="11">
        <v>7.3400000000000007E-2</v>
      </c>
      <c r="U17" s="11">
        <f t="shared" ca="1" si="5"/>
        <v>3.2503882844977152E-3</v>
      </c>
      <c r="V17" s="6" t="e">
        <f ca="1">IF(agePb6U8(1/O17)&lt;1400,age7corr(1/O17,Q17,$W$2),agePb76(Q17))</f>
        <v>#NAME?</v>
      </c>
      <c r="W17" s="6" t="e">
        <f ca="1">IF(agePb6U8(1/O17)&lt;1400,ageer7corr(V17,1/O17,P17/O17*(1/O17),Q17,R17,$W$2,0.05),ageerPb76(Q17,R17))</f>
        <v>#NAME?</v>
      </c>
      <c r="X17" s="4" t="e">
        <f ca="1">agePb6U8(L17)/agePb7u5(J17)</f>
        <v>#NAME?</v>
      </c>
      <c r="Y17" s="3"/>
      <c r="Z17" s="1">
        <v>2.8220000000000001</v>
      </c>
      <c r="AA17" s="1">
        <v>9.8000000000000004E-2</v>
      </c>
      <c r="AB17" s="1">
        <v>0.2281</v>
      </c>
      <c r="AC17" s="1">
        <v>8.3000000000000001E-3</v>
      </c>
      <c r="AD17" s="1">
        <v>0.99455000000000005</v>
      </c>
      <c r="AE17" s="1">
        <v>4.384042</v>
      </c>
      <c r="AF17" s="1">
        <v>0.15952450000000001</v>
      </c>
      <c r="AG17" s="1">
        <v>8.974E-2</v>
      </c>
      <c r="AH17" s="1">
        <v>5.4000000000000001E-4</v>
      </c>
      <c r="AI17" s="1">
        <v>-0.18540000000000001</v>
      </c>
      <c r="AJ17" s="1">
        <v>7.3400000000000007E-2</v>
      </c>
      <c r="AK17" s="1">
        <v>2.8999999999999998E-3</v>
      </c>
      <c r="AL17" s="1">
        <v>8.3800000000000008</v>
      </c>
      <c r="AM17" s="1">
        <v>0.15</v>
      </c>
      <c r="AN17" s="1">
        <v>1360</v>
      </c>
      <c r="AO17" s="1">
        <v>26</v>
      </c>
      <c r="AP17" s="1">
        <v>1324</v>
      </c>
      <c r="AQ17" s="1">
        <v>44</v>
      </c>
      <c r="AR17" s="1">
        <v>1431</v>
      </c>
      <c r="AS17" s="1">
        <v>55</v>
      </c>
      <c r="AT17" s="1">
        <v>1420</v>
      </c>
      <c r="AU17" s="1">
        <v>11</v>
      </c>
      <c r="AV17" s="1">
        <v>8.2100000000000009</v>
      </c>
      <c r="AW17" s="1">
        <v>0.79</v>
      </c>
      <c r="AX17" s="1">
        <v>1.1240000000000001</v>
      </c>
      <c r="AY17" s="1">
        <v>5.0999999999999997E-2</v>
      </c>
      <c r="AZ17" s="1">
        <v>6775.1100000000006</v>
      </c>
      <c r="BA17" s="1">
        <v>385.02</v>
      </c>
      <c r="BB17" s="1">
        <v>6408.72</v>
      </c>
      <c r="BC17" s="1">
        <v>490.59000000000003</v>
      </c>
      <c r="BD17" s="1">
        <v>72098.100000000006</v>
      </c>
      <c r="BE17" s="1">
        <v>5402.7</v>
      </c>
      <c r="BF17" s="1">
        <v>3.2292000000000001</v>
      </c>
      <c r="BG17" s="1">
        <v>5.7131999999999996</v>
      </c>
      <c r="BH17" s="1">
        <f t="shared" si="6"/>
        <v>22326.923076923078</v>
      </c>
      <c r="BI17" s="1">
        <f t="shared" si="7"/>
        <v>39536.894826024931</v>
      </c>
      <c r="BJ17" s="27">
        <v>1364</v>
      </c>
      <c r="BK17" s="27">
        <v>28.1</v>
      </c>
      <c r="BL17" s="27">
        <v>1325.6</v>
      </c>
      <c r="BM17" s="27">
        <v>49.2</v>
      </c>
      <c r="BN17" s="27">
        <v>1424.7</v>
      </c>
      <c r="BO17" s="27">
        <v>42.4</v>
      </c>
      <c r="BP17" s="27">
        <v>1380.6</v>
      </c>
      <c r="BQ17" s="27">
        <v>24.8</v>
      </c>
      <c r="BR17" s="27">
        <v>3.2</v>
      </c>
    </row>
    <row r="18" spans="1:70" x14ac:dyDescent="0.2">
      <c r="A18" t="s">
        <v>1034</v>
      </c>
      <c r="B18" t="s">
        <v>38</v>
      </c>
      <c r="C18" t="s">
        <v>1035</v>
      </c>
      <c r="D18" t="s">
        <v>1036</v>
      </c>
      <c r="E18">
        <v>81335</v>
      </c>
      <c r="F18">
        <v>52283</v>
      </c>
      <c r="G18" t="s">
        <v>1036</v>
      </c>
      <c r="H18" s="1">
        <v>132.80000000000001</v>
      </c>
      <c r="I18" s="1">
        <v>107.3</v>
      </c>
      <c r="J18" s="10">
        <v>2.37</v>
      </c>
      <c r="K18" s="10">
        <f t="shared" ca="1" si="0"/>
        <v>9.732296748455628E-2</v>
      </c>
      <c r="L18" s="7">
        <v>0.21029999999999999</v>
      </c>
      <c r="M18" s="7">
        <f t="shared" ca="1" si="1"/>
        <v>8.3384912304325168E-3</v>
      </c>
      <c r="N18" s="7">
        <v>0.99016000000000004</v>
      </c>
      <c r="O18" s="8">
        <v>4.7551119999999996</v>
      </c>
      <c r="P18" s="8">
        <f t="shared" ca="1" si="2"/>
        <v>0.18854233193916317</v>
      </c>
      <c r="Q18" s="9">
        <v>8.1949999999999995E-2</v>
      </c>
      <c r="R18" s="9">
        <f t="shared" ca="1" si="3"/>
        <v>1.6847614074402344E-3</v>
      </c>
      <c r="S18" s="8">
        <f t="shared" si="4"/>
        <v>0.48372921747681064</v>
      </c>
      <c r="T18" s="11">
        <v>7.3099999999999998E-2</v>
      </c>
      <c r="U18" s="11">
        <f t="shared" ca="1" si="5"/>
        <v>2.7253337410306283E-3</v>
      </c>
      <c r="V18" s="6" t="e">
        <f ca="1">IF(agePb6U8(1/O18)&lt;1400,age7corr(1/O18,Q18,$W$2),agePb76(Q18))</f>
        <v>#NAME?</v>
      </c>
      <c r="W18" s="6" t="e">
        <f ca="1">IF(agePb6U8(1/O18)&lt;1400,ageer7corr(V18,1/O18,P18/O18*(1/O18),Q18,R18,$W$2,0.05),ageerPb76(Q18,R18))</f>
        <v>#NAME?</v>
      </c>
      <c r="X18" s="4" t="e">
        <f ca="1">agePb6U8(L18)/agePb7u5(J18)</f>
        <v>#NAME?</v>
      </c>
      <c r="Y18" s="3"/>
      <c r="Z18" s="1">
        <v>2.37</v>
      </c>
      <c r="AA18" s="1">
        <v>8.5000000000000006E-2</v>
      </c>
      <c r="AB18" s="1">
        <v>0.21029999999999999</v>
      </c>
      <c r="AC18" s="1">
        <v>7.1999999999999998E-3</v>
      </c>
      <c r="AD18" s="1">
        <v>0.99016000000000004</v>
      </c>
      <c r="AE18" s="1">
        <v>4.7551119999999996</v>
      </c>
      <c r="AF18" s="1">
        <v>0.16279979999999999</v>
      </c>
      <c r="AG18" s="1">
        <v>8.1949999999999995E-2</v>
      </c>
      <c r="AH18" s="1">
        <v>3.8999999999999999E-4</v>
      </c>
      <c r="AI18" s="1">
        <v>-0.24081</v>
      </c>
      <c r="AJ18" s="1">
        <v>7.3099999999999998E-2</v>
      </c>
      <c r="AK18" s="1">
        <v>2.3E-3</v>
      </c>
      <c r="AL18" s="1">
        <v>3.8410000000000002</v>
      </c>
      <c r="AM18" s="1">
        <v>2.7E-2</v>
      </c>
      <c r="AN18" s="1">
        <v>1232</v>
      </c>
      <c r="AO18" s="1">
        <v>26</v>
      </c>
      <c r="AP18" s="1">
        <v>1230</v>
      </c>
      <c r="AQ18" s="1">
        <v>38</v>
      </c>
      <c r="AR18" s="1">
        <v>1425</v>
      </c>
      <c r="AS18" s="1">
        <v>44</v>
      </c>
      <c r="AT18" s="1">
        <v>1244.2</v>
      </c>
      <c r="AU18" s="1">
        <v>9.4</v>
      </c>
      <c r="AV18" s="1">
        <v>28.389999999999997</v>
      </c>
      <c r="AW18" s="1">
        <v>0.73</v>
      </c>
      <c r="AX18" s="1">
        <v>8.41</v>
      </c>
      <c r="AY18" s="1">
        <v>0.34</v>
      </c>
      <c r="AZ18" s="1">
        <v>48934.799999999996</v>
      </c>
      <c r="BA18" s="1">
        <v>1428.3</v>
      </c>
      <c r="BB18" s="1">
        <v>18959.13</v>
      </c>
      <c r="BC18" s="1">
        <v>509.21999999999991</v>
      </c>
      <c r="BD18" s="1">
        <v>234303.3</v>
      </c>
      <c r="BE18" s="1">
        <v>5961.6</v>
      </c>
      <c r="BF18" s="1">
        <v>4.4712000000000005</v>
      </c>
      <c r="BG18" s="1">
        <v>5.0922000000000001</v>
      </c>
      <c r="BH18" s="1">
        <f t="shared" si="6"/>
        <v>52402.777777777766</v>
      </c>
      <c r="BI18" s="1">
        <f t="shared" si="7"/>
        <v>59695.833515897553</v>
      </c>
      <c r="BJ18" s="27">
        <v>1234.9000000000001</v>
      </c>
      <c r="BK18" s="27">
        <v>25.3</v>
      </c>
      <c r="BL18" s="27">
        <v>1229.3</v>
      </c>
      <c r="BM18" s="27">
        <v>44.7</v>
      </c>
      <c r="BN18" s="27">
        <v>1244.5999999999999</v>
      </c>
      <c r="BO18" s="27">
        <v>47.8</v>
      </c>
      <c r="BP18" s="27">
        <v>1236.5999999999999</v>
      </c>
      <c r="BQ18" s="27">
        <v>23.6</v>
      </c>
      <c r="BR18" s="27">
        <v>0.47</v>
      </c>
    </row>
    <row r="19" spans="1:70" x14ac:dyDescent="0.2">
      <c r="A19" t="s">
        <v>1037</v>
      </c>
      <c r="B19" t="s">
        <v>38</v>
      </c>
      <c r="C19" t="s">
        <v>1038</v>
      </c>
      <c r="D19" t="s">
        <v>1039</v>
      </c>
      <c r="E19">
        <v>81444</v>
      </c>
      <c r="F19">
        <v>52695</v>
      </c>
      <c r="G19" t="s">
        <v>1039</v>
      </c>
      <c r="H19" s="1">
        <v>541</v>
      </c>
      <c r="I19" s="1">
        <v>1300</v>
      </c>
      <c r="J19" s="10">
        <v>0.71099999999999997</v>
      </c>
      <c r="K19" s="10">
        <f t="shared" ca="1" si="0"/>
        <v>2.5361553580173279E-2</v>
      </c>
      <c r="L19" s="7">
        <v>6.7199999999999996E-2</v>
      </c>
      <c r="M19" s="7">
        <f t="shared" ca="1" si="1"/>
        <v>2.3273023009484609E-3</v>
      </c>
      <c r="N19" s="7">
        <v>0.98892999999999998</v>
      </c>
      <c r="O19" s="8">
        <v>14.88095</v>
      </c>
      <c r="P19" s="8">
        <f t="shared" ca="1" si="2"/>
        <v>0.51536416885386971</v>
      </c>
      <c r="Q19" s="9">
        <v>7.6910000000000006E-2</v>
      </c>
      <c r="R19" s="9">
        <f t="shared" ca="1" si="3"/>
        <v>1.643915825095677E-3</v>
      </c>
      <c r="S19" s="8">
        <f t="shared" si="4"/>
        <v>0.4265614453309502</v>
      </c>
      <c r="T19" s="11">
        <v>1.464E-2</v>
      </c>
      <c r="U19" s="11">
        <f t="shared" ca="1" si="5"/>
        <v>7.6800510414970545E-4</v>
      </c>
      <c r="V19" s="6" t="e">
        <f ca="1">IF(agePb6U8(1/O19)&lt;1400,age7corr(1/O19,Q19,$W$2),agePb76(Q19))</f>
        <v>#NAME?</v>
      </c>
      <c r="W19" s="6" t="e">
        <f ca="1">IF(agePb6U8(1/O19)&lt;1400,ageer7corr(V19,1/O19,P19/O19*(1/O19),Q19,R19,$W$2,0.05),ageerPb76(Q19,R19))</f>
        <v>#NAME?</v>
      </c>
      <c r="X19" s="4" t="e">
        <f ca="1">agePb6U8(L19)/agePb7u5(J19)</f>
        <v>#NAME?</v>
      </c>
      <c r="Y19" s="3"/>
      <c r="Z19" s="1">
        <v>0.71099999999999997</v>
      </c>
      <c r="AA19" s="1">
        <v>2.1000000000000001E-2</v>
      </c>
      <c r="AB19" s="1">
        <v>6.7199999999999996E-2</v>
      </c>
      <c r="AC19" s="1">
        <v>1.9E-3</v>
      </c>
      <c r="AD19" s="1">
        <v>0.98892999999999998</v>
      </c>
      <c r="AE19" s="1">
        <v>14.88095</v>
      </c>
      <c r="AF19" s="1">
        <v>0.42074119999999998</v>
      </c>
      <c r="AG19" s="1">
        <v>7.6910000000000006E-2</v>
      </c>
      <c r="AH19" s="1">
        <v>5.8E-4</v>
      </c>
      <c r="AI19" s="1">
        <v>-0.47972999999999999</v>
      </c>
      <c r="AJ19" s="1">
        <v>1.464E-2</v>
      </c>
      <c r="AK19" s="1">
        <v>7.1000000000000002E-4</v>
      </c>
      <c r="AL19" s="1">
        <v>2.0840000000000001</v>
      </c>
      <c r="AM19" s="1">
        <v>6.9000000000000006E-2</v>
      </c>
      <c r="AN19" s="1">
        <v>545</v>
      </c>
      <c r="AO19" s="1">
        <v>12</v>
      </c>
      <c r="AP19" s="1">
        <v>419</v>
      </c>
      <c r="AQ19" s="1">
        <v>11</v>
      </c>
      <c r="AR19" s="1">
        <v>294</v>
      </c>
      <c r="AS19" s="1">
        <v>14</v>
      </c>
      <c r="AT19" s="1">
        <v>1119</v>
      </c>
      <c r="AU19" s="1">
        <v>15</v>
      </c>
      <c r="AV19" s="1">
        <v>115.8</v>
      </c>
      <c r="AW19" s="1">
        <v>2.9</v>
      </c>
      <c r="AX19" s="1">
        <v>101.8</v>
      </c>
      <c r="AY19" s="1">
        <v>7.1000000000000005</v>
      </c>
      <c r="AZ19" s="1">
        <v>119542.5</v>
      </c>
      <c r="BA19" s="1">
        <v>3850.2</v>
      </c>
      <c r="BB19" s="1">
        <v>23349.599999999999</v>
      </c>
      <c r="BC19" s="1">
        <v>621</v>
      </c>
      <c r="BD19" s="1">
        <v>306773.99999999994</v>
      </c>
      <c r="BE19" s="1">
        <v>6831</v>
      </c>
      <c r="BF19" s="1">
        <v>131.03100000000003</v>
      </c>
      <c r="BG19" s="1">
        <v>13.662000000000001</v>
      </c>
      <c r="BH19" s="1">
        <f t="shared" si="6"/>
        <v>2341.2322274881508</v>
      </c>
      <c r="BI19" s="1">
        <f t="shared" si="7"/>
        <v>249.61425634567556</v>
      </c>
      <c r="BJ19" s="27">
        <v>546.6</v>
      </c>
      <c r="BK19" s="27">
        <v>14.1</v>
      </c>
      <c r="BL19" s="27">
        <v>419.3</v>
      </c>
      <c r="BM19" s="27">
        <v>14.2</v>
      </c>
      <c r="BN19" s="27">
        <v>1120.3</v>
      </c>
      <c r="BO19" s="27">
        <v>51.8</v>
      </c>
      <c r="BP19" s="27">
        <v>466.4</v>
      </c>
      <c r="BQ19" s="27">
        <v>14.7</v>
      </c>
      <c r="BR19" s="27">
        <v>22</v>
      </c>
    </row>
    <row r="20" spans="1:70" x14ac:dyDescent="0.2">
      <c r="A20" t="s">
        <v>1040</v>
      </c>
      <c r="B20" t="s">
        <v>38</v>
      </c>
      <c r="C20" t="s">
        <v>1041</v>
      </c>
      <c r="D20" t="s">
        <v>1042</v>
      </c>
      <c r="E20">
        <v>81368</v>
      </c>
      <c r="F20">
        <v>53031</v>
      </c>
      <c r="G20" t="s">
        <v>1042</v>
      </c>
      <c r="H20" s="1">
        <v>58.8</v>
      </c>
      <c r="I20" s="1">
        <v>47.39</v>
      </c>
      <c r="J20" s="10">
        <v>3.11</v>
      </c>
      <c r="K20" s="10">
        <f t="shared" ca="1" si="0"/>
        <v>0.11776603924731442</v>
      </c>
      <c r="L20" s="7">
        <v>0.24610000000000001</v>
      </c>
      <c r="M20" s="7">
        <f t="shared" ca="1" si="1"/>
        <v>9.7358145011087784E-3</v>
      </c>
      <c r="N20" s="7">
        <v>0.98992999999999998</v>
      </c>
      <c r="O20" s="8">
        <v>4.0633889999999999</v>
      </c>
      <c r="P20" s="8">
        <f t="shared" ca="1" si="2"/>
        <v>0.1607493048457081</v>
      </c>
      <c r="Q20" s="9">
        <v>9.1880000000000003E-2</v>
      </c>
      <c r="R20" s="9">
        <f t="shared" ca="1" si="3"/>
        <v>1.9018080239603578E-3</v>
      </c>
      <c r="S20" s="8">
        <f t="shared" si="4"/>
        <v>0.46237866332530153</v>
      </c>
      <c r="T20" s="11">
        <v>8.9099999999999999E-2</v>
      </c>
      <c r="U20" s="11">
        <f t="shared" ca="1" si="5"/>
        <v>3.4037514597866866E-3</v>
      </c>
      <c r="V20" s="6" t="e">
        <f ca="1">IF(agePb6U8(1/O20)&lt;1400,age7corr(1/O20,Q20,$W$2),agePb76(Q20))</f>
        <v>#NAME?</v>
      </c>
      <c r="W20" s="6" t="e">
        <f ca="1">IF(agePb6U8(1/O20)&lt;1400,ageer7corr(V20,1/O20,P20/O20*(1/O20),Q20,R20,$W$2,0.05),ageerPb76(Q20,R20))</f>
        <v>#NAME?</v>
      </c>
      <c r="X20" s="4" t="e">
        <f ca="1">agePb6U8(L20)/agePb7u5(J20)</f>
        <v>#NAME?</v>
      </c>
      <c r="Y20" s="3"/>
      <c r="Z20" s="1">
        <v>3.11</v>
      </c>
      <c r="AA20" s="1">
        <v>0.1</v>
      </c>
      <c r="AB20" s="1">
        <v>0.24610000000000001</v>
      </c>
      <c r="AC20" s="1">
        <v>8.3999999999999995E-3</v>
      </c>
      <c r="AD20" s="1">
        <v>0.98992999999999998</v>
      </c>
      <c r="AE20" s="1">
        <v>4.0633889999999999</v>
      </c>
      <c r="AF20" s="1">
        <v>0.1386935</v>
      </c>
      <c r="AG20" s="1">
        <v>9.1880000000000003E-2</v>
      </c>
      <c r="AH20" s="1">
        <v>4.8999999999999998E-4</v>
      </c>
      <c r="AI20" s="1">
        <v>0.25841999999999998</v>
      </c>
      <c r="AJ20" s="1">
        <v>8.9099999999999999E-2</v>
      </c>
      <c r="AK20" s="1">
        <v>2.8999999999999998E-3</v>
      </c>
      <c r="AL20" s="1">
        <v>3.6469999999999998</v>
      </c>
      <c r="AM20" s="1">
        <v>2.1000000000000001E-2</v>
      </c>
      <c r="AN20" s="1">
        <v>1435</v>
      </c>
      <c r="AO20" s="1">
        <v>25</v>
      </c>
      <c r="AP20" s="1">
        <v>1418</v>
      </c>
      <c r="AQ20" s="1">
        <v>43</v>
      </c>
      <c r="AR20" s="1">
        <v>1725</v>
      </c>
      <c r="AS20" s="1">
        <v>54</v>
      </c>
      <c r="AT20" s="1">
        <v>1467</v>
      </c>
      <c r="AU20" s="1">
        <v>11</v>
      </c>
      <c r="AV20" s="1">
        <v>12.56</v>
      </c>
      <c r="AW20" s="1">
        <v>0.49</v>
      </c>
      <c r="AX20" s="1">
        <v>3.7109999999999999</v>
      </c>
      <c r="AY20" s="1">
        <v>6.4999999999999988E-2</v>
      </c>
      <c r="AZ20" s="1">
        <v>27137.7</v>
      </c>
      <c r="BA20" s="1">
        <v>993.6</v>
      </c>
      <c r="BB20" s="1">
        <v>11103.480000000001</v>
      </c>
      <c r="BC20" s="1">
        <v>459.54</v>
      </c>
      <c r="BD20" s="1">
        <v>123268.49999999999</v>
      </c>
      <c r="BE20" s="1">
        <v>4595.3999999999996</v>
      </c>
      <c r="BF20" s="1">
        <v>6.5826000000000002</v>
      </c>
      <c r="BG20" s="1">
        <v>4.2848999999999995</v>
      </c>
      <c r="BH20" s="1">
        <f t="shared" si="6"/>
        <v>18726.41509433962</v>
      </c>
      <c r="BI20" s="1">
        <f t="shared" si="7"/>
        <v>12209.810384462922</v>
      </c>
      <c r="BJ20" s="27">
        <v>1438.4</v>
      </c>
      <c r="BK20" s="27">
        <v>27.1</v>
      </c>
      <c r="BL20" s="27">
        <v>1419.4</v>
      </c>
      <c r="BM20" s="27">
        <v>50.2</v>
      </c>
      <c r="BN20" s="27">
        <v>1466.5</v>
      </c>
      <c r="BO20" s="27">
        <v>41.3</v>
      </c>
      <c r="BP20" s="27">
        <v>1446.2</v>
      </c>
      <c r="BQ20" s="27">
        <v>23.7</v>
      </c>
      <c r="BR20" s="27">
        <v>1.5</v>
      </c>
    </row>
    <row r="21" spans="1:70" x14ac:dyDescent="0.2">
      <c r="A21" t="s">
        <v>1043</v>
      </c>
      <c r="B21" t="s">
        <v>38</v>
      </c>
      <c r="C21" t="s">
        <v>1044</v>
      </c>
      <c r="D21" t="s">
        <v>1045</v>
      </c>
      <c r="E21">
        <v>81383</v>
      </c>
      <c r="F21">
        <v>53496</v>
      </c>
      <c r="G21" t="s">
        <v>1045</v>
      </c>
      <c r="H21" s="1">
        <v>66.3</v>
      </c>
      <c r="I21" s="1">
        <v>29.32</v>
      </c>
      <c r="J21" s="10">
        <v>2.145</v>
      </c>
      <c r="K21" s="10">
        <f t="shared" ca="1" si="0"/>
        <v>6.6643904447443642E-2</v>
      </c>
      <c r="L21" s="7">
        <v>0.19489999999999999</v>
      </c>
      <c r="M21" s="7">
        <f t="shared" ca="1" si="1"/>
        <v>6.3399056775318039E-3</v>
      </c>
      <c r="N21" s="7">
        <v>0.93960999999999995</v>
      </c>
      <c r="O21" s="8">
        <v>5.1308360000000004</v>
      </c>
      <c r="P21" s="8">
        <f t="shared" ca="1" si="2"/>
        <v>0.16690105947632089</v>
      </c>
      <c r="Q21" s="9">
        <v>8.0210000000000004E-2</v>
      </c>
      <c r="R21" s="9">
        <f t="shared" ca="1" si="3"/>
        <v>1.8201806613630418E-3</v>
      </c>
      <c r="S21" s="8">
        <f t="shared" si="4"/>
        <v>0.48311454427618322</v>
      </c>
      <c r="T21" s="11">
        <v>7.1999999999999995E-2</v>
      </c>
      <c r="U21" s="11">
        <f t="shared" ca="1" si="5"/>
        <v>2.384030201150984E-3</v>
      </c>
      <c r="V21" s="6" t="e">
        <f ca="1">IF(agePb6U8(1/O21)&lt;1400,age7corr(1/O21,Q21,$W$2),agePb76(Q21))</f>
        <v>#NAME?</v>
      </c>
      <c r="W21" s="6" t="e">
        <f ca="1">IF(agePb6U8(1/O21)&lt;1400,ageer7corr(V21,1/O21,P21/O21*(1/O21),Q21,R21,$W$2,0.05),ageerPb76(Q21,R21))</f>
        <v>#NAME?</v>
      </c>
      <c r="X21" s="4" t="e">
        <f ca="1">agePb6U8(L21)/agePb7u5(J21)</f>
        <v>#NAME?</v>
      </c>
      <c r="Y21" s="3"/>
      <c r="Z21" s="1">
        <v>2.145</v>
      </c>
      <c r="AA21" s="1">
        <v>5.0999999999999997E-2</v>
      </c>
      <c r="AB21" s="1">
        <v>0.19489999999999999</v>
      </c>
      <c r="AC21" s="1">
        <v>5.0000000000000001E-3</v>
      </c>
      <c r="AD21" s="1">
        <v>0.93960999999999995</v>
      </c>
      <c r="AE21" s="1">
        <v>5.1308360000000004</v>
      </c>
      <c r="AF21" s="1">
        <v>0.13162740000000001</v>
      </c>
      <c r="AG21" s="1">
        <v>8.0210000000000004E-2</v>
      </c>
      <c r="AH21" s="1">
        <v>8.5999999999999998E-4</v>
      </c>
      <c r="AI21" s="1">
        <v>5.5109999999999999E-2</v>
      </c>
      <c r="AJ21" s="1">
        <v>7.1999999999999995E-2</v>
      </c>
      <c r="AK21" s="1">
        <v>1.9E-3</v>
      </c>
      <c r="AL21" s="1">
        <v>6.5049999999999999</v>
      </c>
      <c r="AM21" s="1">
        <v>4.2000000000000003E-2</v>
      </c>
      <c r="AN21" s="1">
        <v>1163</v>
      </c>
      <c r="AO21" s="1">
        <v>17</v>
      </c>
      <c r="AP21" s="1">
        <v>1148</v>
      </c>
      <c r="AQ21" s="1">
        <v>27</v>
      </c>
      <c r="AR21" s="1">
        <v>1404</v>
      </c>
      <c r="AS21" s="1">
        <v>37</v>
      </c>
      <c r="AT21" s="1">
        <v>1201</v>
      </c>
      <c r="AU21" s="1">
        <v>21</v>
      </c>
      <c r="AV21" s="1">
        <v>14.18</v>
      </c>
      <c r="AW21" s="1">
        <v>0.35</v>
      </c>
      <c r="AX21" s="1">
        <v>2.2959999999999998</v>
      </c>
      <c r="AY21" s="1">
        <v>3.0000000000000002E-2</v>
      </c>
      <c r="AZ21" s="1">
        <v>13382.55</v>
      </c>
      <c r="BA21" s="1">
        <v>316.71000000000004</v>
      </c>
      <c r="BB21" s="1">
        <v>8644.32</v>
      </c>
      <c r="BC21" s="1">
        <v>142.82999999999998</v>
      </c>
      <c r="BD21" s="1">
        <v>109171.8</v>
      </c>
      <c r="BE21" s="1">
        <v>2173.5</v>
      </c>
      <c r="BF21" s="1">
        <v>25.460999999999999</v>
      </c>
      <c r="BG21" s="1">
        <v>7.4519999999999991</v>
      </c>
      <c r="BH21" s="1">
        <f t="shared" si="6"/>
        <v>4287.8048780487807</v>
      </c>
      <c r="BI21" s="1">
        <f t="shared" si="7"/>
        <v>1257.8673246036274</v>
      </c>
      <c r="BJ21" s="27">
        <v>1164.8</v>
      </c>
      <c r="BK21" s="27">
        <v>21.1</v>
      </c>
      <c r="BL21" s="27">
        <v>1148</v>
      </c>
      <c r="BM21" s="27">
        <v>34.799999999999997</v>
      </c>
      <c r="BN21" s="27">
        <v>1196.0999999999999</v>
      </c>
      <c r="BO21" s="27">
        <v>49.3</v>
      </c>
      <c r="BP21" s="27">
        <v>1166.5</v>
      </c>
      <c r="BQ21" s="27">
        <v>21</v>
      </c>
      <c r="BR21" s="27">
        <v>1.3</v>
      </c>
    </row>
    <row r="22" spans="1:70" x14ac:dyDescent="0.2">
      <c r="A22" t="s">
        <v>1046</v>
      </c>
      <c r="B22" t="s">
        <v>38</v>
      </c>
      <c r="C22" t="s">
        <v>1047</v>
      </c>
      <c r="D22" t="s">
        <v>1048</v>
      </c>
      <c r="E22">
        <v>81356</v>
      </c>
      <c r="F22">
        <v>53613</v>
      </c>
      <c r="G22" t="s">
        <v>1048</v>
      </c>
      <c r="H22" s="1">
        <v>202.8</v>
      </c>
      <c r="I22" s="1">
        <v>186.5</v>
      </c>
      <c r="J22" s="10">
        <v>3.0329999999999999</v>
      </c>
      <c r="K22" s="10">
        <f t="shared" ca="1" si="0"/>
        <v>0.10524084568265307</v>
      </c>
      <c r="L22" s="7">
        <v>0.2359</v>
      </c>
      <c r="M22" s="7">
        <f t="shared" ca="1" si="1"/>
        <v>7.6327926737204121E-3</v>
      </c>
      <c r="N22" s="7">
        <v>0.98107999999999995</v>
      </c>
      <c r="O22" s="8">
        <v>4.2390840000000001</v>
      </c>
      <c r="P22" s="8">
        <f t="shared" ca="1" si="2"/>
        <v>0.13716001612941869</v>
      </c>
      <c r="Q22" s="9">
        <v>9.3289999999999998E-2</v>
      </c>
      <c r="R22" s="9">
        <f t="shared" ca="1" si="3"/>
        <v>1.9480271148010235E-3</v>
      </c>
      <c r="S22" s="8">
        <f t="shared" si="4"/>
        <v>0.3777939959586511</v>
      </c>
      <c r="T22" s="11">
        <v>8.5199999999999998E-2</v>
      </c>
      <c r="U22" s="11">
        <f t="shared" ca="1" si="5"/>
        <v>2.7827353449438917E-3</v>
      </c>
      <c r="V22" s="6" t="e">
        <f ca="1">IF(agePb6U8(1/O22)&lt;1400,age7corr(1/O22,Q22,$W$2),agePb76(Q22))</f>
        <v>#NAME?</v>
      </c>
      <c r="W22" s="6" t="e">
        <f ca="1">IF(agePb6U8(1/O22)&lt;1400,ageer7corr(V22,1/O22,P22/O22*(1/O22),Q22,R22,$W$2,0.05),ageerPb76(Q22,R22))</f>
        <v>#NAME?</v>
      </c>
      <c r="X22" s="4" t="e">
        <f ca="1">agePb6U8(L22)/agePb7u5(J22)</f>
        <v>#NAME?</v>
      </c>
      <c r="Y22" s="3"/>
      <c r="Z22" s="1">
        <v>3.0329999999999999</v>
      </c>
      <c r="AA22" s="1">
        <v>8.5999999999999993E-2</v>
      </c>
      <c r="AB22" s="1">
        <v>0.2359</v>
      </c>
      <c r="AC22" s="1">
        <v>6.0000000000000001E-3</v>
      </c>
      <c r="AD22" s="1">
        <v>0.98107999999999995</v>
      </c>
      <c r="AE22" s="1">
        <v>4.2390840000000001</v>
      </c>
      <c r="AF22" s="1">
        <v>0.107819</v>
      </c>
      <c r="AG22" s="1">
        <v>9.3289999999999998E-2</v>
      </c>
      <c r="AH22" s="1">
        <v>5.5999999999999995E-4</v>
      </c>
      <c r="AI22" s="1">
        <v>-0.30223</v>
      </c>
      <c r="AJ22" s="1">
        <v>8.5199999999999998E-2</v>
      </c>
      <c r="AK22" s="1">
        <v>2.2000000000000001E-3</v>
      </c>
      <c r="AL22" s="1">
        <v>3.1829999999999998</v>
      </c>
      <c r="AM22" s="1">
        <v>1.4999999999999999E-2</v>
      </c>
      <c r="AN22" s="1">
        <v>1415</v>
      </c>
      <c r="AO22" s="1">
        <v>22</v>
      </c>
      <c r="AP22" s="1">
        <v>1365</v>
      </c>
      <c r="AQ22" s="1">
        <v>31</v>
      </c>
      <c r="AR22" s="1">
        <v>1653</v>
      </c>
      <c r="AS22" s="1">
        <v>41</v>
      </c>
      <c r="AT22" s="1">
        <v>1494</v>
      </c>
      <c r="AU22" s="1">
        <v>11</v>
      </c>
      <c r="AV22" s="1">
        <v>43.4</v>
      </c>
      <c r="AW22" s="1">
        <v>1.3</v>
      </c>
      <c r="AX22" s="1">
        <v>14.61</v>
      </c>
      <c r="AY22" s="1">
        <v>0.33</v>
      </c>
      <c r="AZ22" s="1">
        <v>101347.2</v>
      </c>
      <c r="BA22" s="1">
        <v>2484</v>
      </c>
      <c r="BB22" s="1">
        <v>37073.699999999997</v>
      </c>
      <c r="BC22" s="1">
        <v>931.50000000000011</v>
      </c>
      <c r="BD22" s="1">
        <v>405513</v>
      </c>
      <c r="BE22" s="1">
        <v>8694</v>
      </c>
      <c r="BF22" s="1">
        <v>7.4519999999999991</v>
      </c>
      <c r="BG22" s="1">
        <v>8.0729999999999986</v>
      </c>
      <c r="BH22" s="1">
        <f t="shared" si="6"/>
        <v>54416.666666666672</v>
      </c>
      <c r="BI22" s="1">
        <f t="shared" si="7"/>
        <v>58962.932110268433</v>
      </c>
      <c r="BJ22" s="27">
        <v>1413.4</v>
      </c>
      <c r="BK22" s="27">
        <v>24.3</v>
      </c>
      <c r="BL22" s="27">
        <v>1365.1</v>
      </c>
      <c r="BM22" s="27">
        <v>40.6</v>
      </c>
      <c r="BN22" s="27">
        <v>1487</v>
      </c>
      <c r="BO22" s="27">
        <v>40.700000000000003</v>
      </c>
      <c r="BP22" s="27">
        <v>1426</v>
      </c>
      <c r="BQ22" s="27">
        <v>23.4</v>
      </c>
      <c r="BR22" s="27">
        <v>3.5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2644A-8969-7D49-910E-7F5DBC0934C7}">
  <dimension ref="A1:BR69"/>
  <sheetViews>
    <sheetView topLeftCell="AQ1" workbookViewId="0">
      <selection activeCell="BJ2" sqref="BJ2:BR69"/>
    </sheetView>
  </sheetViews>
  <sheetFormatPr baseColWidth="10" defaultRowHeight="15" x14ac:dyDescent="0.2"/>
  <cols>
    <col min="4" max="4" width="18.1640625" customWidth="1"/>
  </cols>
  <sheetData>
    <row r="1" spans="1:70" ht="17" x14ac:dyDescent="0.2">
      <c r="B1" t="s">
        <v>0</v>
      </c>
      <c r="C1" t="s">
        <v>1</v>
      </c>
      <c r="D1" t="s">
        <v>1109</v>
      </c>
      <c r="E1" t="s">
        <v>1110</v>
      </c>
      <c r="F1" t="s">
        <v>1111</v>
      </c>
      <c r="G1" t="s">
        <v>2</v>
      </c>
      <c r="H1" s="1" t="s">
        <v>1104</v>
      </c>
      <c r="I1" s="1" t="s">
        <v>1105</v>
      </c>
      <c r="J1" s="12" t="s">
        <v>1097</v>
      </c>
      <c r="K1" s="13" t="s">
        <v>1102</v>
      </c>
      <c r="L1" s="14" t="s">
        <v>1098</v>
      </c>
      <c r="M1" s="15" t="s">
        <v>1102</v>
      </c>
      <c r="N1" s="15" t="s">
        <v>1108</v>
      </c>
      <c r="O1" s="16" t="s">
        <v>1099</v>
      </c>
      <c r="P1" s="17" t="s">
        <v>1102</v>
      </c>
      <c r="Q1" s="18" t="s">
        <v>1100</v>
      </c>
      <c r="R1" s="19" t="s">
        <v>1102</v>
      </c>
      <c r="S1" s="17" t="s">
        <v>1108</v>
      </c>
      <c r="T1" s="20" t="s">
        <v>1106</v>
      </c>
      <c r="U1" s="21" t="s">
        <v>1102</v>
      </c>
      <c r="V1" s="22" t="s">
        <v>1101</v>
      </c>
      <c r="W1" s="22" t="s">
        <v>1102</v>
      </c>
      <c r="X1" s="5" t="s">
        <v>1103</v>
      </c>
      <c r="Y1" s="3"/>
      <c r="Z1" s="1" t="s">
        <v>3</v>
      </c>
      <c r="AA1" s="1" t="s">
        <v>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14</v>
      </c>
      <c r="AL1" s="1" t="s">
        <v>15</v>
      </c>
      <c r="AM1" s="1" t="s">
        <v>16</v>
      </c>
      <c r="AN1" s="1" t="s">
        <v>17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23</v>
      </c>
      <c r="AU1" s="1" t="s">
        <v>24</v>
      </c>
      <c r="AV1" s="1" t="s">
        <v>35</v>
      </c>
      <c r="AW1" s="1" t="s">
        <v>36</v>
      </c>
      <c r="AX1" s="1" t="s">
        <v>25</v>
      </c>
      <c r="AY1" s="1" t="s">
        <v>26</v>
      </c>
      <c r="AZ1" s="1" t="s">
        <v>27</v>
      </c>
      <c r="BA1" s="1" t="s">
        <v>28</v>
      </c>
      <c r="BB1" s="1" t="s">
        <v>29</v>
      </c>
      <c r="BC1" s="1" t="s">
        <v>30</v>
      </c>
      <c r="BD1" s="1" t="s">
        <v>31</v>
      </c>
      <c r="BE1" s="1" t="s">
        <v>32</v>
      </c>
      <c r="BF1" s="1" t="s">
        <v>33</v>
      </c>
      <c r="BG1" s="1" t="s">
        <v>34</v>
      </c>
      <c r="BH1" s="2" t="s">
        <v>1107</v>
      </c>
      <c r="BI1" s="1" t="s">
        <v>1102</v>
      </c>
      <c r="BJ1" s="1" t="s">
        <v>1112</v>
      </c>
      <c r="BK1" s="1" t="s">
        <v>1113</v>
      </c>
      <c r="BL1" s="1" t="s">
        <v>1114</v>
      </c>
      <c r="BM1" s="1" t="s">
        <v>1115</v>
      </c>
      <c r="BN1" s="1" t="s">
        <v>1116</v>
      </c>
      <c r="BO1" s="1" t="s">
        <v>1117</v>
      </c>
      <c r="BP1" s="1" t="s">
        <v>1118</v>
      </c>
      <c r="BQ1" s="1" t="s">
        <v>1119</v>
      </c>
      <c r="BR1" s="1" t="s">
        <v>1120</v>
      </c>
    </row>
    <row r="2" spans="1:70" x14ac:dyDescent="0.2">
      <c r="A2" t="s">
        <v>140</v>
      </c>
      <c r="B2" t="s">
        <v>38</v>
      </c>
      <c r="C2" t="s">
        <v>141</v>
      </c>
      <c r="D2" t="s">
        <v>142</v>
      </c>
      <c r="E2">
        <v>82778</v>
      </c>
      <c r="F2">
        <v>40006</v>
      </c>
      <c r="G2" t="s">
        <v>142</v>
      </c>
      <c r="H2" s="1">
        <v>110.2</v>
      </c>
      <c r="I2" s="1">
        <v>43.5</v>
      </c>
      <c r="J2" s="10">
        <v>1.89</v>
      </c>
      <c r="K2" s="10">
        <f t="shared" ref="K2:K65" ca="1" si="0">SQRT(K$2^2+(AA2/Z2)^2)*J2</f>
        <v>4.2764938910280229E-2</v>
      </c>
      <c r="L2" s="7">
        <v>0.17960000000000001</v>
      </c>
      <c r="M2" s="7">
        <f t="shared" ref="M2:M65" ca="1" si="1">SQRT(M$2^2+(AC2/AB2)^2)*L2</f>
        <v>4.0635531250372498E-3</v>
      </c>
      <c r="N2" s="7">
        <v>0.97848000000000002</v>
      </c>
      <c r="O2" s="8">
        <v>5.5679290000000004</v>
      </c>
      <c r="P2" s="8">
        <f t="shared" ref="P2:P65" ca="1" si="2">SQRT(P$2^2+(AF2/AE2)^2)*O2</f>
        <v>0.12597759045055118</v>
      </c>
      <c r="Q2" s="9">
        <v>7.5980000000000006E-2</v>
      </c>
      <c r="R2" s="9">
        <f t="shared" ref="R2:R65" ca="1" si="3">SQRT(R$2^2+(AH2/AG2)^2)*Q2</f>
        <v>1.5400273244329144E-3</v>
      </c>
      <c r="S2" s="8">
        <f t="shared" ref="S2:S65" si="4">(((BE2/BD2)^2+(AW2/AV2)^2)+((BE2/BD2)^2+(BC2/BB2)^2)-((BC2/BB2)^2+(AW2/AV2)^2))/(2*SQRT((BE2/BD2)^2+(AW2/AV2)^2)*SQRT((BE2/BD2)^2+(BC2/BB2)^2))</f>
        <v>0.42122376640023501</v>
      </c>
      <c r="T2" s="11">
        <v>0.05</v>
      </c>
      <c r="U2" s="11">
        <f t="shared" ref="U2:U65" ca="1" si="5">SQRT(U$2^2+(AK2/AJ2)^2)*T2</f>
        <v>1.5620499351813308E-3</v>
      </c>
      <c r="V2" s="6" t="e">
        <f ca="1">IF(agePb6U8(1/O2)&lt;1400,age7corr(1/O2,Q2,$W$2),agePb76(Q2))</f>
        <v>#NAME?</v>
      </c>
      <c r="W2" s="6" t="e">
        <f ca="1">IF(agePb6U8(1/O2)&lt;1400,ageer7corr(V2,1/O2,P2/O2*(1/O2),Q2,R2,$W$2,0.05),ageerPb76(Q2,R2))</f>
        <v>#NAME?</v>
      </c>
      <c r="X2" s="4" t="e">
        <f ca="1">agePb6U8(L2)/agePb7u5(J2)</f>
        <v>#NAME?</v>
      </c>
      <c r="Y2" s="3"/>
      <c r="Z2" s="1">
        <v>1.89</v>
      </c>
      <c r="AA2" s="1">
        <v>0.02</v>
      </c>
      <c r="AB2" s="1">
        <v>0.17960000000000001</v>
      </c>
      <c r="AC2" s="1">
        <v>1.9E-3</v>
      </c>
      <c r="AD2" s="1">
        <v>0.97848000000000002</v>
      </c>
      <c r="AE2" s="1">
        <v>5.5679290000000004</v>
      </c>
      <c r="AF2" s="1">
        <v>5.8903480000000001E-2</v>
      </c>
      <c r="AG2" s="1">
        <v>7.5980000000000006E-2</v>
      </c>
      <c r="AH2" s="1">
        <v>2.5000000000000001E-4</v>
      </c>
      <c r="AI2" s="1">
        <v>0.10596999999999999</v>
      </c>
      <c r="AJ2" s="1">
        <v>0.05</v>
      </c>
      <c r="AK2" s="1">
        <v>1.1999999999999999E-3</v>
      </c>
      <c r="AL2" s="1">
        <v>10.17</v>
      </c>
      <c r="AM2" s="1">
        <v>0.73</v>
      </c>
      <c r="AN2" s="1">
        <v>1077.4000000000001</v>
      </c>
      <c r="AO2" s="1">
        <v>7</v>
      </c>
      <c r="AP2" s="1">
        <v>1065</v>
      </c>
      <c r="AQ2" s="1">
        <v>10</v>
      </c>
      <c r="AR2" s="1">
        <v>986</v>
      </c>
      <c r="AS2" s="1">
        <v>22</v>
      </c>
      <c r="AT2" s="1">
        <v>1094.5999999999999</v>
      </c>
      <c r="AU2" s="1">
        <v>6.6</v>
      </c>
      <c r="AV2" s="1">
        <v>24.29</v>
      </c>
      <c r="AW2" s="1">
        <v>0.51</v>
      </c>
      <c r="AX2" s="1">
        <v>3.4499999999999997</v>
      </c>
      <c r="AY2" s="1">
        <v>0.22</v>
      </c>
      <c r="AZ2" s="1">
        <v>14096.699999999999</v>
      </c>
      <c r="BA2" s="1">
        <v>807.3</v>
      </c>
      <c r="BB2" s="1">
        <v>12929.22</v>
      </c>
      <c r="BC2" s="1">
        <v>217.35</v>
      </c>
      <c r="BD2" s="1">
        <v>169595.1</v>
      </c>
      <c r="BE2" s="1">
        <v>2732.3999999999996</v>
      </c>
      <c r="BF2" s="1">
        <v>3.7259999999999995</v>
      </c>
      <c r="BG2" s="1">
        <v>3.6017999999999999</v>
      </c>
      <c r="BH2" s="1">
        <f t="shared" ref="BH2:BH65" si="6">BD2/BF2</f>
        <v>45516.666666666672</v>
      </c>
      <c r="BI2" s="1">
        <f t="shared" ref="BI2:BI65" si="7">SQRT((BG2/BF2)^2+(BE2/BD2)^2)*BH2</f>
        <v>44005.555208377176</v>
      </c>
      <c r="BJ2" s="27">
        <v>1074.2</v>
      </c>
      <c r="BK2" s="27">
        <v>17.8</v>
      </c>
      <c r="BL2" s="27">
        <v>1064.4000000000001</v>
      </c>
      <c r="BM2" s="27">
        <v>22.9</v>
      </c>
      <c r="BN2" s="27">
        <v>1094.2</v>
      </c>
      <c r="BO2" s="27">
        <v>52.7</v>
      </c>
      <c r="BP2" s="27">
        <v>1071.5</v>
      </c>
      <c r="BQ2" s="27">
        <v>16.8</v>
      </c>
      <c r="BR2" s="27">
        <v>0.81</v>
      </c>
    </row>
    <row r="3" spans="1:70" x14ac:dyDescent="0.2">
      <c r="A3" t="s">
        <v>173</v>
      </c>
      <c r="B3" t="s">
        <v>38</v>
      </c>
      <c r="C3" t="s">
        <v>174</v>
      </c>
      <c r="D3" t="s">
        <v>175</v>
      </c>
      <c r="E3">
        <v>83123</v>
      </c>
      <c r="F3">
        <v>43316</v>
      </c>
      <c r="G3" t="s">
        <v>175</v>
      </c>
      <c r="H3" s="1">
        <v>157.9</v>
      </c>
      <c r="I3" s="1">
        <v>58.95</v>
      </c>
      <c r="J3" s="10">
        <v>2.2450000000000001</v>
      </c>
      <c r="K3" s="10">
        <f t="shared" ca="1" si="0"/>
        <v>5.8821849681899671E-2</v>
      </c>
      <c r="L3" s="7">
        <v>0.20069999999999999</v>
      </c>
      <c r="M3" s="7">
        <f t="shared" ca="1" si="1"/>
        <v>5.3256169595644028E-3</v>
      </c>
      <c r="N3" s="7">
        <v>0.97187999999999997</v>
      </c>
      <c r="O3" s="8">
        <v>4.9825609999999996</v>
      </c>
      <c r="P3" s="8">
        <f t="shared" ca="1" si="2"/>
        <v>0.13221331019976165</v>
      </c>
      <c r="Q3" s="9">
        <v>8.097E-2</v>
      </c>
      <c r="R3" s="9">
        <f t="shared" ca="1" si="3"/>
        <v>1.6547073336393963E-3</v>
      </c>
      <c r="S3" s="8">
        <f t="shared" si="4"/>
        <v>0.50687189510379671</v>
      </c>
      <c r="T3" s="11">
        <v>6.13E-2</v>
      </c>
      <c r="U3" s="11">
        <f t="shared" ca="1" si="5"/>
        <v>1.7869180171457223E-3</v>
      </c>
      <c r="V3" s="6" t="e">
        <f ca="1">IF(agePb6U8(1/O3)&lt;1400,age7corr(1/O3,Q3,$W$2),agePb76(Q3))</f>
        <v>#NAME?</v>
      </c>
      <c r="W3" s="6" t="e">
        <f ca="1">IF(agePb6U8(1/O3)&lt;1400,ageer7corr(V3,1/O3,P3/O3*(1/O3),Q3,R3,$W$2,0.05),ageerPb76(Q3,R3))</f>
        <v>#NAME?</v>
      </c>
      <c r="X3" s="4" t="e">
        <f ca="1">agePb6U8(L3)/agePb7u5(J3)</f>
        <v>#NAME?</v>
      </c>
      <c r="Y3" s="3"/>
      <c r="Z3" s="1">
        <v>2.2450000000000001</v>
      </c>
      <c r="AA3" s="1">
        <v>3.7999999999999999E-2</v>
      </c>
      <c r="AB3" s="1">
        <v>0.20069999999999999</v>
      </c>
      <c r="AC3" s="1">
        <v>3.5000000000000001E-3</v>
      </c>
      <c r="AD3" s="1">
        <v>0.97187999999999997</v>
      </c>
      <c r="AE3" s="1">
        <v>4.9825609999999996</v>
      </c>
      <c r="AF3" s="1">
        <v>8.6890700000000001E-2</v>
      </c>
      <c r="AG3" s="1">
        <v>8.097E-2</v>
      </c>
      <c r="AH3" s="1">
        <v>3.4000000000000002E-4</v>
      </c>
      <c r="AI3" s="1">
        <v>0.14610000000000001</v>
      </c>
      <c r="AJ3" s="1">
        <v>6.13E-2</v>
      </c>
      <c r="AK3" s="1">
        <v>1.2999999999999999E-3</v>
      </c>
      <c r="AL3" s="1">
        <v>9.5440000000000005</v>
      </c>
      <c r="AM3" s="1">
        <v>3.3000000000000002E-2</v>
      </c>
      <c r="AN3" s="1">
        <v>1195</v>
      </c>
      <c r="AO3" s="1">
        <v>12</v>
      </c>
      <c r="AP3" s="1">
        <v>1179</v>
      </c>
      <c r="AQ3" s="1">
        <v>19</v>
      </c>
      <c r="AR3" s="1">
        <v>1203</v>
      </c>
      <c r="AS3" s="1">
        <v>25</v>
      </c>
      <c r="AT3" s="1">
        <v>1220.5</v>
      </c>
      <c r="AU3" s="1">
        <v>8.3000000000000007</v>
      </c>
      <c r="AV3" s="1">
        <v>34.770000000000003</v>
      </c>
      <c r="AW3" s="1">
        <v>0.46</v>
      </c>
      <c r="AX3" s="1">
        <v>4.6779999999999999</v>
      </c>
      <c r="AY3" s="1">
        <v>5.8000000000000003E-2</v>
      </c>
      <c r="AZ3" s="1">
        <v>23399.280000000002</v>
      </c>
      <c r="BA3" s="1">
        <v>310.5</v>
      </c>
      <c r="BB3" s="1">
        <v>22076.550000000003</v>
      </c>
      <c r="BC3" s="1">
        <v>267.02999999999997</v>
      </c>
      <c r="BD3" s="1">
        <v>270880.2</v>
      </c>
      <c r="BE3" s="1">
        <v>3477.6</v>
      </c>
      <c r="BF3" s="1">
        <v>1.1799000000000002</v>
      </c>
      <c r="BG3" s="1">
        <v>4.4091000000000005</v>
      </c>
      <c r="BH3" s="1">
        <f t="shared" si="6"/>
        <v>229578.94736842104</v>
      </c>
      <c r="BI3" s="1">
        <f t="shared" si="7"/>
        <v>857905.33992483385</v>
      </c>
      <c r="BJ3" s="27">
        <v>1194.2</v>
      </c>
      <c r="BK3" s="27">
        <v>17.7</v>
      </c>
      <c r="BL3" s="27">
        <v>1179.5999999999999</v>
      </c>
      <c r="BM3" s="27">
        <v>28.1</v>
      </c>
      <c r="BN3" s="27">
        <v>1220.5999999999999</v>
      </c>
      <c r="BO3" s="27">
        <v>48.5</v>
      </c>
      <c r="BP3" s="27">
        <v>1193</v>
      </c>
      <c r="BQ3" s="27">
        <v>17.600000000000001</v>
      </c>
      <c r="BR3" s="27">
        <v>1.1000000000000001</v>
      </c>
    </row>
    <row r="4" spans="1:70" x14ac:dyDescent="0.2">
      <c r="A4" t="s">
        <v>176</v>
      </c>
      <c r="B4" t="s">
        <v>38</v>
      </c>
      <c r="C4" t="s">
        <v>177</v>
      </c>
      <c r="D4" t="s">
        <v>178</v>
      </c>
      <c r="E4">
        <v>83138</v>
      </c>
      <c r="F4">
        <v>43505</v>
      </c>
      <c r="G4" t="s">
        <v>178</v>
      </c>
      <c r="H4" s="1">
        <v>123.5</v>
      </c>
      <c r="I4" s="1">
        <v>127.2</v>
      </c>
      <c r="J4" s="10">
        <v>9.85</v>
      </c>
      <c r="K4" s="10">
        <f t="shared" ca="1" si="0"/>
        <v>0.29531169973436538</v>
      </c>
      <c r="L4" s="7">
        <v>0.42230000000000001</v>
      </c>
      <c r="M4" s="7">
        <f t="shared" ca="1" si="1"/>
        <v>1.2562838691951751E-2</v>
      </c>
      <c r="N4" s="7">
        <v>0.99102999999999997</v>
      </c>
      <c r="O4" s="8">
        <v>2.367985</v>
      </c>
      <c r="P4" s="8">
        <f t="shared" ca="1" si="2"/>
        <v>7.0444266769655581E-2</v>
      </c>
      <c r="Q4" s="9">
        <v>0.16844000000000001</v>
      </c>
      <c r="R4" s="9">
        <f t="shared" ca="1" si="3"/>
        <v>3.4102365665742316E-3</v>
      </c>
      <c r="S4" s="8">
        <f t="shared" si="4"/>
        <v>0.4220867435086334</v>
      </c>
      <c r="T4" s="11">
        <v>0.126</v>
      </c>
      <c r="U4" s="11">
        <f t="shared" ca="1" si="5"/>
        <v>3.6932912151629747E-3</v>
      </c>
      <c r="V4" s="6" t="e">
        <f ca="1">IF(agePb6U8(1/O4)&lt;1400,age7corr(1/O4,Q4,$W$2),agePb76(Q4))</f>
        <v>#NAME?</v>
      </c>
      <c r="W4" s="6" t="e">
        <f ca="1">IF(agePb6U8(1/O4)&lt;1400,ageer7corr(V4,1/O4,P4/O4*(1/O4),Q4,R4,$W$2,0.05),ageerPb76(Q4,R4))</f>
        <v>#NAME?</v>
      </c>
      <c r="X4" s="4" t="e">
        <f ca="1">agePb6U8(L4)/agePb7u5(J4)</f>
        <v>#NAME?</v>
      </c>
      <c r="Y4" s="3"/>
      <c r="Z4" s="1">
        <v>9.85</v>
      </c>
      <c r="AA4" s="1">
        <v>0.22</v>
      </c>
      <c r="AB4" s="1">
        <v>0.42230000000000001</v>
      </c>
      <c r="AC4" s="1">
        <v>9.2999999999999992E-3</v>
      </c>
      <c r="AD4" s="1">
        <v>0.99102999999999997</v>
      </c>
      <c r="AE4" s="1">
        <v>2.367985</v>
      </c>
      <c r="AF4" s="1">
        <v>5.2148380000000001E-2</v>
      </c>
      <c r="AG4" s="1">
        <v>0.16844000000000001</v>
      </c>
      <c r="AH4" s="1">
        <v>5.2999999999999998E-4</v>
      </c>
      <c r="AI4" s="1">
        <v>0.19405</v>
      </c>
      <c r="AJ4" s="1">
        <v>0.126</v>
      </c>
      <c r="AK4" s="1">
        <v>2.7000000000000001E-3</v>
      </c>
      <c r="AL4" s="1">
        <v>3.6040000000000001</v>
      </c>
      <c r="AM4" s="1">
        <v>9.7000000000000003E-3</v>
      </c>
      <c r="AN4" s="1">
        <v>2425</v>
      </c>
      <c r="AO4" s="1">
        <v>19</v>
      </c>
      <c r="AP4" s="1">
        <v>2270</v>
      </c>
      <c r="AQ4" s="1">
        <v>42</v>
      </c>
      <c r="AR4" s="1">
        <v>2399</v>
      </c>
      <c r="AS4" s="1">
        <v>48</v>
      </c>
      <c r="AT4" s="1">
        <v>2542.1999999999998</v>
      </c>
      <c r="AU4" s="1">
        <v>5.3</v>
      </c>
      <c r="AV4" s="1">
        <v>27.18</v>
      </c>
      <c r="AW4" s="1">
        <v>0.4</v>
      </c>
      <c r="AX4" s="1">
        <v>10.1</v>
      </c>
      <c r="AY4" s="1">
        <v>0.12000000000000001</v>
      </c>
      <c r="AZ4" s="1">
        <v>102899.7</v>
      </c>
      <c r="BA4" s="1">
        <v>1117.8000000000002</v>
      </c>
      <c r="BB4" s="1">
        <v>76072.499999999985</v>
      </c>
      <c r="BC4" s="1">
        <v>869.4</v>
      </c>
      <c r="BD4" s="1">
        <v>450783.89999999997</v>
      </c>
      <c r="BE4" s="1">
        <v>5030.1000000000004</v>
      </c>
      <c r="BF4" s="1">
        <v>20.492999999999999</v>
      </c>
      <c r="BG4" s="1">
        <v>6.2099999999999991</v>
      </c>
      <c r="BH4" s="1">
        <f t="shared" si="6"/>
        <v>21996.969696969696</v>
      </c>
      <c r="BI4" s="1">
        <f t="shared" si="7"/>
        <v>6670.2660796214068</v>
      </c>
      <c r="BJ4" s="27">
        <v>2413.3000000000002</v>
      </c>
      <c r="BK4" s="27">
        <v>25.2</v>
      </c>
      <c r="BL4" s="27">
        <v>2269.3000000000002</v>
      </c>
      <c r="BM4" s="27">
        <v>56.5</v>
      </c>
      <c r="BN4" s="27">
        <v>2537.1</v>
      </c>
      <c r="BO4" s="27">
        <v>29.9</v>
      </c>
      <c r="BP4" s="27">
        <v>2461.5</v>
      </c>
      <c r="BQ4" s="27">
        <v>20.8</v>
      </c>
      <c r="BR4" s="27">
        <v>6.8</v>
      </c>
    </row>
    <row r="5" spans="1:70" x14ac:dyDescent="0.2">
      <c r="A5" t="s">
        <v>179</v>
      </c>
      <c r="B5" t="s">
        <v>38</v>
      </c>
      <c r="C5" t="s">
        <v>180</v>
      </c>
      <c r="D5" t="s">
        <v>181</v>
      </c>
      <c r="E5">
        <v>83219</v>
      </c>
      <c r="F5">
        <v>43798</v>
      </c>
      <c r="G5" t="s">
        <v>181</v>
      </c>
      <c r="H5" s="1">
        <v>129</v>
      </c>
      <c r="I5" s="1">
        <v>77.900000000000006</v>
      </c>
      <c r="J5" s="10">
        <v>2.6549999999999998</v>
      </c>
      <c r="K5" s="10">
        <f t="shared" ca="1" si="0"/>
        <v>7.4320992996595517E-2</v>
      </c>
      <c r="L5" s="7">
        <v>0.2218</v>
      </c>
      <c r="M5" s="7">
        <f t="shared" ca="1" si="1"/>
        <v>6.8350637158698093E-3</v>
      </c>
      <c r="N5" s="7">
        <v>0.97677999999999998</v>
      </c>
      <c r="O5" s="8">
        <v>4.5085660000000001</v>
      </c>
      <c r="P5" s="8">
        <f t="shared" ca="1" si="2"/>
        <v>0.1389375103139264</v>
      </c>
      <c r="Q5" s="9">
        <v>8.6129999999999998E-2</v>
      </c>
      <c r="R5" s="9">
        <f t="shared" ca="1" si="3"/>
        <v>1.7936975107302792E-3</v>
      </c>
      <c r="S5" s="8">
        <f t="shared" si="4"/>
        <v>0.47637408316160368</v>
      </c>
      <c r="T5" s="11">
        <v>6.7500000000000004E-2</v>
      </c>
      <c r="U5" s="11">
        <f t="shared" ca="1" si="5"/>
        <v>1.8062391868188443E-3</v>
      </c>
      <c r="V5" s="6" t="e">
        <f ca="1">IF(agePb6U8(1/O5)&lt;1400,age7corr(1/O5,Q5,$W$2),agePb76(Q5))</f>
        <v>#NAME?</v>
      </c>
      <c r="W5" s="6" t="e">
        <f ca="1">IF(agePb6U8(1/O5)&lt;1400,ageer7corr(V5,1/O5,P5/O5*(1/O5),Q5,R5,$W$2,0.05),ageerPb76(Q5,R5))</f>
        <v>#NAME?</v>
      </c>
      <c r="X5" s="4" t="e">
        <f ca="1">agePb6U8(L5)/agePb7u5(J5)</f>
        <v>#NAME?</v>
      </c>
      <c r="Y5" s="3"/>
      <c r="Z5" s="1">
        <v>2.6549999999999998</v>
      </c>
      <c r="AA5" s="1">
        <v>5.1999999999999998E-2</v>
      </c>
      <c r="AB5" s="1">
        <v>0.2218</v>
      </c>
      <c r="AC5" s="1">
        <v>5.1999999999999998E-3</v>
      </c>
      <c r="AD5" s="1">
        <v>0.97677999999999998</v>
      </c>
      <c r="AE5" s="1">
        <v>4.5085660000000001</v>
      </c>
      <c r="AF5" s="1">
        <v>0.1057013</v>
      </c>
      <c r="AG5" s="1">
        <v>8.6129999999999998E-2</v>
      </c>
      <c r="AH5" s="1">
        <v>5.0000000000000001E-4</v>
      </c>
      <c r="AI5" s="1">
        <v>0.31568000000000002</v>
      </c>
      <c r="AJ5" s="1">
        <v>6.7500000000000004E-2</v>
      </c>
      <c r="AK5" s="1">
        <v>1.1999999999999999E-3</v>
      </c>
      <c r="AL5" s="1">
        <v>5.8659999999999997</v>
      </c>
      <c r="AM5" s="1">
        <v>2.5999999999999999E-2</v>
      </c>
      <c r="AN5" s="1">
        <v>1316</v>
      </c>
      <c r="AO5" s="1">
        <v>14</v>
      </c>
      <c r="AP5" s="1">
        <v>1291</v>
      </c>
      <c r="AQ5" s="1">
        <v>27</v>
      </c>
      <c r="AR5" s="1">
        <v>1320</v>
      </c>
      <c r="AS5" s="1">
        <v>22</v>
      </c>
      <c r="AT5" s="1">
        <v>1343</v>
      </c>
      <c r="AU5" s="1">
        <v>11</v>
      </c>
      <c r="AV5" s="1">
        <v>28.41</v>
      </c>
      <c r="AW5" s="1">
        <v>0.95</v>
      </c>
      <c r="AX5" s="1">
        <v>6.18</v>
      </c>
      <c r="AY5" s="1">
        <v>0.33</v>
      </c>
      <c r="AZ5" s="1">
        <v>34155</v>
      </c>
      <c r="BA5" s="1">
        <v>1242</v>
      </c>
      <c r="BB5" s="1">
        <v>21051.9</v>
      </c>
      <c r="BC5" s="1">
        <v>745.2</v>
      </c>
      <c r="BD5" s="1">
        <v>245916</v>
      </c>
      <c r="BE5" s="1">
        <v>8072.9999999999982</v>
      </c>
      <c r="BF5" s="1">
        <v>1.3041</v>
      </c>
      <c r="BG5" s="1">
        <v>5.6510999999999996</v>
      </c>
      <c r="BH5" s="1">
        <f t="shared" si="6"/>
        <v>188571.42857142858</v>
      </c>
      <c r="BI5" s="1">
        <f t="shared" si="7"/>
        <v>817166.30557987187</v>
      </c>
      <c r="BJ5" s="27">
        <v>1308.5</v>
      </c>
      <c r="BK5" s="27">
        <v>21</v>
      </c>
      <c r="BL5" s="27">
        <v>1291</v>
      </c>
      <c r="BM5" s="27">
        <v>36.299999999999997</v>
      </c>
      <c r="BN5" s="27">
        <v>1337.3</v>
      </c>
      <c r="BO5" s="27">
        <v>45</v>
      </c>
      <c r="BP5" s="27">
        <v>1310.8</v>
      </c>
      <c r="BQ5" s="27">
        <v>20.7</v>
      </c>
      <c r="BR5" s="27">
        <v>1.3</v>
      </c>
    </row>
    <row r="6" spans="1:70" x14ac:dyDescent="0.2">
      <c r="A6" t="s">
        <v>182</v>
      </c>
      <c r="B6" t="s">
        <v>38</v>
      </c>
      <c r="C6" t="s">
        <v>183</v>
      </c>
      <c r="D6" t="s">
        <v>184</v>
      </c>
      <c r="E6">
        <v>83222</v>
      </c>
      <c r="F6">
        <v>44189</v>
      </c>
      <c r="G6" t="s">
        <v>184</v>
      </c>
      <c r="H6" s="1">
        <v>110.7</v>
      </c>
      <c r="I6" s="1">
        <v>33.9</v>
      </c>
      <c r="J6" s="10">
        <v>1.8520000000000001</v>
      </c>
      <c r="K6" s="10">
        <f t="shared" ca="1" si="0"/>
        <v>5.8283459060011179E-2</v>
      </c>
      <c r="L6" s="7">
        <v>0.17549999999999999</v>
      </c>
      <c r="M6" s="7">
        <f t="shared" ca="1" si="1"/>
        <v>4.9568235796727733E-3</v>
      </c>
      <c r="N6" s="7">
        <v>0.9546</v>
      </c>
      <c r="O6" s="8">
        <v>5.6980060000000003</v>
      </c>
      <c r="P6" s="8">
        <f t="shared" ca="1" si="2"/>
        <v>0.16093449935788906</v>
      </c>
      <c r="Q6" s="9">
        <v>7.5600000000000001E-2</v>
      </c>
      <c r="R6" s="9">
        <f t="shared" ca="1" si="3"/>
        <v>1.5894162450409272E-3</v>
      </c>
      <c r="S6" s="8">
        <f t="shared" si="4"/>
        <v>0.46166556032943862</v>
      </c>
      <c r="T6" s="11">
        <v>6.2399999999999997E-2</v>
      </c>
      <c r="U6" s="11">
        <f t="shared" ca="1" si="5"/>
        <v>2.8840083217633056E-3</v>
      </c>
      <c r="V6" s="6" t="e">
        <f ca="1">IF(agePb6U8(1/O6)&lt;1400,age7corr(1/O6,Q6,$W$2),agePb76(Q6))</f>
        <v>#NAME?</v>
      </c>
      <c r="W6" s="6" t="e">
        <f ca="1">IF(agePb6U8(1/O6)&lt;1400,ageer7corr(V6,1/O6,P6/O6*(1/O6),Q6,R6,$W$2,0.05),ageerPb76(Q6,R6))</f>
        <v>#NAME?</v>
      </c>
      <c r="X6" s="4" t="e">
        <f ca="1">agePb6U8(L6)/agePb7u5(J6)</f>
        <v>#NAME?</v>
      </c>
      <c r="Y6" s="3"/>
      <c r="Z6" s="1">
        <v>1.8520000000000001</v>
      </c>
      <c r="AA6" s="1">
        <v>4.4999999999999998E-2</v>
      </c>
      <c r="AB6" s="1">
        <v>0.17549999999999999</v>
      </c>
      <c r="AC6" s="1">
        <v>3.5000000000000001E-3</v>
      </c>
      <c r="AD6" s="1">
        <v>0.9546</v>
      </c>
      <c r="AE6" s="1">
        <v>5.6980060000000003</v>
      </c>
      <c r="AF6" s="1">
        <v>0.1136354</v>
      </c>
      <c r="AG6" s="1">
        <v>7.5600000000000001E-2</v>
      </c>
      <c r="AH6" s="1">
        <v>4.8999999999999998E-4</v>
      </c>
      <c r="AI6" s="1">
        <v>4.7104E-2</v>
      </c>
      <c r="AJ6" s="1">
        <v>6.2399999999999997E-2</v>
      </c>
      <c r="AK6" s="1">
        <v>2.5999999999999999E-3</v>
      </c>
      <c r="AL6" s="1">
        <v>10.103999999999999</v>
      </c>
      <c r="AM6" s="1">
        <v>8.4000000000000005E-2</v>
      </c>
      <c r="AN6" s="1">
        <v>1067</v>
      </c>
      <c r="AO6" s="1">
        <v>15</v>
      </c>
      <c r="AP6" s="1">
        <v>1042</v>
      </c>
      <c r="AQ6" s="1">
        <v>19</v>
      </c>
      <c r="AR6" s="1">
        <v>1223</v>
      </c>
      <c r="AS6" s="1">
        <v>50</v>
      </c>
      <c r="AT6" s="1">
        <v>1084</v>
      </c>
      <c r="AU6" s="1">
        <v>13</v>
      </c>
      <c r="AV6" s="1">
        <v>24.400000000000002</v>
      </c>
      <c r="AW6" s="1">
        <v>1.1000000000000001</v>
      </c>
      <c r="AX6" s="1">
        <v>2.69</v>
      </c>
      <c r="AY6" s="1">
        <v>0.11</v>
      </c>
      <c r="AZ6" s="1">
        <v>13798.62</v>
      </c>
      <c r="BA6" s="1">
        <v>372.6</v>
      </c>
      <c r="BB6" s="1">
        <v>12860.91</v>
      </c>
      <c r="BC6" s="1">
        <v>416.07</v>
      </c>
      <c r="BD6" s="1">
        <v>168166.8</v>
      </c>
      <c r="BE6" s="1">
        <v>6023.7</v>
      </c>
      <c r="BF6" s="1">
        <v>8.4456000000000007</v>
      </c>
      <c r="BG6" s="1">
        <v>5.8995000000000006</v>
      </c>
      <c r="BH6" s="1">
        <f t="shared" si="6"/>
        <v>19911.76470588235</v>
      </c>
      <c r="BI6" s="1">
        <f t="shared" si="7"/>
        <v>13927.228228553222</v>
      </c>
      <c r="BJ6" s="27">
        <v>1059</v>
      </c>
      <c r="BK6" s="27">
        <v>18.600000000000001</v>
      </c>
      <c r="BL6" s="27">
        <v>1042</v>
      </c>
      <c r="BM6" s="27">
        <v>27</v>
      </c>
      <c r="BN6" s="27">
        <v>1094.2</v>
      </c>
      <c r="BO6" s="27">
        <v>52.7</v>
      </c>
      <c r="BP6" s="27">
        <v>1056.8</v>
      </c>
      <c r="BQ6" s="27">
        <v>18.5</v>
      </c>
      <c r="BR6" s="27">
        <v>1.4</v>
      </c>
    </row>
    <row r="7" spans="1:70" x14ac:dyDescent="0.2">
      <c r="A7" t="s">
        <v>185</v>
      </c>
      <c r="B7" t="s">
        <v>38</v>
      </c>
      <c r="C7" t="s">
        <v>186</v>
      </c>
      <c r="D7" t="s">
        <v>187</v>
      </c>
      <c r="E7">
        <v>83313</v>
      </c>
      <c r="F7">
        <v>44380</v>
      </c>
      <c r="G7" t="s">
        <v>187</v>
      </c>
      <c r="H7" s="1">
        <v>98.3</v>
      </c>
      <c r="I7" s="1">
        <v>35.32</v>
      </c>
      <c r="J7" s="10">
        <v>1.7130000000000001</v>
      </c>
      <c r="K7" s="10">
        <f t="shared" ca="1" si="0"/>
        <v>6.3109013619292137E-2</v>
      </c>
      <c r="L7" s="7">
        <v>0.1699</v>
      </c>
      <c r="M7" s="7">
        <f t="shared" ca="1" si="1"/>
        <v>6.2957449122403308E-3</v>
      </c>
      <c r="N7" s="7">
        <v>0.96536</v>
      </c>
      <c r="O7" s="8">
        <v>5.885815</v>
      </c>
      <c r="P7" s="8">
        <f t="shared" ca="1" si="2"/>
        <v>0.21810231776232916</v>
      </c>
      <c r="Q7" s="9">
        <v>7.2620000000000004E-2</v>
      </c>
      <c r="R7" s="9">
        <f t="shared" ca="1" si="3"/>
        <v>1.5235044338629278E-3</v>
      </c>
      <c r="S7" s="8">
        <f t="shared" si="4"/>
        <v>0.46095877755411785</v>
      </c>
      <c r="T7" s="11">
        <v>5.4300000000000001E-2</v>
      </c>
      <c r="U7" s="11">
        <f t="shared" ca="1" si="5"/>
        <v>2.0172743987866399E-3</v>
      </c>
      <c r="V7" s="6" t="e">
        <f ca="1">IF(agePb6U8(1/O7)&lt;1400,age7corr(1/O7,Q7,$W$2),agePb76(Q7))</f>
        <v>#NAME?</v>
      </c>
      <c r="W7" s="6" t="e">
        <f ca="1">IF(agePb6U8(1/O7)&lt;1400,ageer7corr(V7,1/O7,P7/O7*(1/O7),Q7,R7,$W$2,0.05),ageerPb76(Q7,R7))</f>
        <v>#NAME?</v>
      </c>
      <c r="X7" s="4" t="e">
        <f ca="1">agePb6U8(L7)/agePb7u5(J7)</f>
        <v>#NAME?</v>
      </c>
      <c r="Y7" s="3"/>
      <c r="Z7" s="1">
        <v>1.7130000000000001</v>
      </c>
      <c r="AA7" s="1">
        <v>5.2999999999999999E-2</v>
      </c>
      <c r="AB7" s="1">
        <v>0.1699</v>
      </c>
      <c r="AC7" s="1">
        <v>5.3E-3</v>
      </c>
      <c r="AD7" s="1">
        <v>0.96536</v>
      </c>
      <c r="AE7" s="1">
        <v>5.885815</v>
      </c>
      <c r="AF7" s="1">
        <v>0.18360689999999999</v>
      </c>
      <c r="AG7" s="1">
        <v>7.2620000000000004E-2</v>
      </c>
      <c r="AH7" s="1">
        <v>4.6000000000000001E-4</v>
      </c>
      <c r="AI7" s="1">
        <v>3.9736E-2</v>
      </c>
      <c r="AJ7" s="1">
        <v>5.4300000000000001E-2</v>
      </c>
      <c r="AK7" s="1">
        <v>1.6999999999999999E-3</v>
      </c>
      <c r="AL7" s="1">
        <v>9.4600000000000009</v>
      </c>
      <c r="AM7" s="1">
        <v>5.5E-2</v>
      </c>
      <c r="AN7" s="1">
        <v>1012</v>
      </c>
      <c r="AO7" s="1">
        <v>20</v>
      </c>
      <c r="AP7" s="1">
        <v>1011</v>
      </c>
      <c r="AQ7" s="1">
        <v>29</v>
      </c>
      <c r="AR7" s="1">
        <v>1069</v>
      </c>
      <c r="AS7" s="1">
        <v>33</v>
      </c>
      <c r="AT7" s="1">
        <v>1003</v>
      </c>
      <c r="AU7" s="1">
        <v>13</v>
      </c>
      <c r="AV7" s="1">
        <v>21.63</v>
      </c>
      <c r="AW7" s="1">
        <v>0.38</v>
      </c>
      <c r="AX7" s="1">
        <v>2.8019999999999996</v>
      </c>
      <c r="AY7" s="1">
        <v>6.4000000000000001E-2</v>
      </c>
      <c r="AZ7" s="1">
        <v>12401.369999999999</v>
      </c>
      <c r="BA7" s="1">
        <v>229.77</v>
      </c>
      <c r="BB7" s="1">
        <v>10470.06</v>
      </c>
      <c r="BC7" s="1">
        <v>198.71999999999997</v>
      </c>
      <c r="BD7" s="1">
        <v>143326.80000000002</v>
      </c>
      <c r="BE7" s="1">
        <v>2421.9</v>
      </c>
      <c r="BF7" s="1">
        <v>-2.9186999999999999</v>
      </c>
      <c r="BG7" s="1">
        <v>5.1543000000000001</v>
      </c>
      <c r="BH7" s="1">
        <f t="shared" si="6"/>
        <v>-49106.382978723414</v>
      </c>
      <c r="BI7" s="1">
        <f t="shared" si="7"/>
        <v>-86723.752568841766</v>
      </c>
      <c r="BJ7" s="27">
        <v>1011.6</v>
      </c>
      <c r="BK7" s="27">
        <v>22.2</v>
      </c>
      <c r="BL7" s="27">
        <v>1010.9</v>
      </c>
      <c r="BM7" s="27">
        <v>34.9</v>
      </c>
      <c r="BN7" s="27">
        <v>1013</v>
      </c>
      <c r="BO7" s="27">
        <v>55.5</v>
      </c>
      <c r="BP7" s="27">
        <v>1011.6</v>
      </c>
      <c r="BQ7" s="27">
        <v>22.1</v>
      </c>
      <c r="BR7" s="27">
        <v>6.0999999999999999E-2</v>
      </c>
    </row>
    <row r="8" spans="1:70" x14ac:dyDescent="0.2">
      <c r="A8" t="s">
        <v>188</v>
      </c>
      <c r="B8" t="s">
        <v>38</v>
      </c>
      <c r="C8" t="s">
        <v>189</v>
      </c>
      <c r="D8" t="s">
        <v>190</v>
      </c>
      <c r="E8">
        <v>83261</v>
      </c>
      <c r="F8">
        <v>44549</v>
      </c>
      <c r="G8" t="s">
        <v>190</v>
      </c>
      <c r="H8" s="1">
        <v>55.31</v>
      </c>
      <c r="I8" s="1">
        <v>86</v>
      </c>
      <c r="J8" s="10">
        <v>2.2989999999999999</v>
      </c>
      <c r="K8" s="10">
        <f t="shared" ca="1" si="0"/>
        <v>6.7194943262123524E-2</v>
      </c>
      <c r="L8" s="7">
        <v>0.20499999999999999</v>
      </c>
      <c r="M8" s="7">
        <f t="shared" ca="1" si="1"/>
        <v>5.6586217403180421E-3</v>
      </c>
      <c r="N8" s="7">
        <v>0.89602999999999999</v>
      </c>
      <c r="O8" s="8">
        <v>4.8780489999999999</v>
      </c>
      <c r="P8" s="8">
        <f t="shared" ca="1" si="2"/>
        <v>0.13464894155607166</v>
      </c>
      <c r="Q8" s="9">
        <v>8.1110000000000002E-2</v>
      </c>
      <c r="R8" s="9">
        <f t="shared" ca="1" si="3"/>
        <v>1.7667860198677145E-3</v>
      </c>
      <c r="S8" s="8">
        <f t="shared" si="4"/>
        <v>0.36211661770845355</v>
      </c>
      <c r="T8" s="11">
        <v>6.6089999999999996E-2</v>
      </c>
      <c r="U8" s="11">
        <f t="shared" ca="1" si="5"/>
        <v>1.6336325290590905E-3</v>
      </c>
      <c r="V8" s="6" t="e">
        <f ca="1">IF(agePb6U8(1/O8)&lt;1400,age7corr(1/O8,Q8,$W$2),agePb76(Q8))</f>
        <v>#NAME?</v>
      </c>
      <c r="W8" s="6" t="e">
        <f ca="1">IF(agePb6U8(1/O8)&lt;1400,ageer7corr(V8,1/O8,P8/O8*(1/O8),Q8,R8,$W$2,0.05),ageerPb76(Q8,R8))</f>
        <v>#NAME?</v>
      </c>
      <c r="X8" s="4" t="e">
        <f ca="1">agePb6U8(L8)/agePb7u5(J8)</f>
        <v>#NAME?</v>
      </c>
      <c r="Y8" s="3"/>
      <c r="Z8" s="1">
        <v>2.2989999999999999</v>
      </c>
      <c r="AA8" s="1">
        <v>4.9000000000000002E-2</v>
      </c>
      <c r="AB8" s="1">
        <v>0.20499999999999999</v>
      </c>
      <c r="AC8" s="1">
        <v>3.8999999999999998E-3</v>
      </c>
      <c r="AD8" s="1">
        <v>0.89602999999999999</v>
      </c>
      <c r="AE8" s="1">
        <v>4.8780489999999999</v>
      </c>
      <c r="AF8" s="1">
        <v>9.2801900000000007E-2</v>
      </c>
      <c r="AG8" s="1">
        <v>8.1110000000000002E-2</v>
      </c>
      <c r="AH8" s="1">
        <v>6.9999999999999999E-4</v>
      </c>
      <c r="AI8" s="1">
        <v>-0.18224000000000001</v>
      </c>
      <c r="AJ8" s="1">
        <v>6.6089999999999996E-2</v>
      </c>
      <c r="AK8" s="1">
        <v>9.6000000000000002E-4</v>
      </c>
      <c r="AL8" s="1">
        <v>2.1779999999999999</v>
      </c>
      <c r="AM8" s="1">
        <v>1.0999999999999999E-2</v>
      </c>
      <c r="AN8" s="1">
        <v>1211</v>
      </c>
      <c r="AO8" s="1">
        <v>15</v>
      </c>
      <c r="AP8" s="1">
        <v>1202</v>
      </c>
      <c r="AQ8" s="1">
        <v>21</v>
      </c>
      <c r="AR8" s="1">
        <v>1293</v>
      </c>
      <c r="AS8" s="1">
        <v>18</v>
      </c>
      <c r="AT8" s="1">
        <v>1224</v>
      </c>
      <c r="AU8" s="1">
        <v>17</v>
      </c>
      <c r="AV8" s="1">
        <v>12.17</v>
      </c>
      <c r="AW8" s="1">
        <v>0.17</v>
      </c>
      <c r="AX8" s="1">
        <v>6.8250000000000002</v>
      </c>
      <c r="AY8" s="1">
        <v>9.8000000000000004E-2</v>
      </c>
      <c r="AZ8" s="1">
        <v>36676.26</v>
      </c>
      <c r="BA8" s="1">
        <v>422.28000000000003</v>
      </c>
      <c r="BB8" s="1">
        <v>7905.33</v>
      </c>
      <c r="BC8" s="1">
        <v>117.99</v>
      </c>
      <c r="BD8" s="1">
        <v>97000.2</v>
      </c>
      <c r="BE8" s="1">
        <v>1055.7</v>
      </c>
      <c r="BF8" s="1">
        <v>-1.4282999999999999</v>
      </c>
      <c r="BG8" s="1">
        <v>5.8995000000000006</v>
      </c>
      <c r="BH8" s="1">
        <f t="shared" si="6"/>
        <v>-67913.043478260879</v>
      </c>
      <c r="BI8" s="1">
        <f t="shared" si="7"/>
        <v>-280511.37075903069</v>
      </c>
      <c r="BJ8" s="27">
        <v>1208.5</v>
      </c>
      <c r="BK8" s="27">
        <v>20.5</v>
      </c>
      <c r="BL8" s="27">
        <v>1201.7</v>
      </c>
      <c r="BM8" s="27">
        <v>29.2</v>
      </c>
      <c r="BN8" s="27">
        <v>1220.5999999999999</v>
      </c>
      <c r="BO8" s="27">
        <v>48.5</v>
      </c>
      <c r="BP8" s="27">
        <v>1207.7</v>
      </c>
      <c r="BQ8" s="27">
        <v>20.5</v>
      </c>
      <c r="BR8" s="27">
        <v>0.5</v>
      </c>
    </row>
    <row r="9" spans="1:70" x14ac:dyDescent="0.2">
      <c r="A9" t="s">
        <v>197</v>
      </c>
      <c r="B9" t="s">
        <v>38</v>
      </c>
      <c r="C9" t="s">
        <v>198</v>
      </c>
      <c r="D9" t="s">
        <v>199</v>
      </c>
      <c r="E9">
        <v>83379</v>
      </c>
      <c r="F9">
        <v>44702</v>
      </c>
      <c r="G9" t="s">
        <v>199</v>
      </c>
      <c r="H9" s="1">
        <v>157.9</v>
      </c>
      <c r="I9" s="1">
        <v>80.5</v>
      </c>
      <c r="J9" s="10">
        <v>2.9820000000000002</v>
      </c>
      <c r="K9" s="10">
        <f t="shared" ca="1" si="0"/>
        <v>8.9699105904128162E-2</v>
      </c>
      <c r="L9" s="7">
        <v>0.23169999999999999</v>
      </c>
      <c r="M9" s="7">
        <f t="shared" ca="1" si="1"/>
        <v>6.8908603236460982E-3</v>
      </c>
      <c r="N9" s="7">
        <v>0.96921000000000002</v>
      </c>
      <c r="O9" s="8">
        <v>4.3159260000000002</v>
      </c>
      <c r="P9" s="8">
        <f t="shared" ca="1" si="2"/>
        <v>0.12835754320035267</v>
      </c>
      <c r="Q9" s="9">
        <v>9.3210000000000001E-2</v>
      </c>
      <c r="R9" s="9">
        <f t="shared" ca="1" si="3"/>
        <v>1.9583772976625316E-3</v>
      </c>
      <c r="S9" s="8">
        <f t="shared" si="4"/>
        <v>0.4067814971385727</v>
      </c>
      <c r="T9" s="11">
        <v>7.6200000000000004E-2</v>
      </c>
      <c r="U9" s="11">
        <f t="shared" ca="1" si="5"/>
        <v>2.7590897049570538E-3</v>
      </c>
      <c r="V9" s="6" t="e">
        <f ca="1">IF(agePb6U8(1/O9)&lt;1400,age7corr(1/O9,Q9,$W$2),agePb76(Q9))</f>
        <v>#NAME?</v>
      </c>
      <c r="W9" s="6" t="e">
        <f ca="1">IF(agePb6U8(1/O9)&lt;1400,ageer7corr(V9,1/O9,P9/O9*(1/O9),Q9,R9,$W$2,0.05),ageerPb76(Q9,R9))</f>
        <v>#NAME?</v>
      </c>
      <c r="X9" s="4" t="e">
        <f ca="1">agePb6U8(L9)/agePb7u5(J9)</f>
        <v>#NAME?</v>
      </c>
      <c r="Y9" s="3"/>
      <c r="Z9" s="1">
        <v>2.9820000000000002</v>
      </c>
      <c r="AA9" s="1">
        <v>6.7000000000000004E-2</v>
      </c>
      <c r="AB9" s="1">
        <v>0.23169999999999999</v>
      </c>
      <c r="AC9" s="1">
        <v>5.1000000000000004E-3</v>
      </c>
      <c r="AD9" s="1">
        <v>0.96921000000000002</v>
      </c>
      <c r="AE9" s="1">
        <v>4.3159260000000002</v>
      </c>
      <c r="AF9" s="1">
        <v>9.4998799999999994E-2</v>
      </c>
      <c r="AG9" s="1">
        <v>9.3210000000000001E-2</v>
      </c>
      <c r="AH9" s="1">
        <v>5.9999999999999995E-4</v>
      </c>
      <c r="AI9" s="1">
        <v>-0.12091</v>
      </c>
      <c r="AJ9" s="1">
        <v>7.6200000000000004E-2</v>
      </c>
      <c r="AK9" s="1">
        <v>2.3E-3</v>
      </c>
      <c r="AL9" s="1">
        <v>6.52</v>
      </c>
      <c r="AM9" s="1">
        <v>6.7000000000000004E-2</v>
      </c>
      <c r="AN9" s="1">
        <v>1402</v>
      </c>
      <c r="AO9" s="1">
        <v>17</v>
      </c>
      <c r="AP9" s="1">
        <v>1343</v>
      </c>
      <c r="AQ9" s="1">
        <v>27</v>
      </c>
      <c r="AR9" s="1">
        <v>1485</v>
      </c>
      <c r="AS9" s="1">
        <v>43</v>
      </c>
      <c r="AT9" s="1">
        <v>1492</v>
      </c>
      <c r="AU9" s="1">
        <v>12</v>
      </c>
      <c r="AV9" s="1">
        <v>34.700000000000003</v>
      </c>
      <c r="AW9" s="1">
        <v>1.2</v>
      </c>
      <c r="AX9" s="1">
        <v>6.39</v>
      </c>
      <c r="AY9" s="1">
        <v>0.19</v>
      </c>
      <c r="AZ9" s="1">
        <v>39557.699999999997</v>
      </c>
      <c r="BA9" s="1">
        <v>1366.1999999999998</v>
      </c>
      <c r="BB9" s="1">
        <v>29311.199999999997</v>
      </c>
      <c r="BC9" s="1">
        <v>807.3</v>
      </c>
      <c r="BD9" s="1">
        <v>314226.00000000006</v>
      </c>
      <c r="BE9" s="1">
        <v>8072.9999999999982</v>
      </c>
      <c r="BF9" s="1">
        <v>26.082000000000001</v>
      </c>
      <c r="BG9" s="1">
        <v>6.2099999999999991</v>
      </c>
      <c r="BH9" s="1">
        <f t="shared" si="6"/>
        <v>12047.61904761905</v>
      </c>
      <c r="BI9" s="1">
        <f t="shared" si="7"/>
        <v>2885.1320007819618</v>
      </c>
      <c r="BJ9" s="27">
        <v>1399.2</v>
      </c>
      <c r="BK9" s="27">
        <v>22</v>
      </c>
      <c r="BL9" s="27">
        <v>1342.3</v>
      </c>
      <c r="BM9" s="27">
        <v>36.5</v>
      </c>
      <c r="BN9" s="27">
        <v>1487</v>
      </c>
      <c r="BO9" s="27">
        <v>40.700000000000003</v>
      </c>
      <c r="BP9" s="27">
        <v>1408.7</v>
      </c>
      <c r="BQ9" s="27">
        <v>21.7</v>
      </c>
      <c r="BR9" s="27">
        <v>4</v>
      </c>
    </row>
    <row r="10" spans="1:70" x14ac:dyDescent="0.2">
      <c r="A10" t="s">
        <v>200</v>
      </c>
      <c r="B10" t="s">
        <v>38</v>
      </c>
      <c r="C10" t="s">
        <v>201</v>
      </c>
      <c r="D10" t="s">
        <v>202</v>
      </c>
      <c r="E10">
        <v>82471</v>
      </c>
      <c r="F10">
        <v>40028</v>
      </c>
      <c r="G10" t="s">
        <v>202</v>
      </c>
      <c r="H10" s="1">
        <v>257.60000000000002</v>
      </c>
      <c r="I10" s="1">
        <v>211.7</v>
      </c>
      <c r="J10" s="10">
        <v>12.08</v>
      </c>
      <c r="K10" s="10">
        <f t="shared" ca="1" si="0"/>
        <v>0.33357242092235384</v>
      </c>
      <c r="L10" s="7">
        <v>0.48299999999999998</v>
      </c>
      <c r="M10" s="7">
        <f t="shared" ca="1" si="1"/>
        <v>1.2353363914335235E-2</v>
      </c>
      <c r="N10" s="7">
        <v>0.97875000000000001</v>
      </c>
      <c r="O10" s="8">
        <v>2.0703930000000001</v>
      </c>
      <c r="P10" s="8">
        <f t="shared" ca="1" si="2"/>
        <v>5.2953042680213384E-2</v>
      </c>
      <c r="Q10" s="9">
        <v>0.18071000000000001</v>
      </c>
      <c r="R10" s="9">
        <f t="shared" ca="1" si="3"/>
        <v>3.6408847331383621E-3</v>
      </c>
      <c r="S10" s="8">
        <f t="shared" si="4"/>
        <v>0.34648762849900167</v>
      </c>
      <c r="T10" s="11">
        <v>0.1193</v>
      </c>
      <c r="U10" s="11">
        <f t="shared" ca="1" si="5"/>
        <v>3.6787220607161939E-3</v>
      </c>
      <c r="V10" s="6" t="e">
        <f ca="1">IF(agePb6U8(1/O10)&lt;1400,age7corr(1/O10,Q10,$W$2),agePb76(Q10))</f>
        <v>#NAME?</v>
      </c>
      <c r="W10" s="6" t="e">
        <f ca="1">IF(agePb6U8(1/O10)&lt;1400,ageer7corr(V10,1/O10,P10/O10*(1/O10),Q10,R10,$W$2,0.05),ageerPb76(Q10,R10))</f>
        <v>#NAME?</v>
      </c>
      <c r="X10" s="4" t="e">
        <f ca="1">agePb6U8(L10)/agePb7u5(J10)</f>
        <v>#NAME?</v>
      </c>
      <c r="Y10" s="3"/>
      <c r="Z10" s="1">
        <v>12.08</v>
      </c>
      <c r="AA10" s="1">
        <v>0.23</v>
      </c>
      <c r="AB10" s="1">
        <v>0.48299999999999998</v>
      </c>
      <c r="AC10" s="1">
        <v>7.7000000000000002E-3</v>
      </c>
      <c r="AD10" s="1">
        <v>0.97875000000000001</v>
      </c>
      <c r="AE10" s="1">
        <v>2.0703930000000001</v>
      </c>
      <c r="AF10" s="1">
        <v>3.3006269999999997E-2</v>
      </c>
      <c r="AG10" s="1">
        <v>0.18071000000000001</v>
      </c>
      <c r="AH10" s="1">
        <v>4.4000000000000002E-4</v>
      </c>
      <c r="AI10" s="1">
        <v>-0.43356</v>
      </c>
      <c r="AJ10" s="1">
        <v>0.1193</v>
      </c>
      <c r="AK10" s="1">
        <v>2.8E-3</v>
      </c>
      <c r="AL10" s="1">
        <v>5.3150000000000004</v>
      </c>
      <c r="AM10" s="1">
        <v>1.2E-2</v>
      </c>
      <c r="AN10" s="1">
        <v>2610</v>
      </c>
      <c r="AO10" s="1">
        <v>18</v>
      </c>
      <c r="AP10" s="1">
        <v>2540</v>
      </c>
      <c r="AQ10" s="1">
        <v>34</v>
      </c>
      <c r="AR10" s="1">
        <v>2278</v>
      </c>
      <c r="AS10" s="1">
        <v>51</v>
      </c>
      <c r="AT10" s="1">
        <v>2659.4</v>
      </c>
      <c r="AU10" s="1">
        <v>4</v>
      </c>
      <c r="AV10" s="1">
        <v>56.7</v>
      </c>
      <c r="AW10" s="1">
        <v>1</v>
      </c>
      <c r="AX10" s="1">
        <v>16.79</v>
      </c>
      <c r="AY10" s="1">
        <v>0.17</v>
      </c>
      <c r="AZ10" s="1">
        <v>162764.1</v>
      </c>
      <c r="BA10" s="1">
        <v>1863.0000000000002</v>
      </c>
      <c r="BB10" s="1">
        <v>192199.5</v>
      </c>
      <c r="BC10" s="1">
        <v>2235.6000000000004</v>
      </c>
      <c r="BD10" s="1">
        <v>1055700</v>
      </c>
      <c r="BE10" s="1">
        <v>11178.000000000002</v>
      </c>
      <c r="BF10" s="1">
        <v>-31.05</v>
      </c>
      <c r="BG10" s="1">
        <v>6.8310000000000004</v>
      </c>
      <c r="BH10" s="1">
        <f t="shared" si="6"/>
        <v>-34000</v>
      </c>
      <c r="BI10" s="1">
        <f t="shared" si="7"/>
        <v>-7488.6580907396219</v>
      </c>
      <c r="BJ10" s="27">
        <v>2608.4</v>
      </c>
      <c r="BK10" s="27">
        <v>24.8</v>
      </c>
      <c r="BL10" s="27">
        <v>2540.6999999999998</v>
      </c>
      <c r="BM10" s="27">
        <v>50.7</v>
      </c>
      <c r="BN10" s="27">
        <v>2661.3</v>
      </c>
      <c r="BO10" s="27">
        <v>36.6</v>
      </c>
      <c r="BP10" s="27">
        <v>2615.1999999999998</v>
      </c>
      <c r="BQ10" s="27">
        <v>24.5</v>
      </c>
      <c r="BR10" s="27">
        <v>2.6</v>
      </c>
    </row>
    <row r="11" spans="1:70" x14ac:dyDescent="0.2">
      <c r="A11" t="s">
        <v>203</v>
      </c>
      <c r="B11" t="s">
        <v>38</v>
      </c>
      <c r="C11" t="s">
        <v>204</v>
      </c>
      <c r="D11" t="s">
        <v>205</v>
      </c>
      <c r="E11">
        <v>82403</v>
      </c>
      <c r="F11">
        <v>40213</v>
      </c>
      <c r="G11" t="s">
        <v>205</v>
      </c>
      <c r="H11" s="1">
        <v>212.6</v>
      </c>
      <c r="I11" s="1">
        <v>185.3</v>
      </c>
      <c r="J11" s="10">
        <v>2.8959999999999999</v>
      </c>
      <c r="K11" s="10">
        <f t="shared" ca="1" si="0"/>
        <v>7.3346618190615984E-2</v>
      </c>
      <c r="L11" s="7">
        <v>0.23530000000000001</v>
      </c>
      <c r="M11" s="7">
        <f t="shared" ca="1" si="1"/>
        <v>6.0486722509985619E-3</v>
      </c>
      <c r="N11" s="7">
        <v>0.97816999999999998</v>
      </c>
      <c r="O11" s="8">
        <v>4.2498940000000003</v>
      </c>
      <c r="P11" s="8">
        <f t="shared" ca="1" si="2"/>
        <v>0.10924868497725408</v>
      </c>
      <c r="Q11" s="9">
        <v>8.9090000000000003E-2</v>
      </c>
      <c r="R11" s="9">
        <f t="shared" ca="1" si="3"/>
        <v>1.8068788669969001E-3</v>
      </c>
      <c r="S11" s="8">
        <f t="shared" si="4"/>
        <v>0.51022545648643136</v>
      </c>
      <c r="T11" s="11">
        <v>6.2300000000000001E-2</v>
      </c>
      <c r="U11" s="11">
        <f t="shared" ca="1" si="5"/>
        <v>1.729889013780942E-3</v>
      </c>
      <c r="V11" s="6" t="e">
        <f ca="1">IF(agePb6U8(1/O11)&lt;1400,age7corr(1/O11,Q11,$W$2),agePb76(Q11))</f>
        <v>#NAME?</v>
      </c>
      <c r="W11" s="6" t="e">
        <f ca="1">IF(agePb6U8(1/O11)&lt;1400,ageer7corr(V11,1/O11,P11/O11*(1/O11),Q11,R11,$W$2,0.05),ageerPb76(Q11,R11))</f>
        <v>#NAME?</v>
      </c>
      <c r="X11" s="4" t="e">
        <f ca="1">agePb6U8(L11)/agePb7u5(J11)</f>
        <v>#NAME?</v>
      </c>
      <c r="Y11" s="3"/>
      <c r="Z11" s="1">
        <v>2.8959999999999999</v>
      </c>
      <c r="AA11" s="1">
        <v>4.4999999999999998E-2</v>
      </c>
      <c r="AB11" s="1">
        <v>0.23530000000000001</v>
      </c>
      <c r="AC11" s="1">
        <v>3.8E-3</v>
      </c>
      <c r="AD11" s="1">
        <v>0.97816999999999998</v>
      </c>
      <c r="AE11" s="1">
        <v>4.2498940000000003</v>
      </c>
      <c r="AF11" s="1">
        <v>6.8634070000000005E-2</v>
      </c>
      <c r="AG11" s="1">
        <v>8.9090000000000003E-2</v>
      </c>
      <c r="AH11" s="1">
        <v>2.9999999999999997E-4</v>
      </c>
      <c r="AI11" s="1">
        <v>6.9080000000000003E-2</v>
      </c>
      <c r="AJ11" s="1">
        <v>6.2300000000000001E-2</v>
      </c>
      <c r="AK11" s="1">
        <v>1.1999999999999999E-3</v>
      </c>
      <c r="AL11" s="1">
        <v>4.6950000000000003</v>
      </c>
      <c r="AM11" s="1">
        <v>1.6E-2</v>
      </c>
      <c r="AN11" s="1">
        <v>1380</v>
      </c>
      <c r="AO11" s="1">
        <v>12</v>
      </c>
      <c r="AP11" s="1">
        <v>1362</v>
      </c>
      <c r="AQ11" s="1">
        <v>20</v>
      </c>
      <c r="AR11" s="1">
        <v>1221</v>
      </c>
      <c r="AS11" s="1">
        <v>22</v>
      </c>
      <c r="AT11" s="1">
        <v>1406</v>
      </c>
      <c r="AU11" s="1">
        <v>6.6</v>
      </c>
      <c r="AV11" s="1">
        <v>46.769999999999996</v>
      </c>
      <c r="AW11" s="1">
        <v>0.67</v>
      </c>
      <c r="AX11" s="1">
        <v>14.7</v>
      </c>
      <c r="AY11" s="1">
        <v>0.32</v>
      </c>
      <c r="AZ11" s="1">
        <v>75327.3</v>
      </c>
      <c r="BA11" s="1">
        <v>1242</v>
      </c>
      <c r="BB11" s="1">
        <v>38315.699999999997</v>
      </c>
      <c r="BC11" s="1">
        <v>745.2</v>
      </c>
      <c r="BD11" s="1">
        <v>432216</v>
      </c>
      <c r="BE11" s="1">
        <v>7452.0000000000009</v>
      </c>
      <c r="BF11" s="1">
        <v>-31.05</v>
      </c>
      <c r="BG11" s="1">
        <v>6.2099999999999991</v>
      </c>
      <c r="BH11" s="1">
        <f t="shared" si="6"/>
        <v>-13920</v>
      </c>
      <c r="BI11" s="1">
        <f t="shared" si="7"/>
        <v>-2794.3256789429533</v>
      </c>
      <c r="BJ11" s="27">
        <v>1378.3</v>
      </c>
      <c r="BK11" s="27">
        <v>18.2</v>
      </c>
      <c r="BL11" s="27">
        <v>1362.2</v>
      </c>
      <c r="BM11" s="27">
        <v>31.8</v>
      </c>
      <c r="BN11" s="27">
        <v>1403.3</v>
      </c>
      <c r="BO11" s="27">
        <v>43</v>
      </c>
      <c r="BP11" s="27">
        <v>1378.6</v>
      </c>
      <c r="BQ11" s="27">
        <v>18.2</v>
      </c>
      <c r="BR11" s="27">
        <v>1.1000000000000001</v>
      </c>
    </row>
    <row r="12" spans="1:70" x14ac:dyDescent="0.2">
      <c r="A12" t="s">
        <v>206</v>
      </c>
      <c r="B12" t="s">
        <v>38</v>
      </c>
      <c r="C12" t="s">
        <v>207</v>
      </c>
      <c r="D12" t="s">
        <v>208</v>
      </c>
      <c r="E12">
        <v>82441</v>
      </c>
      <c r="F12">
        <v>40386</v>
      </c>
      <c r="G12" t="s">
        <v>208</v>
      </c>
      <c r="H12" s="1">
        <v>91.1</v>
      </c>
      <c r="I12" s="1">
        <v>57.2</v>
      </c>
      <c r="J12" s="10">
        <v>3.1379999999999999</v>
      </c>
      <c r="K12" s="10">
        <f t="shared" ca="1" si="0"/>
        <v>8.4780997870985225E-2</v>
      </c>
      <c r="L12" s="7">
        <v>0.248</v>
      </c>
      <c r="M12" s="7">
        <f t="shared" ca="1" si="1"/>
        <v>6.3719384805567608E-3</v>
      </c>
      <c r="N12" s="7">
        <v>0.92945</v>
      </c>
      <c r="O12" s="8">
        <v>4.0322579999999997</v>
      </c>
      <c r="P12" s="8">
        <f t="shared" ca="1" si="2"/>
        <v>0.10360201618618239</v>
      </c>
      <c r="Q12" s="9">
        <v>9.1310000000000002E-2</v>
      </c>
      <c r="R12" s="9">
        <f t="shared" ca="1" si="3"/>
        <v>1.8857111231575213E-3</v>
      </c>
      <c r="S12" s="8">
        <f t="shared" si="4"/>
        <v>0.49048257792952482</v>
      </c>
      <c r="T12" s="11">
        <v>6.5000000000000002E-2</v>
      </c>
      <c r="U12" s="11">
        <f t="shared" ca="1" si="5"/>
        <v>1.7691806012954132E-3</v>
      </c>
      <c r="V12" s="6" t="e">
        <f ca="1">IF(agePb6U8(1/O12)&lt;1400,age7corr(1/O12,Q12,$W$2),agePb76(Q12))</f>
        <v>#NAME?</v>
      </c>
      <c r="W12" s="6" t="e">
        <f ca="1">IF(agePb6U8(1/O12)&lt;1400,ageer7corr(V12,1/O12,P12/O12*(1/O12),Q12,R12,$W$2,0.05),ageerPb76(Q12,R12))</f>
        <v>#NAME?</v>
      </c>
      <c r="X12" s="4" t="e">
        <f ca="1">agePb6U8(L12)/agePb7u5(J12)</f>
        <v>#NAME?</v>
      </c>
      <c r="Y12" s="3"/>
      <c r="Z12" s="1">
        <v>3.1379999999999999</v>
      </c>
      <c r="AA12" s="1">
        <v>5.7000000000000002E-2</v>
      </c>
      <c r="AB12" s="1">
        <v>0.248</v>
      </c>
      <c r="AC12" s="1">
        <v>4.0000000000000001E-3</v>
      </c>
      <c r="AD12" s="1">
        <v>0.92945</v>
      </c>
      <c r="AE12" s="1">
        <v>4.0322579999999997</v>
      </c>
      <c r="AF12" s="1">
        <v>6.5036419999999998E-2</v>
      </c>
      <c r="AG12" s="1">
        <v>9.1310000000000002E-2</v>
      </c>
      <c r="AH12" s="1">
        <v>4.6999999999999999E-4</v>
      </c>
      <c r="AI12" s="1">
        <v>-4.2321999999999999E-2</v>
      </c>
      <c r="AJ12" s="1">
        <v>6.5000000000000002E-2</v>
      </c>
      <c r="AK12" s="1">
        <v>1.1999999999999999E-3</v>
      </c>
      <c r="AL12" s="1">
        <v>6.5810000000000004</v>
      </c>
      <c r="AM12" s="1">
        <v>2.4E-2</v>
      </c>
      <c r="AN12" s="1">
        <v>1442</v>
      </c>
      <c r="AO12" s="1">
        <v>14</v>
      </c>
      <c r="AP12" s="1">
        <v>1428</v>
      </c>
      <c r="AQ12" s="1">
        <v>21</v>
      </c>
      <c r="AR12" s="1">
        <v>1273</v>
      </c>
      <c r="AS12" s="1">
        <v>23</v>
      </c>
      <c r="AT12" s="1">
        <v>1452.9</v>
      </c>
      <c r="AU12" s="1">
        <v>9.8000000000000007</v>
      </c>
      <c r="AV12" s="1">
        <v>20.029999999999998</v>
      </c>
      <c r="AW12" s="1">
        <v>0.23</v>
      </c>
      <c r="AX12" s="1">
        <v>4.5360000000000005</v>
      </c>
      <c r="AY12" s="1">
        <v>6.4000000000000001E-2</v>
      </c>
      <c r="AZ12" s="1">
        <v>23858.820000000003</v>
      </c>
      <c r="BA12" s="1">
        <v>353.96999999999997</v>
      </c>
      <c r="BB12" s="1">
        <v>17630.190000000002</v>
      </c>
      <c r="BC12" s="1">
        <v>298.08</v>
      </c>
      <c r="BD12" s="1">
        <v>191764.80000000002</v>
      </c>
      <c r="BE12" s="1">
        <v>2670.3</v>
      </c>
      <c r="BF12" s="1">
        <v>6.0858000000000008</v>
      </c>
      <c r="BG12" s="1">
        <v>5.0922000000000001</v>
      </c>
      <c r="BH12" s="1">
        <f t="shared" si="6"/>
        <v>31510.204081632652</v>
      </c>
      <c r="BI12" s="1">
        <f t="shared" si="7"/>
        <v>26369.331746617572</v>
      </c>
      <c r="BJ12" s="27">
        <v>1435.7</v>
      </c>
      <c r="BK12" s="27">
        <v>18.3</v>
      </c>
      <c r="BL12" s="27">
        <v>1428.9</v>
      </c>
      <c r="BM12" s="27">
        <v>31.8</v>
      </c>
      <c r="BN12" s="27">
        <v>1445.7</v>
      </c>
      <c r="BO12" s="27">
        <v>41.9</v>
      </c>
      <c r="BP12" s="27">
        <v>1435.8</v>
      </c>
      <c r="BQ12" s="27">
        <v>18.3</v>
      </c>
      <c r="BR12" s="27">
        <v>0.43</v>
      </c>
    </row>
    <row r="13" spans="1:70" x14ac:dyDescent="0.2">
      <c r="A13" t="s">
        <v>143</v>
      </c>
      <c r="B13" t="s">
        <v>38</v>
      </c>
      <c r="C13" t="s">
        <v>144</v>
      </c>
      <c r="D13" t="s">
        <v>145</v>
      </c>
      <c r="E13">
        <v>82760</v>
      </c>
      <c r="F13">
        <v>40200</v>
      </c>
      <c r="G13" t="s">
        <v>145</v>
      </c>
      <c r="H13" s="1">
        <v>105</v>
      </c>
      <c r="I13" s="1">
        <v>36.1</v>
      </c>
      <c r="J13" s="10">
        <v>2.1259999999999999</v>
      </c>
      <c r="K13" s="10">
        <f t="shared" ca="1" si="0"/>
        <v>5.9067337844192706E-2</v>
      </c>
      <c r="L13" s="7">
        <v>0.19339999999999999</v>
      </c>
      <c r="M13" s="7">
        <f t="shared" ca="1" si="1"/>
        <v>5.2164570351916056E-3</v>
      </c>
      <c r="N13" s="7">
        <v>0.98446</v>
      </c>
      <c r="O13" s="8">
        <v>5.1706310000000002</v>
      </c>
      <c r="P13" s="8">
        <f t="shared" ca="1" si="2"/>
        <v>0.13946418790608867</v>
      </c>
      <c r="Q13" s="9">
        <v>7.9509999999999997E-2</v>
      </c>
      <c r="R13" s="9">
        <f t="shared" ca="1" si="3"/>
        <v>1.6220776923439888E-3</v>
      </c>
      <c r="S13" s="8">
        <f t="shared" si="4"/>
        <v>0.47030284285171675</v>
      </c>
      <c r="T13" s="11">
        <v>5.1900000000000002E-2</v>
      </c>
      <c r="U13" s="11">
        <f t="shared" ca="1" si="5"/>
        <v>1.8241282849624366E-3</v>
      </c>
      <c r="V13" s="6" t="e">
        <f ca="1">IF(agePb6U8(1/O13)&lt;1400,age7corr(1/O13,Q13,$W$2),agePb76(Q13))</f>
        <v>#NAME?</v>
      </c>
      <c r="W13" s="6" t="e">
        <f ca="1">IF(agePb6U8(1/O13)&lt;1400,ageer7corr(V13,1/O13,P13/O13*(1/O13),Q13,R13,$W$2,0.05),ageerPb76(Q13,R13))</f>
        <v>#NAME?</v>
      </c>
      <c r="X13" s="4" t="e">
        <f ca="1">agePb6U8(L13)/agePb7u5(J13)</f>
        <v>#NAME?</v>
      </c>
      <c r="Y13" s="3"/>
      <c r="Z13" s="1">
        <v>2.1259999999999999</v>
      </c>
      <c r="AA13" s="1">
        <v>4.1000000000000002E-2</v>
      </c>
      <c r="AB13" s="1">
        <v>0.19339999999999999</v>
      </c>
      <c r="AC13" s="1">
        <v>3.5000000000000001E-3</v>
      </c>
      <c r="AD13" s="1">
        <v>0.98446</v>
      </c>
      <c r="AE13" s="1">
        <v>5.1706310000000002</v>
      </c>
      <c r="AF13" s="1">
        <v>9.3573980000000001E-2</v>
      </c>
      <c r="AG13" s="1">
        <v>7.9509999999999997E-2</v>
      </c>
      <c r="AH13" s="1">
        <v>3.2000000000000003E-4</v>
      </c>
      <c r="AI13" s="1">
        <v>-9.9561999999999998E-2</v>
      </c>
      <c r="AJ13" s="1">
        <v>5.1900000000000002E-2</v>
      </c>
      <c r="AK13" s="1">
        <v>1.5E-3</v>
      </c>
      <c r="AL13" s="1">
        <v>11.87</v>
      </c>
      <c r="AM13" s="1">
        <v>0.64</v>
      </c>
      <c r="AN13" s="1">
        <v>1157</v>
      </c>
      <c r="AO13" s="1">
        <v>13</v>
      </c>
      <c r="AP13" s="1">
        <v>1140</v>
      </c>
      <c r="AQ13" s="1">
        <v>19</v>
      </c>
      <c r="AR13" s="1">
        <v>1023</v>
      </c>
      <c r="AS13" s="1">
        <v>28</v>
      </c>
      <c r="AT13" s="1">
        <v>1184.7</v>
      </c>
      <c r="AU13" s="1">
        <v>8</v>
      </c>
      <c r="AV13" s="1">
        <v>23.099999999999998</v>
      </c>
      <c r="AW13" s="1">
        <v>2.4</v>
      </c>
      <c r="AX13" s="1">
        <v>2.8600000000000003</v>
      </c>
      <c r="AY13" s="1">
        <v>0.22</v>
      </c>
      <c r="AZ13" s="1">
        <v>12295.8</v>
      </c>
      <c r="BA13" s="1">
        <v>1055.7</v>
      </c>
      <c r="BB13" s="1">
        <v>14158.800000000001</v>
      </c>
      <c r="BC13" s="1">
        <v>1366.1999999999998</v>
      </c>
      <c r="BD13" s="1">
        <v>177606.00000000003</v>
      </c>
      <c r="BE13" s="1">
        <v>16767</v>
      </c>
      <c r="BF13" s="1">
        <v>5.1543000000000001</v>
      </c>
      <c r="BG13" s="1">
        <v>5.2164000000000001</v>
      </c>
      <c r="BH13" s="1">
        <f t="shared" si="6"/>
        <v>34457.831325301209</v>
      </c>
      <c r="BI13" s="1">
        <f t="shared" si="7"/>
        <v>35024.380570297712</v>
      </c>
      <c r="BJ13" s="27">
        <v>1159.4000000000001</v>
      </c>
      <c r="BK13" s="27">
        <v>18.600000000000001</v>
      </c>
      <c r="BL13" s="27">
        <v>1139.9000000000001</v>
      </c>
      <c r="BM13" s="27">
        <v>28.3</v>
      </c>
      <c r="BN13" s="27">
        <v>1196.0999999999999</v>
      </c>
      <c r="BO13" s="27">
        <v>49.3</v>
      </c>
      <c r="BP13" s="27">
        <v>1157.7</v>
      </c>
      <c r="BQ13" s="27">
        <v>18.600000000000001</v>
      </c>
      <c r="BR13" s="27">
        <v>1.5</v>
      </c>
    </row>
    <row r="14" spans="1:70" x14ac:dyDescent="0.2">
      <c r="A14" t="s">
        <v>209</v>
      </c>
      <c r="B14" t="s">
        <v>38</v>
      </c>
      <c r="C14" t="s">
        <v>210</v>
      </c>
      <c r="D14" t="s">
        <v>211</v>
      </c>
      <c r="E14">
        <v>82517</v>
      </c>
      <c r="F14">
        <v>40539</v>
      </c>
      <c r="G14" t="s">
        <v>211</v>
      </c>
      <c r="H14" s="1">
        <v>115.6</v>
      </c>
      <c r="I14" s="1">
        <v>89.9</v>
      </c>
      <c r="J14" s="10">
        <v>1.964</v>
      </c>
      <c r="K14" s="10">
        <f t="shared" ca="1" si="0"/>
        <v>6.2800624200719538E-2</v>
      </c>
      <c r="L14" s="7">
        <v>0.18509999999999999</v>
      </c>
      <c r="M14" s="7">
        <f t="shared" ca="1" si="1"/>
        <v>5.8270750810333651E-3</v>
      </c>
      <c r="N14" s="7">
        <v>0.97745000000000004</v>
      </c>
      <c r="O14" s="8">
        <v>5.4024850000000004</v>
      </c>
      <c r="P14" s="8">
        <f t="shared" ca="1" si="2"/>
        <v>0.17007393514213162</v>
      </c>
      <c r="Q14" s="9">
        <v>7.6740000000000003E-2</v>
      </c>
      <c r="R14" s="9">
        <f t="shared" ca="1" si="3"/>
        <v>1.5835753976366266E-3</v>
      </c>
      <c r="S14" s="8">
        <f t="shared" si="4"/>
        <v>0.39803561985532915</v>
      </c>
      <c r="T14" s="11">
        <v>5.1999999999999998E-2</v>
      </c>
      <c r="U14" s="11">
        <f t="shared" ca="1" si="5"/>
        <v>1.7440183485273313E-3</v>
      </c>
      <c r="V14" s="6" t="e">
        <f ca="1">IF(agePb6U8(1/O14)&lt;1400,age7corr(1/O14,Q14,$W$2),agePb76(Q14))</f>
        <v>#NAME?</v>
      </c>
      <c r="W14" s="6" t="e">
        <f ca="1">IF(agePb6U8(1/O14)&lt;1400,ageer7corr(V14,1/O14,P14/O14*(1/O14),Q14,R14,$W$2,0.05),ageerPb76(Q14,R14))</f>
        <v>#NAME?</v>
      </c>
      <c r="X14" s="4" t="e">
        <f ca="1">agePb6U8(L14)/agePb7u5(J14)</f>
        <v>#NAME?</v>
      </c>
      <c r="Y14" s="3"/>
      <c r="Z14" s="1">
        <v>1.964</v>
      </c>
      <c r="AA14" s="1">
        <v>4.9000000000000002E-2</v>
      </c>
      <c r="AB14" s="1">
        <v>0.18509999999999999</v>
      </c>
      <c r="AC14" s="1">
        <v>4.4999999999999997E-3</v>
      </c>
      <c r="AD14" s="1">
        <v>0.97745000000000004</v>
      </c>
      <c r="AE14" s="1">
        <v>5.4024850000000004</v>
      </c>
      <c r="AF14" s="1">
        <v>0.13134080000000001</v>
      </c>
      <c r="AG14" s="1">
        <v>7.6740000000000003E-2</v>
      </c>
      <c r="AH14" s="1">
        <v>3.8999999999999999E-4</v>
      </c>
      <c r="AI14" s="1">
        <v>-3.2992E-2</v>
      </c>
      <c r="AJ14" s="1">
        <v>5.1999999999999998E-2</v>
      </c>
      <c r="AK14" s="1">
        <v>1.4E-3</v>
      </c>
      <c r="AL14" s="1">
        <v>4.9450000000000003</v>
      </c>
      <c r="AM14" s="1">
        <v>2.4E-2</v>
      </c>
      <c r="AN14" s="1">
        <v>1103</v>
      </c>
      <c r="AO14" s="1">
        <v>17</v>
      </c>
      <c r="AP14" s="1">
        <v>1095</v>
      </c>
      <c r="AQ14" s="1">
        <v>24</v>
      </c>
      <c r="AR14" s="1">
        <v>1025</v>
      </c>
      <c r="AS14" s="1">
        <v>26</v>
      </c>
      <c r="AT14" s="1">
        <v>1114</v>
      </c>
      <c r="AU14" s="1">
        <v>10</v>
      </c>
      <c r="AV14" s="1">
        <v>25.43</v>
      </c>
      <c r="AW14" s="1">
        <v>0.78</v>
      </c>
      <c r="AX14" s="1">
        <v>7.13</v>
      </c>
      <c r="AY14" s="1">
        <v>0.15</v>
      </c>
      <c r="AZ14" s="1">
        <v>30180.6</v>
      </c>
      <c r="BA14" s="1">
        <v>745.2</v>
      </c>
      <c r="BB14" s="1">
        <v>14028.39</v>
      </c>
      <c r="BC14" s="1">
        <v>310.5</v>
      </c>
      <c r="BD14" s="1">
        <v>182698.2</v>
      </c>
      <c r="BE14" s="1">
        <v>3912.3</v>
      </c>
      <c r="BF14" s="1">
        <v>-0.74519999999999997</v>
      </c>
      <c r="BG14" s="1">
        <v>5.0301</v>
      </c>
      <c r="BH14" s="1">
        <f t="shared" si="6"/>
        <v>-245166.66666666669</v>
      </c>
      <c r="BI14" s="1">
        <f t="shared" si="7"/>
        <v>-1654883.3276472997</v>
      </c>
      <c r="BJ14" s="27">
        <v>1103.7</v>
      </c>
      <c r="BK14" s="27">
        <v>21.4</v>
      </c>
      <c r="BL14" s="27">
        <v>1095.2</v>
      </c>
      <c r="BM14" s="27">
        <v>31.7</v>
      </c>
      <c r="BN14" s="27">
        <v>1120.3</v>
      </c>
      <c r="BO14" s="27">
        <v>51.8</v>
      </c>
      <c r="BP14" s="27">
        <v>1103.5</v>
      </c>
      <c r="BQ14" s="27">
        <v>21.5</v>
      </c>
      <c r="BR14" s="27">
        <v>0.68</v>
      </c>
    </row>
    <row r="15" spans="1:70" x14ac:dyDescent="0.2">
      <c r="A15" t="s">
        <v>212</v>
      </c>
      <c r="B15" t="s">
        <v>38</v>
      </c>
      <c r="C15" t="s">
        <v>213</v>
      </c>
      <c r="D15" t="s">
        <v>214</v>
      </c>
      <c r="E15">
        <v>82500</v>
      </c>
      <c r="F15">
        <v>40668</v>
      </c>
      <c r="G15" t="s">
        <v>214</v>
      </c>
      <c r="H15" s="1">
        <v>28.26</v>
      </c>
      <c r="I15" s="1">
        <v>23.58</v>
      </c>
      <c r="J15" s="10">
        <v>1.8580000000000001</v>
      </c>
      <c r="K15" s="10">
        <f t="shared" ca="1" si="0"/>
        <v>5.7592235587794298E-2</v>
      </c>
      <c r="L15" s="7">
        <v>0.17430000000000001</v>
      </c>
      <c r="M15" s="7">
        <f t="shared" ca="1" si="1"/>
        <v>4.5991516609044329E-3</v>
      </c>
      <c r="N15" s="7">
        <v>0.81723999999999997</v>
      </c>
      <c r="O15" s="8">
        <v>5.7372350000000001</v>
      </c>
      <c r="P15" s="8">
        <f t="shared" ca="1" si="2"/>
        <v>0.1513850413150071</v>
      </c>
      <c r="Q15" s="9">
        <v>7.6799999999999993E-2</v>
      </c>
      <c r="R15" s="9">
        <f t="shared" ca="1" si="3"/>
        <v>1.8166441588819751E-3</v>
      </c>
      <c r="S15" s="8">
        <f t="shared" si="4"/>
        <v>0.26820149539870664</v>
      </c>
      <c r="T15" s="11">
        <v>5.11E-2</v>
      </c>
      <c r="U15" s="11">
        <f t="shared" ca="1" si="5"/>
        <v>1.6536275275889671E-3</v>
      </c>
      <c r="V15" s="6" t="e">
        <f ca="1">IF(agePb6U8(1/O15)&lt;1400,age7corr(1/O15,Q15,$W$2),agePb76(Q15))</f>
        <v>#NAME?</v>
      </c>
      <c r="W15" s="6" t="e">
        <f ca="1">IF(agePb6U8(1/O15)&lt;1400,ageer7corr(V15,1/O15,P15/O15*(1/O15),Q15,R15,$W$2,0.05),ageerPb76(Q15,R15))</f>
        <v>#NAME?</v>
      </c>
      <c r="X15" s="4" t="e">
        <f ca="1">agePb6U8(L15)/agePb7u5(J15)</f>
        <v>#NAME?</v>
      </c>
      <c r="Y15" s="3"/>
      <c r="Z15" s="1">
        <v>1.8580000000000001</v>
      </c>
      <c r="AA15" s="1">
        <v>4.3999999999999997E-2</v>
      </c>
      <c r="AB15" s="1">
        <v>0.17430000000000001</v>
      </c>
      <c r="AC15" s="1">
        <v>3.0000000000000001E-3</v>
      </c>
      <c r="AD15" s="1">
        <v>0.81723999999999997</v>
      </c>
      <c r="AE15" s="1">
        <v>5.7372350000000001</v>
      </c>
      <c r="AF15" s="1">
        <v>9.8747580000000001E-2</v>
      </c>
      <c r="AG15" s="1">
        <v>7.6799999999999993E-2</v>
      </c>
      <c r="AH15" s="1">
        <v>9.7000000000000005E-4</v>
      </c>
      <c r="AI15" s="1">
        <v>-3.3329999999999999E-2</v>
      </c>
      <c r="AJ15" s="1">
        <v>5.11E-2</v>
      </c>
      <c r="AK15" s="1">
        <v>1.2999999999999999E-3</v>
      </c>
      <c r="AL15" s="1">
        <v>4.4610000000000003</v>
      </c>
      <c r="AM15" s="1">
        <v>3.4000000000000002E-2</v>
      </c>
      <c r="AN15" s="1">
        <v>1069</v>
      </c>
      <c r="AO15" s="1">
        <v>17</v>
      </c>
      <c r="AP15" s="1">
        <v>1036</v>
      </c>
      <c r="AQ15" s="1">
        <v>16</v>
      </c>
      <c r="AR15" s="1">
        <v>1007</v>
      </c>
      <c r="AS15" s="1">
        <v>25</v>
      </c>
      <c r="AT15" s="1">
        <v>1115</v>
      </c>
      <c r="AU15" s="1">
        <v>25</v>
      </c>
      <c r="AV15" s="1">
        <v>6.21</v>
      </c>
      <c r="AW15" s="1">
        <v>0.11</v>
      </c>
      <c r="AX15" s="1">
        <v>1.8699999999999999</v>
      </c>
      <c r="AY15" s="1">
        <v>3.0000000000000002E-2</v>
      </c>
      <c r="AZ15" s="1">
        <v>7781.130000000001</v>
      </c>
      <c r="BA15" s="1">
        <v>124.2</v>
      </c>
      <c r="BB15" s="1">
        <v>3253.4189999999999</v>
      </c>
      <c r="BC15" s="1">
        <v>57.132000000000005</v>
      </c>
      <c r="BD15" s="1">
        <v>42457.77</v>
      </c>
      <c r="BE15" s="1">
        <v>453.33</v>
      </c>
      <c r="BF15" s="1">
        <v>10.556999999999999</v>
      </c>
      <c r="BG15" s="1">
        <v>8.6940000000000008</v>
      </c>
      <c r="BH15" s="1">
        <f t="shared" si="6"/>
        <v>4021.7647058823532</v>
      </c>
      <c r="BI15" s="1">
        <f t="shared" si="7"/>
        <v>3312.3198805887546</v>
      </c>
      <c r="BJ15" s="27">
        <v>1063</v>
      </c>
      <c r="BK15" s="27">
        <v>20.7</v>
      </c>
      <c r="BL15" s="27">
        <v>1035.3</v>
      </c>
      <c r="BM15" s="27">
        <v>25</v>
      </c>
      <c r="BN15" s="27">
        <v>1120.3</v>
      </c>
      <c r="BO15" s="27">
        <v>51.8</v>
      </c>
      <c r="BP15" s="27">
        <v>1055.2</v>
      </c>
      <c r="BQ15" s="27">
        <v>20.3</v>
      </c>
      <c r="BR15" s="27">
        <v>2.2999999999999998</v>
      </c>
    </row>
    <row r="16" spans="1:70" x14ac:dyDescent="0.2">
      <c r="A16" t="s">
        <v>215</v>
      </c>
      <c r="B16" t="s">
        <v>38</v>
      </c>
      <c r="C16" t="s">
        <v>216</v>
      </c>
      <c r="D16" t="s">
        <v>217</v>
      </c>
      <c r="E16">
        <v>82487</v>
      </c>
      <c r="F16">
        <v>40933</v>
      </c>
      <c r="G16" t="s">
        <v>217</v>
      </c>
      <c r="H16" s="1">
        <v>153.6</v>
      </c>
      <c r="I16" s="1">
        <v>63.22</v>
      </c>
      <c r="J16" s="10">
        <v>6.27</v>
      </c>
      <c r="K16" s="10">
        <f t="shared" ca="1" si="0"/>
        <v>0.16680875276795279</v>
      </c>
      <c r="L16" s="7">
        <v>0.35239999999999999</v>
      </c>
      <c r="M16" s="7">
        <f t="shared" ca="1" si="1"/>
        <v>9.7935848390668465E-3</v>
      </c>
      <c r="N16" s="7">
        <v>0.98348999999999998</v>
      </c>
      <c r="O16" s="8">
        <v>2.8376839999999999</v>
      </c>
      <c r="P16" s="8">
        <f t="shared" ca="1" si="2"/>
        <v>7.8862375047704464E-2</v>
      </c>
      <c r="Q16" s="9">
        <v>0.12906999999999999</v>
      </c>
      <c r="R16" s="9">
        <f t="shared" ca="1" si="3"/>
        <v>2.6024077236282556E-3</v>
      </c>
      <c r="S16" s="8">
        <f t="shared" si="4"/>
        <v>0.50255205638958844</v>
      </c>
      <c r="T16" s="11">
        <v>9.7500000000000003E-2</v>
      </c>
      <c r="U16" s="11">
        <f t="shared" ca="1" si="5"/>
        <v>2.9398129192178203E-3</v>
      </c>
      <c r="V16" s="6" t="e">
        <f ca="1">IF(agePb6U8(1/O16)&lt;1400,age7corr(1/O16,Q16,$W$2),agePb76(Q16))</f>
        <v>#NAME?</v>
      </c>
      <c r="W16" s="6" t="e">
        <f ca="1">IF(agePb6U8(1/O16)&lt;1400,ageer7corr(V16,1/O16,P16/O16*(1/O16),Q16,R16,$W$2,0.05),ageerPb76(Q16,R16))</f>
        <v>#NAME?</v>
      </c>
      <c r="X16" s="4" t="e">
        <f ca="1">agePb6U8(L16)/agePb7u5(J16)</f>
        <v>#NAME?</v>
      </c>
      <c r="Y16" s="3"/>
      <c r="Z16" s="1">
        <v>6.27</v>
      </c>
      <c r="AA16" s="1">
        <v>0.11</v>
      </c>
      <c r="AB16" s="1">
        <v>0.35239999999999999</v>
      </c>
      <c r="AC16" s="1">
        <v>6.7999999999999996E-3</v>
      </c>
      <c r="AD16" s="1">
        <v>0.98348999999999998</v>
      </c>
      <c r="AE16" s="1">
        <v>2.8376839999999999</v>
      </c>
      <c r="AF16" s="1">
        <v>5.4756680000000002E-2</v>
      </c>
      <c r="AG16" s="1">
        <v>0.12906999999999999</v>
      </c>
      <c r="AH16" s="1">
        <v>3.3E-4</v>
      </c>
      <c r="AI16" s="1">
        <v>0.12194000000000001</v>
      </c>
      <c r="AJ16" s="1">
        <v>9.7500000000000003E-2</v>
      </c>
      <c r="AK16" s="1">
        <v>2.2000000000000001E-3</v>
      </c>
      <c r="AL16" s="1">
        <v>9.6</v>
      </c>
      <c r="AM16" s="1">
        <v>0.16</v>
      </c>
      <c r="AN16" s="1">
        <v>2014</v>
      </c>
      <c r="AO16" s="1">
        <v>16</v>
      </c>
      <c r="AP16" s="1">
        <v>1946</v>
      </c>
      <c r="AQ16" s="1">
        <v>33</v>
      </c>
      <c r="AR16" s="1">
        <v>1880</v>
      </c>
      <c r="AS16" s="1">
        <v>41</v>
      </c>
      <c r="AT16" s="1">
        <v>2085.3000000000002</v>
      </c>
      <c r="AU16" s="1">
        <v>4.5</v>
      </c>
      <c r="AV16" s="1">
        <v>33.799999999999997</v>
      </c>
      <c r="AW16" s="1">
        <v>1.1000000000000001</v>
      </c>
      <c r="AX16" s="1">
        <v>5.0129999999999999</v>
      </c>
      <c r="AY16" s="1">
        <v>7.5999999999999998E-2</v>
      </c>
      <c r="AZ16" s="1">
        <v>39992.400000000001</v>
      </c>
      <c r="BA16" s="1">
        <v>683.09999999999991</v>
      </c>
      <c r="BB16" s="1">
        <v>60858</v>
      </c>
      <c r="BC16" s="1">
        <v>1552.5</v>
      </c>
      <c r="BD16" s="1">
        <v>468234</v>
      </c>
      <c r="BE16" s="1">
        <v>13662</v>
      </c>
      <c r="BF16" s="1">
        <v>17.7606</v>
      </c>
      <c r="BG16" s="1">
        <v>5.3406000000000002</v>
      </c>
      <c r="BH16" s="1">
        <f t="shared" si="6"/>
        <v>26363.636363636364</v>
      </c>
      <c r="BI16" s="1">
        <f t="shared" si="7"/>
        <v>7964.7599213263093</v>
      </c>
      <c r="BJ16" s="27">
        <v>2012.9</v>
      </c>
      <c r="BK16" s="27">
        <v>22.8</v>
      </c>
      <c r="BL16" s="27">
        <v>1944.7</v>
      </c>
      <c r="BM16" s="27">
        <v>47.3</v>
      </c>
      <c r="BN16" s="27">
        <v>2083.6</v>
      </c>
      <c r="BO16" s="27">
        <v>40.9</v>
      </c>
      <c r="BP16" s="27">
        <v>2020.9</v>
      </c>
      <c r="BQ16" s="27">
        <v>22.5</v>
      </c>
      <c r="BR16" s="27">
        <v>3.3</v>
      </c>
    </row>
    <row r="17" spans="1:70" x14ac:dyDescent="0.2">
      <c r="A17" t="s">
        <v>218</v>
      </c>
      <c r="B17" t="s">
        <v>38</v>
      </c>
      <c r="C17" t="s">
        <v>219</v>
      </c>
      <c r="D17" t="s">
        <v>220</v>
      </c>
      <c r="E17">
        <v>82503</v>
      </c>
      <c r="F17">
        <v>41118</v>
      </c>
      <c r="G17" t="s">
        <v>220</v>
      </c>
      <c r="H17" s="1">
        <v>231.5</v>
      </c>
      <c r="I17" s="1">
        <v>84.3</v>
      </c>
      <c r="J17" s="10">
        <v>1.722</v>
      </c>
      <c r="K17" s="10">
        <f t="shared" ca="1" si="0"/>
        <v>4.1413930023604377E-2</v>
      </c>
      <c r="L17" s="7">
        <v>0.16930000000000001</v>
      </c>
      <c r="M17" s="7">
        <f t="shared" ca="1" si="1"/>
        <v>3.984343860662631E-3</v>
      </c>
      <c r="N17" s="7">
        <v>0.97782999999999998</v>
      </c>
      <c r="O17" s="8">
        <v>5.9066749999999999</v>
      </c>
      <c r="P17" s="8">
        <f t="shared" ca="1" si="2"/>
        <v>0.13900900107248487</v>
      </c>
      <c r="Q17" s="9">
        <v>7.356E-2</v>
      </c>
      <c r="R17" s="9">
        <f t="shared" ca="1" si="3"/>
        <v>1.4995097332128257E-3</v>
      </c>
      <c r="S17" s="8">
        <f t="shared" si="4"/>
        <v>0.42698573329669987</v>
      </c>
      <c r="T17" s="11">
        <v>4.947E-2</v>
      </c>
      <c r="U17" s="11">
        <f t="shared" ca="1" si="5"/>
        <v>1.2119869471244316E-3</v>
      </c>
      <c r="V17" s="6" t="e">
        <f ca="1">IF(agePb6U8(1/O17)&lt;1400,age7corr(1/O17,Q17,$W$2),agePb76(Q17))</f>
        <v>#NAME?</v>
      </c>
      <c r="W17" s="6" t="e">
        <f ca="1">IF(agePb6U8(1/O17)&lt;1400,ageer7corr(V17,1/O17,P17/O17*(1/O17),Q17,R17,$W$2,0.05),ageerPb76(Q17,R17))</f>
        <v>#NAME?</v>
      </c>
      <c r="X17" s="4" t="e">
        <f ca="1">agePb6U8(L17)/agePb7u5(J17)</f>
        <v>#NAME?</v>
      </c>
      <c r="Y17" s="3"/>
      <c r="Z17" s="1">
        <v>1.722</v>
      </c>
      <c r="AA17" s="1">
        <v>2.3E-2</v>
      </c>
      <c r="AB17" s="1">
        <v>0.16930000000000001</v>
      </c>
      <c r="AC17" s="1">
        <v>2.0999999999999999E-3</v>
      </c>
      <c r="AD17" s="1">
        <v>0.97782999999999998</v>
      </c>
      <c r="AE17" s="1">
        <v>5.9066749999999999</v>
      </c>
      <c r="AF17" s="1">
        <v>7.3266490000000004E-2</v>
      </c>
      <c r="AG17" s="1">
        <v>7.356E-2</v>
      </c>
      <c r="AH17" s="1">
        <v>2.9E-4</v>
      </c>
      <c r="AI17" s="1">
        <v>-9.8502999999999993E-2</v>
      </c>
      <c r="AJ17" s="1">
        <v>4.947E-2</v>
      </c>
      <c r="AK17" s="1">
        <v>6.9999999999999999E-4</v>
      </c>
      <c r="AL17" s="1">
        <v>10.16</v>
      </c>
      <c r="AM17" s="1">
        <v>0.14000000000000001</v>
      </c>
      <c r="AN17" s="1">
        <v>1016.6</v>
      </c>
      <c r="AO17" s="1">
        <v>8.5</v>
      </c>
      <c r="AP17" s="1">
        <v>1008</v>
      </c>
      <c r="AQ17" s="1">
        <v>11</v>
      </c>
      <c r="AR17" s="1">
        <v>976</v>
      </c>
      <c r="AS17" s="1">
        <v>13</v>
      </c>
      <c r="AT17" s="1">
        <v>1029.3</v>
      </c>
      <c r="AU17" s="1">
        <v>8</v>
      </c>
      <c r="AV17" s="1">
        <v>50.9</v>
      </c>
      <c r="AW17" s="1">
        <v>1.8</v>
      </c>
      <c r="AX17" s="1">
        <v>6.6880000000000006</v>
      </c>
      <c r="AY17" s="1">
        <v>8.3000000000000004E-2</v>
      </c>
      <c r="AZ17" s="1">
        <v>26827.200000000001</v>
      </c>
      <c r="BA17" s="1">
        <v>416.07</v>
      </c>
      <c r="BB17" s="1">
        <v>24467.399999999998</v>
      </c>
      <c r="BC17" s="1">
        <v>621</v>
      </c>
      <c r="BD17" s="1">
        <v>332235</v>
      </c>
      <c r="BE17" s="1">
        <v>8694</v>
      </c>
      <c r="BF17" s="1">
        <v>3.6017999999999999</v>
      </c>
      <c r="BG17" s="1">
        <v>4.968</v>
      </c>
      <c r="BH17" s="1">
        <f t="shared" si="6"/>
        <v>92241.379310344826</v>
      </c>
      <c r="BI17" s="1">
        <f t="shared" si="7"/>
        <v>127252.38384017863</v>
      </c>
      <c r="BJ17" s="27">
        <v>1018.1</v>
      </c>
      <c r="BK17" s="27">
        <v>13.9</v>
      </c>
      <c r="BL17" s="27">
        <v>1007.7</v>
      </c>
      <c r="BM17" s="27">
        <v>22.1</v>
      </c>
      <c r="BN17" s="27">
        <v>1040.5999999999999</v>
      </c>
      <c r="BO17" s="27">
        <v>27.3</v>
      </c>
      <c r="BP17" s="27">
        <v>1021.7</v>
      </c>
      <c r="BQ17" s="27">
        <v>13.1</v>
      </c>
      <c r="BR17" s="27">
        <v>1.1000000000000001</v>
      </c>
    </row>
    <row r="18" spans="1:70" x14ac:dyDescent="0.2">
      <c r="A18" t="s">
        <v>221</v>
      </c>
      <c r="B18" t="s">
        <v>38</v>
      </c>
      <c r="C18" t="s">
        <v>222</v>
      </c>
      <c r="D18" t="s">
        <v>223</v>
      </c>
      <c r="E18">
        <v>82433</v>
      </c>
      <c r="F18">
        <v>41325</v>
      </c>
      <c r="G18" t="s">
        <v>223</v>
      </c>
      <c r="H18" s="1">
        <v>64.64</v>
      </c>
      <c r="I18" s="1">
        <v>57.7</v>
      </c>
      <c r="J18" s="10">
        <v>2.1970000000000001</v>
      </c>
      <c r="K18" s="10">
        <f t="shared" ca="1" si="0"/>
        <v>6.2182984810959338E-2</v>
      </c>
      <c r="L18" s="7">
        <v>0.19939999999999999</v>
      </c>
      <c r="M18" s="7">
        <f t="shared" ca="1" si="1"/>
        <v>5.5085518968237017E-3</v>
      </c>
      <c r="N18" s="7">
        <v>0.94121999999999995</v>
      </c>
      <c r="O18" s="8">
        <v>5.0150449999999998</v>
      </c>
      <c r="P18" s="8">
        <f t="shared" ca="1" si="2"/>
        <v>0.1385438146893119</v>
      </c>
      <c r="Q18" s="9">
        <v>7.9880000000000007E-2</v>
      </c>
      <c r="R18" s="9">
        <f t="shared" ca="1" si="3"/>
        <v>1.6710552833464247E-3</v>
      </c>
      <c r="S18" s="8">
        <f t="shared" si="4"/>
        <v>0.53642330050627107</v>
      </c>
      <c r="T18" s="11">
        <v>5.7000000000000002E-2</v>
      </c>
      <c r="U18" s="11">
        <f t="shared" ca="1" si="5"/>
        <v>1.5841717078650282E-3</v>
      </c>
      <c r="V18" s="6" t="e">
        <f ca="1">IF(agePb6U8(1/O18)&lt;1400,age7corr(1/O18,Q18,$W$2),agePb76(Q18))</f>
        <v>#NAME?</v>
      </c>
      <c r="W18" s="6" t="e">
        <f ca="1">IF(agePb6U8(1/O18)&lt;1400,ageer7corr(V18,1/O18,P18/O18*(1/O18),Q18,R18,$W$2,0.05),ageerPb76(Q18,R18))</f>
        <v>#NAME?</v>
      </c>
      <c r="X18" s="4" t="e">
        <f ca="1">agePb6U8(L18)/agePb7u5(J18)</f>
        <v>#NAME?</v>
      </c>
      <c r="Y18" s="3"/>
      <c r="Z18" s="1">
        <v>2.1970000000000001</v>
      </c>
      <c r="AA18" s="1">
        <v>4.3999999999999997E-2</v>
      </c>
      <c r="AB18" s="1">
        <v>0.19939999999999999</v>
      </c>
      <c r="AC18" s="1">
        <v>3.8E-3</v>
      </c>
      <c r="AD18" s="1">
        <v>0.94121999999999995</v>
      </c>
      <c r="AE18" s="1">
        <v>5.0150449999999998</v>
      </c>
      <c r="AF18" s="1">
        <v>9.5572580000000004E-2</v>
      </c>
      <c r="AG18" s="1">
        <v>7.9880000000000007E-2</v>
      </c>
      <c r="AH18" s="1">
        <v>4.8999999999999998E-4</v>
      </c>
      <c r="AI18" s="1">
        <v>4.5906999999999996E-3</v>
      </c>
      <c r="AJ18" s="1">
        <v>5.7000000000000002E-2</v>
      </c>
      <c r="AK18" s="1">
        <v>1.1000000000000001E-3</v>
      </c>
      <c r="AL18" s="1">
        <v>4.274</v>
      </c>
      <c r="AM18" s="1">
        <v>1.7999999999999999E-2</v>
      </c>
      <c r="AN18" s="1">
        <v>1180</v>
      </c>
      <c r="AO18" s="1">
        <v>14</v>
      </c>
      <c r="AP18" s="1">
        <v>1172</v>
      </c>
      <c r="AQ18" s="1">
        <v>21</v>
      </c>
      <c r="AR18" s="1">
        <v>1121</v>
      </c>
      <c r="AS18" s="1">
        <v>20</v>
      </c>
      <c r="AT18" s="1">
        <v>1194</v>
      </c>
      <c r="AU18" s="1">
        <v>12</v>
      </c>
      <c r="AV18" s="1">
        <v>14.21</v>
      </c>
      <c r="AW18" s="1">
        <v>0.16</v>
      </c>
      <c r="AX18" s="1">
        <v>4.5750000000000002</v>
      </c>
      <c r="AY18" s="1">
        <v>7.1000000000000008E-2</v>
      </c>
      <c r="AZ18" s="1">
        <v>21281.670000000002</v>
      </c>
      <c r="BA18" s="1">
        <v>242.19</v>
      </c>
      <c r="BB18" s="1">
        <v>8824.41</v>
      </c>
      <c r="BC18" s="1">
        <v>111.78</v>
      </c>
      <c r="BD18" s="1">
        <v>110972.7</v>
      </c>
      <c r="BE18" s="1">
        <v>1428.3</v>
      </c>
      <c r="BF18" s="1">
        <v>7.4519999999999991</v>
      </c>
      <c r="BG18" s="1">
        <v>6.8310000000000004</v>
      </c>
      <c r="BH18" s="1">
        <f t="shared" si="6"/>
        <v>14891.666666666668</v>
      </c>
      <c r="BI18" s="1">
        <f t="shared" si="7"/>
        <v>13652.039954772241</v>
      </c>
      <c r="BJ18" s="27">
        <v>1179.9000000000001</v>
      </c>
      <c r="BK18" s="27">
        <v>17.8</v>
      </c>
      <c r="BL18" s="27">
        <v>1171</v>
      </c>
      <c r="BM18" s="27">
        <v>29.9</v>
      </c>
      <c r="BN18" s="27">
        <v>1196.0999999999999</v>
      </c>
      <c r="BO18" s="27">
        <v>49.3</v>
      </c>
      <c r="BP18" s="27">
        <v>1179.5999999999999</v>
      </c>
      <c r="BQ18" s="27">
        <v>17.8</v>
      </c>
      <c r="BR18" s="27">
        <v>0.67</v>
      </c>
    </row>
    <row r="19" spans="1:70" x14ac:dyDescent="0.2">
      <c r="A19" t="s">
        <v>224</v>
      </c>
      <c r="B19" t="s">
        <v>38</v>
      </c>
      <c r="C19" t="s">
        <v>225</v>
      </c>
      <c r="D19" t="s">
        <v>226</v>
      </c>
      <c r="E19">
        <v>82476</v>
      </c>
      <c r="F19">
        <v>41753</v>
      </c>
      <c r="G19" t="s">
        <v>226</v>
      </c>
      <c r="H19" s="1">
        <v>30.4</v>
      </c>
      <c r="I19" s="1">
        <v>24.89</v>
      </c>
      <c r="J19" s="10">
        <v>2.63</v>
      </c>
      <c r="K19" s="10">
        <f t="shared" ca="1" si="0"/>
        <v>0.18752802457232889</v>
      </c>
      <c r="L19" s="7">
        <v>0.21099999999999999</v>
      </c>
      <c r="M19" s="7">
        <f t="shared" ca="1" si="1"/>
        <v>1.4622188618671284E-2</v>
      </c>
      <c r="N19" s="7">
        <v>0.99600999999999995</v>
      </c>
      <c r="O19" s="8">
        <v>4.7393359999999998</v>
      </c>
      <c r="P19" s="8">
        <f t="shared" ca="1" si="2"/>
        <v>0.32843347077794682</v>
      </c>
      <c r="Q19" s="9">
        <v>8.9660000000000004E-2</v>
      </c>
      <c r="R19" s="9">
        <f t="shared" ca="1" si="3"/>
        <v>1.9178024507232232E-3</v>
      </c>
      <c r="S19" s="8">
        <f t="shared" si="4"/>
        <v>0.58083627282455019</v>
      </c>
      <c r="T19" s="11">
        <v>5.4100000000000002E-2</v>
      </c>
      <c r="U19" s="11">
        <f t="shared" ca="1" si="5"/>
        <v>1.7693852039620994E-3</v>
      </c>
      <c r="V19" s="6" t="e">
        <f ca="1">IF(agePb6U8(1/O19)&lt;1400,age7corr(1/O19,Q19,$W$2),agePb76(Q19))</f>
        <v>#NAME?</v>
      </c>
      <c r="W19" s="6" t="e">
        <f ca="1">IF(agePb6U8(1/O19)&lt;1400,ageer7corr(V19,1/O19,P19/O19*(1/O19),Q19,R19,$W$2,0.05),ageerPb76(Q19,R19))</f>
        <v>#NAME?</v>
      </c>
      <c r="X19" s="4" t="e">
        <f ca="1">agePb6U8(L19)/agePb7u5(J19)</f>
        <v>#NAME?</v>
      </c>
      <c r="Y19" s="3"/>
      <c r="Z19" s="1">
        <v>2.63</v>
      </c>
      <c r="AA19" s="1">
        <v>0.18</v>
      </c>
      <c r="AB19" s="1">
        <v>0.21099999999999999</v>
      </c>
      <c r="AC19" s="1">
        <v>1.4E-2</v>
      </c>
      <c r="AD19" s="1">
        <v>0.99600999999999995</v>
      </c>
      <c r="AE19" s="1">
        <v>4.7393359999999998</v>
      </c>
      <c r="AF19" s="1">
        <v>0.31445830000000002</v>
      </c>
      <c r="AG19" s="1">
        <v>8.9660000000000004E-2</v>
      </c>
      <c r="AH19" s="1">
        <v>6.8000000000000005E-4</v>
      </c>
      <c r="AI19" s="1">
        <v>0.23415</v>
      </c>
      <c r="AJ19" s="1">
        <v>5.4100000000000002E-2</v>
      </c>
      <c r="AK19" s="1">
        <v>1.4E-3</v>
      </c>
      <c r="AL19" s="1">
        <v>6.2</v>
      </c>
      <c r="AM19" s="1">
        <v>1.7</v>
      </c>
      <c r="AN19" s="1">
        <v>1303</v>
      </c>
      <c r="AO19" s="1">
        <v>48</v>
      </c>
      <c r="AP19" s="1">
        <v>1234</v>
      </c>
      <c r="AQ19" s="1">
        <v>75</v>
      </c>
      <c r="AR19" s="1">
        <v>1065</v>
      </c>
      <c r="AS19" s="1">
        <v>27</v>
      </c>
      <c r="AT19" s="1">
        <v>1418</v>
      </c>
      <c r="AU19" s="1">
        <v>14</v>
      </c>
      <c r="AV19" s="1">
        <v>6.7</v>
      </c>
      <c r="AW19" s="1">
        <v>1.1000000000000001</v>
      </c>
      <c r="AX19" s="1">
        <v>1.974</v>
      </c>
      <c r="AY19" s="1">
        <v>3.4000000000000002E-2</v>
      </c>
      <c r="AZ19" s="1">
        <v>8513.91</v>
      </c>
      <c r="BA19" s="1">
        <v>347.76</v>
      </c>
      <c r="BB19" s="1">
        <v>5837.4</v>
      </c>
      <c r="BC19" s="1">
        <v>1304.0999999999999</v>
      </c>
      <c r="BD19" s="1">
        <v>65205</v>
      </c>
      <c r="BE19" s="1">
        <v>14904.000000000002</v>
      </c>
      <c r="BF19" s="1">
        <v>1.6766999999999999</v>
      </c>
      <c r="BG19" s="1">
        <v>5.6510999999999996</v>
      </c>
      <c r="BH19" s="1">
        <f t="shared" si="6"/>
        <v>38888.888888888891</v>
      </c>
      <c r="BI19" s="1">
        <f t="shared" si="7"/>
        <v>131371.02594570231</v>
      </c>
      <c r="BJ19" s="27">
        <v>1305.4000000000001</v>
      </c>
      <c r="BK19" s="27">
        <v>43.7</v>
      </c>
      <c r="BL19" s="27">
        <v>1234</v>
      </c>
      <c r="BM19" s="27">
        <v>78.2</v>
      </c>
      <c r="BN19" s="27">
        <v>1424.7</v>
      </c>
      <c r="BO19" s="27">
        <v>42.4</v>
      </c>
      <c r="BP19" s="27">
        <v>1367.8</v>
      </c>
      <c r="BQ19" s="27">
        <v>24.6</v>
      </c>
      <c r="BR19" s="27">
        <v>8.3000000000000007</v>
      </c>
    </row>
    <row r="20" spans="1:70" x14ac:dyDescent="0.2">
      <c r="A20" t="s">
        <v>233</v>
      </c>
      <c r="B20" t="s">
        <v>38</v>
      </c>
      <c r="C20" t="s">
        <v>234</v>
      </c>
      <c r="D20" t="s">
        <v>235</v>
      </c>
      <c r="E20">
        <v>82507</v>
      </c>
      <c r="F20">
        <v>42013</v>
      </c>
      <c r="G20" t="s">
        <v>235</v>
      </c>
      <c r="H20" s="1">
        <v>68.8</v>
      </c>
      <c r="I20" s="1">
        <v>83.5</v>
      </c>
      <c r="J20" s="10">
        <v>5.27</v>
      </c>
      <c r="K20" s="10">
        <f t="shared" ca="1" si="0"/>
        <v>0.16735937380379984</v>
      </c>
      <c r="L20" s="7">
        <v>0.33310000000000001</v>
      </c>
      <c r="M20" s="7">
        <f t="shared" ca="1" si="1"/>
        <v>1.0565142876459363E-2</v>
      </c>
      <c r="N20" s="7">
        <v>0.97794000000000003</v>
      </c>
      <c r="O20" s="8">
        <v>3.0021010000000001</v>
      </c>
      <c r="P20" s="8">
        <f t="shared" ca="1" si="2"/>
        <v>9.5219541751918255E-2</v>
      </c>
      <c r="Q20" s="9">
        <v>0.11447</v>
      </c>
      <c r="R20" s="9">
        <f t="shared" ca="1" si="3"/>
        <v>2.3477121544175725E-3</v>
      </c>
      <c r="S20" s="8">
        <f t="shared" si="4"/>
        <v>0.41012537343743771</v>
      </c>
      <c r="T20" s="11">
        <v>9.2399999999999996E-2</v>
      </c>
      <c r="U20" s="11">
        <f t="shared" ca="1" si="5"/>
        <v>2.7230688570067411E-3</v>
      </c>
      <c r="V20" s="6" t="e">
        <f ca="1">IF(agePb6U8(1/O20)&lt;1400,age7corr(1/O20,Q20,$W$2),agePb76(Q20))</f>
        <v>#NAME?</v>
      </c>
      <c r="W20" s="6" t="e">
        <f ca="1">IF(agePb6U8(1/O20)&lt;1400,ageer7corr(V20,1/O20,P20/O20*(1/O20),Q20,R20,$W$2,0.05),ageerPb76(Q20,R20))</f>
        <v>#NAME?</v>
      </c>
      <c r="X20" s="4" t="e">
        <f ca="1">agePb6U8(L20)/agePb7u5(J20)</f>
        <v>#NAME?</v>
      </c>
      <c r="Y20" s="3"/>
      <c r="Z20" s="1">
        <v>5.27</v>
      </c>
      <c r="AA20" s="1">
        <v>0.13</v>
      </c>
      <c r="AB20" s="1">
        <v>0.33310000000000001</v>
      </c>
      <c r="AC20" s="1">
        <v>8.2000000000000007E-3</v>
      </c>
      <c r="AD20" s="1">
        <v>0.97794000000000003</v>
      </c>
      <c r="AE20" s="1">
        <v>3.0021010000000001</v>
      </c>
      <c r="AF20" s="1">
        <v>7.3903430000000006E-2</v>
      </c>
      <c r="AG20" s="1">
        <v>0.11447</v>
      </c>
      <c r="AH20" s="1">
        <v>5.1999999999999995E-4</v>
      </c>
      <c r="AI20" s="1">
        <v>-8.9291999999999996E-2</v>
      </c>
      <c r="AJ20" s="1">
        <v>9.2399999999999996E-2</v>
      </c>
      <c r="AK20" s="1">
        <v>2E-3</v>
      </c>
      <c r="AL20" s="1">
        <v>3.1846000000000001</v>
      </c>
      <c r="AM20" s="1">
        <v>8.8000000000000005E-3</v>
      </c>
      <c r="AN20" s="1">
        <v>1863</v>
      </c>
      <c r="AO20" s="1">
        <v>21</v>
      </c>
      <c r="AP20" s="1">
        <v>1853</v>
      </c>
      <c r="AQ20" s="1">
        <v>40</v>
      </c>
      <c r="AR20" s="1">
        <v>1787</v>
      </c>
      <c r="AS20" s="1">
        <v>38</v>
      </c>
      <c r="AT20" s="1">
        <v>1871.4</v>
      </c>
      <c r="AU20" s="1">
        <v>8.1999999999999993</v>
      </c>
      <c r="AV20" s="1">
        <v>15.11</v>
      </c>
      <c r="AW20" s="1">
        <v>0.38</v>
      </c>
      <c r="AX20" s="1">
        <v>6.62</v>
      </c>
      <c r="AY20" s="1">
        <v>0.1</v>
      </c>
      <c r="AZ20" s="1">
        <v>49804.2</v>
      </c>
      <c r="BA20" s="1">
        <v>869.4</v>
      </c>
      <c r="BB20" s="1">
        <v>22064.13</v>
      </c>
      <c r="BC20" s="1">
        <v>409.86</v>
      </c>
      <c r="BD20" s="1">
        <v>194559.3</v>
      </c>
      <c r="BE20" s="1">
        <v>3539.7000000000003</v>
      </c>
      <c r="BF20" s="1">
        <v>-6.7688999999999995</v>
      </c>
      <c r="BG20" s="1">
        <v>5.8373999999999997</v>
      </c>
      <c r="BH20" s="1">
        <f t="shared" si="6"/>
        <v>-28743.119266055048</v>
      </c>
      <c r="BI20" s="1">
        <f t="shared" si="7"/>
        <v>-24793.159615648194</v>
      </c>
      <c r="BJ20" s="27">
        <v>1858.7</v>
      </c>
      <c r="BK20" s="27">
        <v>26.1</v>
      </c>
      <c r="BL20" s="27">
        <v>1854.5</v>
      </c>
      <c r="BM20" s="27">
        <v>53.7</v>
      </c>
      <c r="BN20" s="27">
        <v>1863.3</v>
      </c>
      <c r="BO20" s="27">
        <v>31.7</v>
      </c>
      <c r="BP20" s="27">
        <v>1860.5</v>
      </c>
      <c r="BQ20" s="27">
        <v>21.4</v>
      </c>
      <c r="BR20" s="27">
        <v>0.26</v>
      </c>
    </row>
    <row r="21" spans="1:70" x14ac:dyDescent="0.2">
      <c r="A21" t="s">
        <v>236</v>
      </c>
      <c r="B21" t="s">
        <v>38</v>
      </c>
      <c r="C21" t="s">
        <v>237</v>
      </c>
      <c r="D21" t="s">
        <v>238</v>
      </c>
      <c r="E21">
        <v>82568</v>
      </c>
      <c r="F21">
        <v>42174</v>
      </c>
      <c r="G21" t="s">
        <v>238</v>
      </c>
      <c r="H21" s="1">
        <v>76.900000000000006</v>
      </c>
      <c r="I21" s="1">
        <v>100.4</v>
      </c>
      <c r="J21" s="10">
        <v>2.3860000000000001</v>
      </c>
      <c r="K21" s="10">
        <f t="shared" ca="1" si="0"/>
        <v>6.1629525391649745E-2</v>
      </c>
      <c r="L21" s="7">
        <v>0.2104</v>
      </c>
      <c r="M21" s="7">
        <f t="shared" ca="1" si="1"/>
        <v>5.6033261550618302E-3</v>
      </c>
      <c r="N21" s="7">
        <v>0.91798999999999997</v>
      </c>
      <c r="O21" s="8">
        <v>4.7528519999999999</v>
      </c>
      <c r="P21" s="8">
        <f t="shared" ca="1" si="2"/>
        <v>0.12657689891552881</v>
      </c>
      <c r="Q21" s="9">
        <v>8.1930000000000003E-2</v>
      </c>
      <c r="R21" s="9">
        <f t="shared" ca="1" si="3"/>
        <v>1.7415826021179703E-3</v>
      </c>
      <c r="S21" s="8">
        <f t="shared" si="4"/>
        <v>0.41744983096154742</v>
      </c>
      <c r="T21" s="11">
        <v>6.3E-2</v>
      </c>
      <c r="U21" s="11">
        <f t="shared" ca="1" si="5"/>
        <v>1.8104143172213371E-3</v>
      </c>
      <c r="V21" s="6" t="e">
        <f ca="1">IF(agePb6U8(1/O21)&lt;1400,age7corr(1/O21,Q21,$W$2),agePb76(Q21))</f>
        <v>#NAME?</v>
      </c>
      <c r="W21" s="6" t="e">
        <f ca="1">IF(agePb6U8(1/O21)&lt;1400,ageer7corr(V21,1/O21,P21/O21*(1/O21),Q21,R21,$W$2,0.05),ageerPb76(Q21,R21))</f>
        <v>#NAME?</v>
      </c>
      <c r="X21" s="4" t="e">
        <f ca="1">agePb6U8(L21)/agePb7u5(J21)</f>
        <v>#NAME?</v>
      </c>
      <c r="Y21" s="3"/>
      <c r="Z21" s="1">
        <v>2.3860000000000001</v>
      </c>
      <c r="AA21" s="1">
        <v>3.9E-2</v>
      </c>
      <c r="AB21" s="1">
        <v>0.2104</v>
      </c>
      <c r="AC21" s="1">
        <v>3.7000000000000002E-3</v>
      </c>
      <c r="AD21" s="1">
        <v>0.91798999999999997</v>
      </c>
      <c r="AE21" s="1">
        <v>4.7528519999999999</v>
      </c>
      <c r="AF21" s="1">
        <v>8.3581520000000006E-2</v>
      </c>
      <c r="AG21" s="1">
        <v>8.1930000000000003E-2</v>
      </c>
      <c r="AH21" s="1">
        <v>5.9000000000000003E-4</v>
      </c>
      <c r="AI21" s="1">
        <v>0.38007000000000002</v>
      </c>
      <c r="AJ21" s="1">
        <v>6.3E-2</v>
      </c>
      <c r="AK21" s="1">
        <v>1.2999999999999999E-3</v>
      </c>
      <c r="AL21" s="1">
        <v>2.7589999999999999</v>
      </c>
      <c r="AM21" s="1">
        <v>1.7999999999999999E-2</v>
      </c>
      <c r="AN21" s="1">
        <v>1241</v>
      </c>
      <c r="AO21" s="1">
        <v>11</v>
      </c>
      <c r="AP21" s="1">
        <v>1231</v>
      </c>
      <c r="AQ21" s="1">
        <v>20</v>
      </c>
      <c r="AR21" s="1">
        <v>1234</v>
      </c>
      <c r="AS21" s="1">
        <v>25</v>
      </c>
      <c r="AT21" s="1">
        <v>1243</v>
      </c>
      <c r="AU21" s="1">
        <v>14</v>
      </c>
      <c r="AV21" s="1">
        <v>16.889999999999997</v>
      </c>
      <c r="AW21" s="1">
        <v>0.23</v>
      </c>
      <c r="AX21" s="1">
        <v>7.96</v>
      </c>
      <c r="AY21" s="1">
        <v>0.19</v>
      </c>
      <c r="AZ21" s="1">
        <v>41290.289999999994</v>
      </c>
      <c r="BA21" s="1">
        <v>521.64</v>
      </c>
      <c r="BB21" s="1">
        <v>11457.45</v>
      </c>
      <c r="BC21" s="1">
        <v>180.09</v>
      </c>
      <c r="BD21" s="1">
        <v>140097.60000000001</v>
      </c>
      <c r="BE21" s="1">
        <v>1738.8</v>
      </c>
      <c r="BF21" s="1">
        <v>4.0985999999999994</v>
      </c>
      <c r="BG21" s="1">
        <v>3.9744000000000006</v>
      </c>
      <c r="BH21" s="1">
        <f t="shared" si="6"/>
        <v>34181.818181818191</v>
      </c>
      <c r="BI21" s="1">
        <f t="shared" si="7"/>
        <v>33148.720380728693</v>
      </c>
      <c r="BJ21" s="27">
        <v>1236.4000000000001</v>
      </c>
      <c r="BK21" s="27">
        <v>20</v>
      </c>
      <c r="BL21" s="27">
        <v>1231.5999999999999</v>
      </c>
      <c r="BM21" s="27">
        <v>30.7</v>
      </c>
      <c r="BN21" s="27">
        <v>1244.5999999999999</v>
      </c>
      <c r="BO21" s="27">
        <v>47.8</v>
      </c>
      <c r="BP21" s="27">
        <v>1236.2</v>
      </c>
      <c r="BQ21" s="27">
        <v>20</v>
      </c>
      <c r="BR21" s="27">
        <v>0.34</v>
      </c>
    </row>
    <row r="22" spans="1:70" x14ac:dyDescent="0.2">
      <c r="A22" t="s">
        <v>239</v>
      </c>
      <c r="B22" t="s">
        <v>38</v>
      </c>
      <c r="C22" t="s">
        <v>240</v>
      </c>
      <c r="D22" t="s">
        <v>241</v>
      </c>
      <c r="E22">
        <v>82630</v>
      </c>
      <c r="F22">
        <v>42315</v>
      </c>
      <c r="G22" t="s">
        <v>241</v>
      </c>
      <c r="H22" s="1">
        <v>116</v>
      </c>
      <c r="I22" s="1">
        <v>37.700000000000003</v>
      </c>
      <c r="J22" s="10">
        <v>2.67</v>
      </c>
      <c r="K22" s="10">
        <f t="shared" ca="1" si="0"/>
        <v>0.11336472114374913</v>
      </c>
      <c r="L22" s="7">
        <v>0.2271</v>
      </c>
      <c r="M22" s="7">
        <f t="shared" ca="1" si="1"/>
        <v>9.6374147985857708E-3</v>
      </c>
      <c r="N22" s="7">
        <v>0.98946999999999996</v>
      </c>
      <c r="O22" s="8">
        <v>4.4033470000000001</v>
      </c>
      <c r="P22" s="8">
        <f t="shared" ca="1" si="2"/>
        <v>0.18686426589672944</v>
      </c>
      <c r="Q22" s="9">
        <v>8.5199999999999998E-2</v>
      </c>
      <c r="R22" s="9">
        <f t="shared" ca="1" si="3"/>
        <v>1.7936599454746154E-3</v>
      </c>
      <c r="S22" s="8">
        <f t="shared" si="4"/>
        <v>0.56328589949347441</v>
      </c>
      <c r="T22" s="11">
        <v>7.1300000000000002E-2</v>
      </c>
      <c r="U22" s="11">
        <f t="shared" ca="1" si="5"/>
        <v>3.9652838486040317E-3</v>
      </c>
      <c r="V22" s="6" t="e">
        <f ca="1">IF(agePb6U8(1/O22)&lt;1400,age7corr(1/O22,Q22,$W$2),agePb76(Q22))</f>
        <v>#NAME?</v>
      </c>
      <c r="W22" s="6" t="e">
        <f ca="1">IF(agePb6U8(1/O22)&lt;1400,ageer7corr(V22,1/O22,P22/O22*(1/O22),Q22,R22,$W$2,0.05),ageerPb76(Q22,R22))</f>
        <v>#NAME?</v>
      </c>
      <c r="X22" s="4" t="e">
        <f ca="1">agePb6U8(L22)/agePb7u5(J22)</f>
        <v>#NAME?</v>
      </c>
      <c r="Y22" s="3"/>
      <c r="Z22" s="1">
        <v>2.67</v>
      </c>
      <c r="AA22" s="1">
        <v>0.1</v>
      </c>
      <c r="AB22" s="1">
        <v>0.2271</v>
      </c>
      <c r="AC22" s="1">
        <v>8.5000000000000006E-3</v>
      </c>
      <c r="AD22" s="1">
        <v>0.98946999999999996</v>
      </c>
      <c r="AE22" s="1">
        <v>4.4033470000000001</v>
      </c>
      <c r="AF22" s="1">
        <v>0.1648104</v>
      </c>
      <c r="AG22" s="1">
        <v>8.5199999999999998E-2</v>
      </c>
      <c r="AH22" s="1">
        <v>5.5999999999999995E-4</v>
      </c>
      <c r="AI22" s="1">
        <v>9.2229000000000005E-2</v>
      </c>
      <c r="AJ22" s="1">
        <v>7.1300000000000002E-2</v>
      </c>
      <c r="AK22" s="1">
        <v>3.7000000000000002E-3</v>
      </c>
      <c r="AL22" s="1">
        <v>10.9</v>
      </c>
      <c r="AM22" s="1">
        <v>0.63</v>
      </c>
      <c r="AN22" s="1">
        <v>1327</v>
      </c>
      <c r="AO22" s="1">
        <v>31</v>
      </c>
      <c r="AP22" s="1">
        <v>1332</v>
      </c>
      <c r="AQ22" s="1">
        <v>50</v>
      </c>
      <c r="AR22" s="1">
        <v>1392</v>
      </c>
      <c r="AS22" s="1">
        <v>70</v>
      </c>
      <c r="AT22" s="1">
        <v>1320</v>
      </c>
      <c r="AU22" s="1">
        <v>13</v>
      </c>
      <c r="AV22" s="1">
        <v>25.5</v>
      </c>
      <c r="AW22" s="1">
        <v>2.4</v>
      </c>
      <c r="AX22" s="1">
        <v>2.99</v>
      </c>
      <c r="AY22" s="1">
        <v>0.51</v>
      </c>
      <c r="AZ22" s="1">
        <v>19623.599999999999</v>
      </c>
      <c r="BA22" s="1">
        <v>3912.3</v>
      </c>
      <c r="BB22" s="1">
        <v>21176.1</v>
      </c>
      <c r="BC22" s="1">
        <v>2856.6</v>
      </c>
      <c r="BD22" s="1">
        <v>247779</v>
      </c>
      <c r="BE22" s="1">
        <v>32291.999999999993</v>
      </c>
      <c r="BF22" s="1">
        <v>13.662000000000001</v>
      </c>
      <c r="BG22" s="1">
        <v>6.2099999999999991</v>
      </c>
      <c r="BH22" s="1">
        <f t="shared" si="6"/>
        <v>18136.363636363636</v>
      </c>
      <c r="BI22" s="1">
        <f t="shared" si="7"/>
        <v>8575.9572382176812</v>
      </c>
      <c r="BJ22" s="27">
        <v>1318.1</v>
      </c>
      <c r="BK22" s="27">
        <v>26.4</v>
      </c>
      <c r="BL22" s="27">
        <v>1320.2</v>
      </c>
      <c r="BM22" s="27">
        <v>51.5</v>
      </c>
      <c r="BN22" s="27">
        <v>1314.7</v>
      </c>
      <c r="BO22" s="27">
        <v>45.6</v>
      </c>
      <c r="BP22" s="27">
        <v>1317.2</v>
      </c>
      <c r="BQ22" s="27">
        <v>22.7</v>
      </c>
      <c r="BR22" s="27">
        <v>-0.18</v>
      </c>
    </row>
    <row r="23" spans="1:70" x14ac:dyDescent="0.2">
      <c r="A23" t="s">
        <v>242</v>
      </c>
      <c r="B23" t="s">
        <v>38</v>
      </c>
      <c r="C23" t="s">
        <v>243</v>
      </c>
      <c r="D23" t="s">
        <v>244</v>
      </c>
      <c r="E23">
        <v>82546</v>
      </c>
      <c r="F23">
        <v>42395</v>
      </c>
      <c r="G23" t="s">
        <v>244</v>
      </c>
      <c r="H23" s="1">
        <v>22.7</v>
      </c>
      <c r="I23" s="1">
        <v>14.05</v>
      </c>
      <c r="J23" s="10">
        <v>2.2850000000000001</v>
      </c>
      <c r="K23" s="10">
        <f t="shared" ca="1" si="0"/>
        <v>6.4136495071059202E-2</v>
      </c>
      <c r="L23" s="7">
        <v>0.20669999999999999</v>
      </c>
      <c r="M23" s="7">
        <f t="shared" ca="1" si="1"/>
        <v>5.8223668726730031E-3</v>
      </c>
      <c r="N23" s="7">
        <v>0.86909000000000003</v>
      </c>
      <c r="O23" s="8">
        <v>4.8379289999999999</v>
      </c>
      <c r="P23" s="8">
        <f t="shared" ca="1" si="2"/>
        <v>0.13627575641858092</v>
      </c>
      <c r="Q23" s="9">
        <v>7.9869999999999997E-2</v>
      </c>
      <c r="R23" s="9">
        <f t="shared" ca="1" si="3"/>
        <v>1.782073724625331E-3</v>
      </c>
      <c r="S23" s="8">
        <f t="shared" si="4"/>
        <v>0.45185914469583927</v>
      </c>
      <c r="T23" s="11">
        <v>6.2399999999999997E-2</v>
      </c>
      <c r="U23" s="11">
        <f t="shared" ca="1" si="5"/>
        <v>2.2732144641454313E-3</v>
      </c>
      <c r="V23" s="6" t="e">
        <f ca="1">IF(agePb6U8(1/O23)&lt;1400,age7corr(1/O23,Q23,$W$2),agePb76(Q23))</f>
        <v>#NAME?</v>
      </c>
      <c r="W23" s="6" t="e">
        <f ca="1">IF(agePb6U8(1/O23)&lt;1400,ageer7corr(V23,1/O23,P23/O23*(1/O23),Q23,R23,$W$2,0.05),ageerPb76(Q23,R23))</f>
        <v>#NAME?</v>
      </c>
      <c r="X23" s="4" t="e">
        <f ca="1">agePb6U8(L23)/agePb7u5(J23)</f>
        <v>#NAME?</v>
      </c>
      <c r="Y23" s="3"/>
      <c r="Z23" s="1">
        <v>2.2850000000000001</v>
      </c>
      <c r="AA23" s="1">
        <v>4.4999999999999998E-2</v>
      </c>
      <c r="AB23" s="1">
        <v>0.20669999999999999</v>
      </c>
      <c r="AC23" s="1">
        <v>4.1000000000000003E-3</v>
      </c>
      <c r="AD23" s="1">
        <v>0.86909000000000003</v>
      </c>
      <c r="AE23" s="1">
        <v>4.8379289999999999</v>
      </c>
      <c r="AF23" s="1">
        <v>9.5962800000000001E-2</v>
      </c>
      <c r="AG23" s="1">
        <v>7.9869999999999997E-2</v>
      </c>
      <c r="AH23" s="1">
        <v>7.9000000000000001E-4</v>
      </c>
      <c r="AI23" s="1">
        <v>0.31397000000000003</v>
      </c>
      <c r="AJ23" s="1">
        <v>6.2399999999999997E-2</v>
      </c>
      <c r="AK23" s="1">
        <v>1.9E-3</v>
      </c>
      <c r="AL23" s="1">
        <v>5.7329999999999997</v>
      </c>
      <c r="AM23" s="1">
        <v>6.3E-2</v>
      </c>
      <c r="AN23" s="1">
        <v>1207</v>
      </c>
      <c r="AO23" s="1">
        <v>14</v>
      </c>
      <c r="AP23" s="1">
        <v>1211</v>
      </c>
      <c r="AQ23" s="1">
        <v>22</v>
      </c>
      <c r="AR23" s="1">
        <v>1224</v>
      </c>
      <c r="AS23" s="1">
        <v>35</v>
      </c>
      <c r="AT23" s="1">
        <v>1193</v>
      </c>
      <c r="AU23" s="1">
        <v>20</v>
      </c>
      <c r="AV23" s="1">
        <v>4.9870000000000001</v>
      </c>
      <c r="AW23" s="1">
        <v>7.6999999999999999E-2</v>
      </c>
      <c r="AX23" s="1">
        <v>1.1139999999999999</v>
      </c>
      <c r="AY23" s="1">
        <v>2.8000000000000001E-2</v>
      </c>
      <c r="AZ23" s="1">
        <v>5706.99</v>
      </c>
      <c r="BA23" s="1">
        <v>74.52</v>
      </c>
      <c r="BB23" s="1">
        <v>3215.538</v>
      </c>
      <c r="BC23" s="1">
        <v>43.47</v>
      </c>
      <c r="BD23" s="1">
        <v>40160.07</v>
      </c>
      <c r="BE23" s="1">
        <v>527.85</v>
      </c>
      <c r="BF23" s="1">
        <v>-5.2164000000000001</v>
      </c>
      <c r="BG23" s="1">
        <v>5.7752999999999997</v>
      </c>
      <c r="BH23" s="1">
        <f t="shared" si="6"/>
        <v>-7698.8095238095239</v>
      </c>
      <c r="BI23" s="1">
        <f t="shared" si="7"/>
        <v>-8524.282602408357</v>
      </c>
      <c r="BJ23" s="27">
        <v>1205.5</v>
      </c>
      <c r="BK23" s="27">
        <v>20.100000000000001</v>
      </c>
      <c r="BL23" s="27">
        <v>1210.7</v>
      </c>
      <c r="BM23" s="27">
        <v>31.9</v>
      </c>
      <c r="BN23" s="27">
        <v>1196.0999999999999</v>
      </c>
      <c r="BO23" s="27">
        <v>49.3</v>
      </c>
      <c r="BP23" s="27">
        <v>1205.5</v>
      </c>
      <c r="BQ23" s="27">
        <v>20.100000000000001</v>
      </c>
      <c r="BR23" s="27">
        <v>-0.39</v>
      </c>
    </row>
    <row r="24" spans="1:70" x14ac:dyDescent="0.2">
      <c r="A24" t="s">
        <v>146</v>
      </c>
      <c r="B24" t="s">
        <v>38</v>
      </c>
      <c r="C24" t="s">
        <v>147</v>
      </c>
      <c r="D24" t="s">
        <v>148</v>
      </c>
      <c r="E24">
        <v>82811</v>
      </c>
      <c r="F24">
        <v>40465</v>
      </c>
      <c r="G24" t="s">
        <v>148</v>
      </c>
      <c r="H24" s="1">
        <v>35.9</v>
      </c>
      <c r="I24" s="1">
        <v>59.6</v>
      </c>
      <c r="J24" s="10">
        <v>1.907</v>
      </c>
      <c r="K24" s="10">
        <f t="shared" ca="1" si="0"/>
        <v>4.6729643696480284E-2</v>
      </c>
      <c r="L24" s="7">
        <v>0.18149999999999999</v>
      </c>
      <c r="M24" s="7">
        <f t="shared" ca="1" si="1"/>
        <v>4.6461704660935551E-3</v>
      </c>
      <c r="N24" s="7">
        <v>0.85343999999999998</v>
      </c>
      <c r="O24" s="8">
        <v>5.5096420000000004</v>
      </c>
      <c r="P24" s="8">
        <f t="shared" ca="1" si="2"/>
        <v>0.14103986906682842</v>
      </c>
      <c r="Q24" s="9">
        <v>7.6039999999999996E-2</v>
      </c>
      <c r="R24" s="9">
        <f t="shared" ca="1" si="3"/>
        <v>1.7183808192598054E-3</v>
      </c>
      <c r="S24" s="8">
        <f t="shared" si="4"/>
        <v>0.56282143675869389</v>
      </c>
      <c r="T24" s="11">
        <v>5.0729999999999997E-2</v>
      </c>
      <c r="U24" s="11">
        <f t="shared" ca="1" si="5"/>
        <v>1.1540854214485165E-3</v>
      </c>
      <c r="V24" s="6" t="e">
        <f ca="1">IF(agePb6U8(1/O24)&lt;1400,age7corr(1/O24,Q24,$W$2),agePb76(Q24))</f>
        <v>#NAME?</v>
      </c>
      <c r="W24" s="6" t="e">
        <f ca="1">IF(agePb6U8(1/O24)&lt;1400,ageer7corr(V24,1/O24,P24/O24*(1/O24),Q24,R24,$W$2,0.05),ageerPb76(Q24,R24))</f>
        <v>#NAME?</v>
      </c>
      <c r="X24" s="4" t="e">
        <f ca="1">agePb6U8(L24)/agePb7u5(J24)</f>
        <v>#NAME?</v>
      </c>
      <c r="Y24" s="3"/>
      <c r="Z24" s="1">
        <v>1.907</v>
      </c>
      <c r="AA24" s="1">
        <v>2.7E-2</v>
      </c>
      <c r="AB24" s="1">
        <v>0.18149999999999999</v>
      </c>
      <c r="AC24" s="1">
        <v>2.8999999999999998E-3</v>
      </c>
      <c r="AD24" s="1">
        <v>0.85343999999999998</v>
      </c>
      <c r="AE24" s="1">
        <v>5.5096420000000004</v>
      </c>
      <c r="AF24" s="1">
        <v>8.8032849999999996E-2</v>
      </c>
      <c r="AG24" s="1">
        <v>7.6039999999999996E-2</v>
      </c>
      <c r="AH24" s="1">
        <v>8.0000000000000004E-4</v>
      </c>
      <c r="AI24" s="1">
        <v>0.34017999999999998</v>
      </c>
      <c r="AJ24" s="1">
        <v>5.0729999999999997E-2</v>
      </c>
      <c r="AK24" s="1">
        <v>5.5000000000000003E-4</v>
      </c>
      <c r="AL24" s="1">
        <v>2.3340000000000001</v>
      </c>
      <c r="AM24" s="1">
        <v>5.7000000000000002E-2</v>
      </c>
      <c r="AN24" s="1">
        <v>1083.4000000000001</v>
      </c>
      <c r="AO24" s="1">
        <v>9.5</v>
      </c>
      <c r="AP24" s="1">
        <v>1075</v>
      </c>
      <c r="AQ24" s="1">
        <v>16</v>
      </c>
      <c r="AR24" s="1">
        <v>1000</v>
      </c>
      <c r="AS24" s="1">
        <v>11</v>
      </c>
      <c r="AT24" s="1">
        <v>1095</v>
      </c>
      <c r="AU24" s="1">
        <v>21</v>
      </c>
      <c r="AV24" s="1">
        <v>7.91</v>
      </c>
      <c r="AW24" s="1">
        <v>0.11</v>
      </c>
      <c r="AX24" s="1">
        <v>4.74</v>
      </c>
      <c r="AY24" s="1">
        <v>0.25999999999999995</v>
      </c>
      <c r="AZ24" s="1">
        <v>19623.599999999999</v>
      </c>
      <c r="BA24" s="1">
        <v>807.3</v>
      </c>
      <c r="BB24" s="1">
        <v>4222.8</v>
      </c>
      <c r="BC24" s="1">
        <v>74.52</v>
      </c>
      <c r="BD24" s="1">
        <v>55455.3</v>
      </c>
      <c r="BE24" s="1">
        <v>993.6</v>
      </c>
      <c r="BF24" s="1">
        <v>1.6766999999999999</v>
      </c>
      <c r="BG24" s="1">
        <v>4.4712000000000005</v>
      </c>
      <c r="BH24" s="1">
        <f t="shared" si="6"/>
        <v>33074.07407407408</v>
      </c>
      <c r="BI24" s="1">
        <f t="shared" si="7"/>
        <v>88199.521634314311</v>
      </c>
      <c r="BJ24" s="27">
        <v>1081.4000000000001</v>
      </c>
      <c r="BK24" s="27">
        <v>16.2</v>
      </c>
      <c r="BL24" s="27">
        <v>1075.0999999999999</v>
      </c>
      <c r="BM24" s="27">
        <v>25.2</v>
      </c>
      <c r="BN24" s="27">
        <v>1094.2</v>
      </c>
      <c r="BO24" s="27">
        <v>52.7</v>
      </c>
      <c r="BP24" s="27">
        <v>1080.4000000000001</v>
      </c>
      <c r="BQ24" s="27">
        <v>15.8</v>
      </c>
      <c r="BR24" s="27">
        <v>0.51</v>
      </c>
    </row>
    <row r="25" spans="1:70" x14ac:dyDescent="0.2">
      <c r="A25" t="s">
        <v>245</v>
      </c>
      <c r="B25" t="s">
        <v>38</v>
      </c>
      <c r="C25" t="s">
        <v>246</v>
      </c>
      <c r="D25" t="s">
        <v>247</v>
      </c>
      <c r="E25">
        <v>82584</v>
      </c>
      <c r="F25">
        <v>42530</v>
      </c>
      <c r="G25" t="s">
        <v>247</v>
      </c>
      <c r="H25" s="1">
        <v>197.5</v>
      </c>
      <c r="I25" s="1">
        <v>163.80000000000001</v>
      </c>
      <c r="J25" s="10">
        <v>2.2480000000000002</v>
      </c>
      <c r="K25" s="10">
        <f t="shared" ca="1" si="0"/>
        <v>7.8213819750732036E-2</v>
      </c>
      <c r="L25" s="7">
        <v>0.20080000000000001</v>
      </c>
      <c r="M25" s="7">
        <f t="shared" ca="1" si="1"/>
        <v>6.5702553983844492E-3</v>
      </c>
      <c r="N25" s="7">
        <v>0.98985999999999996</v>
      </c>
      <c r="O25" s="8">
        <v>4.9800800000000001</v>
      </c>
      <c r="P25" s="8">
        <f t="shared" ca="1" si="2"/>
        <v>0.16295017479278751</v>
      </c>
      <c r="Q25" s="9">
        <v>8.0920000000000006E-2</v>
      </c>
      <c r="R25" s="9">
        <f t="shared" ca="1" si="3"/>
        <v>1.65581356438459E-3</v>
      </c>
      <c r="S25" s="8">
        <f t="shared" si="4"/>
        <v>0.43054564562940612</v>
      </c>
      <c r="T25" s="11">
        <v>6.3200000000000006E-2</v>
      </c>
      <c r="U25" s="11">
        <f t="shared" ca="1" si="5"/>
        <v>1.8861855688134188E-3</v>
      </c>
      <c r="V25" s="6" t="e">
        <f ca="1">IF(agePb6U8(1/O25)&lt;1400,age7corr(1/O25,Q25,$W$2),agePb76(Q25))</f>
        <v>#NAME?</v>
      </c>
      <c r="W25" s="6" t="e">
        <f ca="1">IF(agePb6U8(1/O25)&lt;1400,ageer7corr(V25,1/O25,P25/O25*(1/O25),Q25,R25,$W$2,0.05),ageerPb76(Q25,R25))</f>
        <v>#NAME?</v>
      </c>
      <c r="X25" s="4" t="e">
        <f ca="1">agePb6U8(L25)/agePb7u5(J25)</f>
        <v>#NAME?</v>
      </c>
      <c r="Y25" s="3"/>
      <c r="Z25" s="1">
        <v>2.2480000000000002</v>
      </c>
      <c r="AA25" s="1">
        <v>6.4000000000000001E-2</v>
      </c>
      <c r="AB25" s="1">
        <v>0.20080000000000001</v>
      </c>
      <c r="AC25" s="1">
        <v>5.1999999999999998E-3</v>
      </c>
      <c r="AD25" s="1">
        <v>0.98985999999999996</v>
      </c>
      <c r="AE25" s="1">
        <v>4.9800800000000001</v>
      </c>
      <c r="AF25" s="1">
        <v>0.1289662</v>
      </c>
      <c r="AG25" s="1">
        <v>8.0920000000000006E-2</v>
      </c>
      <c r="AH25" s="1">
        <v>3.5E-4</v>
      </c>
      <c r="AI25" s="1">
        <v>-0.46732000000000001</v>
      </c>
      <c r="AJ25" s="1">
        <v>6.3200000000000006E-2</v>
      </c>
      <c r="AK25" s="1">
        <v>1.4E-3</v>
      </c>
      <c r="AL25" s="1">
        <v>4.1689999999999996</v>
      </c>
      <c r="AM25" s="1">
        <v>3.7999999999999999E-2</v>
      </c>
      <c r="AN25" s="1">
        <v>1195</v>
      </c>
      <c r="AO25" s="1">
        <v>20</v>
      </c>
      <c r="AP25" s="1">
        <v>1179</v>
      </c>
      <c r="AQ25" s="1">
        <v>28</v>
      </c>
      <c r="AR25" s="1">
        <v>1238</v>
      </c>
      <c r="AS25" s="1">
        <v>27</v>
      </c>
      <c r="AT25" s="1">
        <v>1219.3</v>
      </c>
      <c r="AU25" s="1">
        <v>8.4</v>
      </c>
      <c r="AV25" s="1">
        <v>43.38</v>
      </c>
      <c r="AW25" s="1">
        <v>0.63</v>
      </c>
      <c r="AX25" s="1">
        <v>12.98</v>
      </c>
      <c r="AY25" s="1">
        <v>0.15</v>
      </c>
      <c r="AZ25" s="1">
        <v>66819.599999999991</v>
      </c>
      <c r="BA25" s="1">
        <v>993.6</v>
      </c>
      <c r="BB25" s="1">
        <v>27566.190000000002</v>
      </c>
      <c r="BC25" s="1">
        <v>534.05999999999995</v>
      </c>
      <c r="BD25" s="1">
        <v>341798.40000000002</v>
      </c>
      <c r="BE25" s="1">
        <v>5030.1000000000004</v>
      </c>
      <c r="BF25" s="1">
        <v>55.89</v>
      </c>
      <c r="BG25" s="1">
        <v>6.2099999999999991</v>
      </c>
      <c r="BH25" s="1">
        <f t="shared" si="6"/>
        <v>6115.5555555555557</v>
      </c>
      <c r="BI25" s="1">
        <f t="shared" si="7"/>
        <v>685.44047073906631</v>
      </c>
      <c r="BJ25" s="27">
        <v>1194.2</v>
      </c>
      <c r="BK25" s="27">
        <v>21.8</v>
      </c>
      <c r="BL25" s="27">
        <v>1179.5999999999999</v>
      </c>
      <c r="BM25" s="27">
        <v>34.6</v>
      </c>
      <c r="BN25" s="27">
        <v>1220.5999999999999</v>
      </c>
      <c r="BO25" s="27">
        <v>48.5</v>
      </c>
      <c r="BP25" s="27">
        <v>1195.3</v>
      </c>
      <c r="BQ25" s="27">
        <v>21.7</v>
      </c>
      <c r="BR25" s="27">
        <v>1.1000000000000001</v>
      </c>
    </row>
    <row r="26" spans="1:70" x14ac:dyDescent="0.2">
      <c r="A26" t="s">
        <v>248</v>
      </c>
      <c r="B26" t="s">
        <v>38</v>
      </c>
      <c r="C26" t="s">
        <v>249</v>
      </c>
      <c r="D26" t="s">
        <v>250</v>
      </c>
      <c r="E26">
        <v>82649</v>
      </c>
      <c r="F26">
        <v>42695</v>
      </c>
      <c r="G26" t="s">
        <v>250</v>
      </c>
      <c r="H26" s="1">
        <v>47.5</v>
      </c>
      <c r="I26" s="1">
        <v>41.53</v>
      </c>
      <c r="J26" s="10">
        <v>3.05</v>
      </c>
      <c r="K26" s="10">
        <f t="shared" ca="1" si="0"/>
        <v>0.14360013927569848</v>
      </c>
      <c r="L26" s="7">
        <v>0.23649999999999999</v>
      </c>
      <c r="M26" s="7">
        <f t="shared" ca="1" si="1"/>
        <v>9.2937021686731493E-3</v>
      </c>
      <c r="N26" s="7">
        <v>0.89522000000000002</v>
      </c>
      <c r="O26" s="8">
        <v>4.2283299999999997</v>
      </c>
      <c r="P26" s="8">
        <f t="shared" ca="1" si="2"/>
        <v>0.16616000706427525</v>
      </c>
      <c r="Q26" s="9">
        <v>9.2100000000000001E-2</v>
      </c>
      <c r="R26" s="9">
        <f t="shared" ca="1" si="3"/>
        <v>2.3136473369984459E-3</v>
      </c>
      <c r="S26" s="8">
        <f t="shared" si="4"/>
        <v>0.41935095160802471</v>
      </c>
      <c r="T26" s="11">
        <v>7.6999999999999999E-2</v>
      </c>
      <c r="U26" s="11">
        <f t="shared" ca="1" si="5"/>
        <v>3.1083114387075181E-3</v>
      </c>
      <c r="V26" s="6" t="e">
        <f ca="1">IF(agePb6U8(1/O26)&lt;1400,age7corr(1/O26,Q26,$W$2),agePb76(Q26))</f>
        <v>#NAME?</v>
      </c>
      <c r="W26" s="6" t="e">
        <f ca="1">IF(agePb6U8(1/O26)&lt;1400,ageer7corr(V26,1/O26,P26/O26*(1/O26),Q26,R26,$W$2,0.05),ageerPb76(Q26,R26))</f>
        <v>#NAME?</v>
      </c>
      <c r="X26" s="4" t="e">
        <f ca="1">agePb6U8(L26)/agePb7u5(J26)</f>
        <v>#NAME?</v>
      </c>
      <c r="Y26" s="3"/>
      <c r="Z26" s="1">
        <v>3.05</v>
      </c>
      <c r="AA26" s="1">
        <v>0.13</v>
      </c>
      <c r="AB26" s="1">
        <v>0.23649999999999999</v>
      </c>
      <c r="AC26" s="1">
        <v>8.0000000000000002E-3</v>
      </c>
      <c r="AD26" s="1">
        <v>0.89522000000000002</v>
      </c>
      <c r="AE26" s="1">
        <v>4.2283299999999997</v>
      </c>
      <c r="AF26" s="1">
        <v>0.1430302</v>
      </c>
      <c r="AG26" s="1">
        <v>9.2100000000000001E-2</v>
      </c>
      <c r="AH26" s="1">
        <v>1.4E-3</v>
      </c>
      <c r="AI26" s="1">
        <v>-0.17263999999999999</v>
      </c>
      <c r="AJ26" s="1">
        <v>7.6999999999999999E-2</v>
      </c>
      <c r="AK26" s="1">
        <v>2.7000000000000001E-3</v>
      </c>
      <c r="AL26" s="1">
        <v>3.806</v>
      </c>
      <c r="AM26" s="1">
        <v>5.1999999999999998E-2</v>
      </c>
      <c r="AN26" s="1">
        <v>1418</v>
      </c>
      <c r="AO26" s="1">
        <v>33</v>
      </c>
      <c r="AP26" s="1">
        <v>1378</v>
      </c>
      <c r="AQ26" s="1">
        <v>44</v>
      </c>
      <c r="AR26" s="1">
        <v>1512</v>
      </c>
      <c r="AS26" s="1">
        <v>53</v>
      </c>
      <c r="AT26" s="1">
        <v>1468</v>
      </c>
      <c r="AU26" s="1">
        <v>29</v>
      </c>
      <c r="AV26" s="1">
        <v>10.44</v>
      </c>
      <c r="AW26" s="1">
        <v>0.55000000000000004</v>
      </c>
      <c r="AX26" s="1">
        <v>3.2919999999999998</v>
      </c>
      <c r="AY26" s="1">
        <v>4.9000000000000002E-2</v>
      </c>
      <c r="AZ26" s="1">
        <v>20716.559999999998</v>
      </c>
      <c r="BA26" s="1">
        <v>397.43999999999994</v>
      </c>
      <c r="BB26" s="1">
        <v>8880.3000000000011</v>
      </c>
      <c r="BC26" s="1">
        <v>161.45999999999998</v>
      </c>
      <c r="BD26" s="1">
        <v>96068.7</v>
      </c>
      <c r="BE26" s="1">
        <v>2856.6</v>
      </c>
      <c r="BF26" s="1">
        <v>11.799000000000001</v>
      </c>
      <c r="BG26" s="1">
        <v>8.0729999999999986</v>
      </c>
      <c r="BH26" s="1">
        <f t="shared" si="6"/>
        <v>8142.1052631578932</v>
      </c>
      <c r="BI26" s="1">
        <f t="shared" si="7"/>
        <v>5576.1724483357802</v>
      </c>
      <c r="BJ26" s="27">
        <v>1407</v>
      </c>
      <c r="BK26" s="27">
        <v>28</v>
      </c>
      <c r="BL26" s="27">
        <v>1368</v>
      </c>
      <c r="BM26" s="27">
        <v>49.5</v>
      </c>
      <c r="BN26" s="27">
        <v>1466.5</v>
      </c>
      <c r="BO26" s="27">
        <v>41.3</v>
      </c>
      <c r="BP26" s="27">
        <v>1423.9</v>
      </c>
      <c r="BQ26" s="27">
        <v>24.6</v>
      </c>
      <c r="BR26" s="27">
        <v>3.1</v>
      </c>
    </row>
    <row r="27" spans="1:70" x14ac:dyDescent="0.2">
      <c r="A27" t="s">
        <v>251</v>
      </c>
      <c r="B27" t="s">
        <v>38</v>
      </c>
      <c r="C27" t="s">
        <v>252</v>
      </c>
      <c r="D27" t="s">
        <v>253</v>
      </c>
      <c r="E27">
        <v>82692</v>
      </c>
      <c r="F27">
        <v>43638</v>
      </c>
      <c r="G27" t="s">
        <v>253</v>
      </c>
      <c r="H27" s="1">
        <v>79.099999999999994</v>
      </c>
      <c r="I27" s="1">
        <v>33.299999999999997</v>
      </c>
      <c r="J27" s="10">
        <v>3.95</v>
      </c>
      <c r="K27" s="10">
        <f t="shared" ca="1" si="0"/>
        <v>0.22436800128360551</v>
      </c>
      <c r="L27" s="7">
        <v>0.26400000000000001</v>
      </c>
      <c r="M27" s="7">
        <f t="shared" ca="1" si="1"/>
        <v>1.2201573668998603E-2</v>
      </c>
      <c r="N27" s="7">
        <v>0.99253999999999998</v>
      </c>
      <c r="O27" s="8">
        <v>3.7878790000000002</v>
      </c>
      <c r="P27" s="8">
        <f t="shared" ca="1" si="2"/>
        <v>0.17506851004205867</v>
      </c>
      <c r="Q27" s="9">
        <v>0.10829999999999999</v>
      </c>
      <c r="R27" s="9">
        <f t="shared" ca="1" si="3"/>
        <v>2.5261741824347738E-3</v>
      </c>
      <c r="S27" s="8">
        <f t="shared" si="4"/>
        <v>0.59251120228705678</v>
      </c>
      <c r="T27" s="11">
        <v>8.0399999999999999E-2</v>
      </c>
      <c r="U27" s="11">
        <f t="shared" ca="1" si="5"/>
        <v>7.2798120854868217E-3</v>
      </c>
      <c r="V27" s="6" t="e">
        <f ca="1">IF(agePb6U8(1/O27)&lt;1400,age7corr(1/O27,Q27,$W$2),agePb76(Q27))</f>
        <v>#NAME?</v>
      </c>
      <c r="W27" s="6" t="e">
        <f ca="1">IF(agePb6U8(1/O27)&lt;1400,ageer7corr(V27,1/O27,P27/O27*(1/O27),Q27,R27,$W$2,0.05),ageerPb76(Q27,R27))</f>
        <v>#NAME?</v>
      </c>
      <c r="X27" s="4" t="e">
        <f ca="1">agePb6U8(L27)/agePb7u5(J27)</f>
        <v>#NAME?</v>
      </c>
      <c r="Y27" s="3"/>
      <c r="Z27" s="1">
        <v>3.95</v>
      </c>
      <c r="AA27" s="1">
        <v>0.21</v>
      </c>
      <c r="AB27" s="1">
        <v>0.26400000000000001</v>
      </c>
      <c r="AC27" s="1">
        <v>1.0999999999999999E-2</v>
      </c>
      <c r="AD27" s="1">
        <v>0.99253999999999998</v>
      </c>
      <c r="AE27" s="1">
        <v>3.7878790000000002</v>
      </c>
      <c r="AF27" s="1">
        <v>0.1578283</v>
      </c>
      <c r="AG27" s="1">
        <v>0.10829999999999999</v>
      </c>
      <c r="AH27" s="1">
        <v>1.2999999999999999E-3</v>
      </c>
      <c r="AI27" s="1">
        <v>-0.80428999999999995</v>
      </c>
      <c r="AJ27" s="1">
        <v>8.0399999999999999E-2</v>
      </c>
      <c r="AK27" s="1">
        <v>7.1000000000000004E-3</v>
      </c>
      <c r="AL27" s="1">
        <v>8.73</v>
      </c>
      <c r="AM27" s="1">
        <v>0.28999999999999998</v>
      </c>
      <c r="AN27" s="1">
        <v>1620</v>
      </c>
      <c r="AO27" s="1">
        <v>42</v>
      </c>
      <c r="AP27" s="1">
        <v>1510</v>
      </c>
      <c r="AQ27" s="1">
        <v>56</v>
      </c>
      <c r="AR27" s="1">
        <v>1560</v>
      </c>
      <c r="AS27" s="1">
        <v>130</v>
      </c>
      <c r="AT27" s="1">
        <v>1770</v>
      </c>
      <c r="AU27" s="1">
        <v>21</v>
      </c>
      <c r="AV27" s="1">
        <v>17.37</v>
      </c>
      <c r="AW27" s="1">
        <v>0.31</v>
      </c>
      <c r="AX27" s="1">
        <v>2.64</v>
      </c>
      <c r="AY27" s="1">
        <v>0.1</v>
      </c>
      <c r="AZ27" s="1">
        <v>16953.300000000003</v>
      </c>
      <c r="BA27" s="1">
        <v>1242</v>
      </c>
      <c r="BB27" s="1">
        <v>19747.8</v>
      </c>
      <c r="BC27" s="1">
        <v>1055.7</v>
      </c>
      <c r="BD27" s="1">
        <v>181952.99999999997</v>
      </c>
      <c r="BE27" s="1">
        <v>8072.9999999999982</v>
      </c>
      <c r="BF27" s="1">
        <v>21.734999999999999</v>
      </c>
      <c r="BG27" s="1">
        <v>8.6940000000000008</v>
      </c>
      <c r="BH27" s="1">
        <f t="shared" si="6"/>
        <v>8371.4285714285706</v>
      </c>
      <c r="BI27" s="1">
        <f t="shared" si="7"/>
        <v>3369.1081603175594</v>
      </c>
      <c r="BJ27" s="27">
        <v>1619.3</v>
      </c>
      <c r="BK27" s="27">
        <v>31</v>
      </c>
      <c r="BL27" s="27">
        <v>1509.5</v>
      </c>
      <c r="BM27" s="27">
        <v>63.9</v>
      </c>
      <c r="BN27" s="27">
        <v>1765.1</v>
      </c>
      <c r="BO27" s="27">
        <v>50.8</v>
      </c>
      <c r="BP27" s="27">
        <v>1658.3</v>
      </c>
      <c r="BQ27" s="27">
        <v>26.4</v>
      </c>
      <c r="BR27" s="27">
        <v>7.5</v>
      </c>
    </row>
    <row r="28" spans="1:70" s="23" customFormat="1" x14ac:dyDescent="0.2">
      <c r="A28" s="23" t="s">
        <v>254</v>
      </c>
      <c r="B28" s="23" t="s">
        <v>38</v>
      </c>
      <c r="C28" s="23" t="s">
        <v>255</v>
      </c>
      <c r="D28" s="23" t="s">
        <v>256</v>
      </c>
      <c r="E28" s="23">
        <v>82721</v>
      </c>
      <c r="F28" s="23">
        <v>43806</v>
      </c>
      <c r="G28" s="23" t="s">
        <v>256</v>
      </c>
      <c r="H28" s="24">
        <v>130.19999999999999</v>
      </c>
      <c r="I28" s="24">
        <v>99.4</v>
      </c>
      <c r="J28" s="25">
        <v>2.23</v>
      </c>
      <c r="K28" s="25">
        <f t="shared" ca="1" si="0"/>
        <v>0.30329714802483715</v>
      </c>
      <c r="L28" s="26">
        <v>0.16819999999999999</v>
      </c>
      <c r="M28" s="26">
        <f t="shared" ca="1" si="1"/>
        <v>5.3811240461450055E-3</v>
      </c>
      <c r="N28" s="26">
        <v>0.60829999999999995</v>
      </c>
      <c r="O28" s="26">
        <v>5.945303</v>
      </c>
      <c r="P28" s="26">
        <f t="shared" ca="1" si="2"/>
        <v>0.19020456266442087</v>
      </c>
      <c r="Q28" s="25">
        <v>9.5000000000000001E-2</v>
      </c>
      <c r="R28" s="25">
        <f t="shared" ca="1" si="3"/>
        <v>1.1162884931772789E-2</v>
      </c>
      <c r="S28" s="26">
        <f t="shared" si="4"/>
        <v>0.14012691991018772</v>
      </c>
      <c r="T28" s="25">
        <v>6.2100000000000002E-2</v>
      </c>
      <c r="U28" s="25">
        <f t="shared" ca="1" si="5"/>
        <v>6.7158442507252959E-3</v>
      </c>
      <c r="V28" s="24" t="e">
        <f ca="1">IF(agePb6U8(1/O28)&lt;1400,age7corr(1/O28,Q28,$W$2),agePb76(Q28))</f>
        <v>#NAME?</v>
      </c>
      <c r="W28" s="24" t="e">
        <f ca="1">IF(agePb6U8(1/O28)&lt;1400,ageer7corr(V28,1/O28,P28/O28*(1/O28),Q28,R28,$W$2,0.05),ageerPb76(Q28,R28))</f>
        <v>#NAME?</v>
      </c>
      <c r="X28" s="26" t="e">
        <f ca="1">agePb6U8(L28)/agePb7u5(J28)</f>
        <v>#NAME?</v>
      </c>
      <c r="Y28" s="24"/>
      <c r="Z28" s="24">
        <v>2.23</v>
      </c>
      <c r="AA28" s="24">
        <v>0.3</v>
      </c>
      <c r="AB28" s="24">
        <v>0.16819999999999999</v>
      </c>
      <c r="AC28" s="24">
        <v>4.1999999999999997E-3</v>
      </c>
      <c r="AD28" s="24">
        <v>0.60829999999999995</v>
      </c>
      <c r="AE28" s="24">
        <v>5.945303</v>
      </c>
      <c r="AF28" s="24">
        <v>0.1484558</v>
      </c>
      <c r="AG28" s="24">
        <v>9.5000000000000001E-2</v>
      </c>
      <c r="AH28" s="24">
        <v>1.0999999999999999E-2</v>
      </c>
      <c r="AI28" s="24">
        <v>-0.47393000000000002</v>
      </c>
      <c r="AJ28" s="24">
        <v>6.2100000000000002E-2</v>
      </c>
      <c r="AK28" s="24">
        <v>6.6E-3</v>
      </c>
      <c r="AL28" s="24">
        <v>3.97</v>
      </c>
      <c r="AM28" s="24">
        <v>0.38</v>
      </c>
      <c r="AN28" s="24">
        <v>1171</v>
      </c>
      <c r="AO28" s="24">
        <v>87</v>
      </c>
      <c r="AP28" s="24">
        <v>1002</v>
      </c>
      <c r="AQ28" s="24">
        <v>23</v>
      </c>
      <c r="AR28" s="24">
        <v>1220</v>
      </c>
      <c r="AS28" s="24">
        <v>130</v>
      </c>
      <c r="AT28" s="24">
        <v>1500</v>
      </c>
      <c r="AU28" s="24">
        <v>210</v>
      </c>
      <c r="AV28" s="24">
        <v>28.6</v>
      </c>
      <c r="AW28" s="24">
        <v>0.65</v>
      </c>
      <c r="AX28" s="24">
        <v>7.88</v>
      </c>
      <c r="AY28" s="24">
        <v>0.16</v>
      </c>
      <c r="AZ28" s="24">
        <v>41544.9</v>
      </c>
      <c r="BA28" s="24">
        <v>5837.4</v>
      </c>
      <c r="BB28" s="24">
        <v>18195.300000000003</v>
      </c>
      <c r="BC28" s="24">
        <v>2670.3</v>
      </c>
      <c r="BD28" s="24">
        <v>189218.69999999998</v>
      </c>
      <c r="BE28" s="24">
        <v>5154.3</v>
      </c>
      <c r="BF28" s="24">
        <v>372.6</v>
      </c>
      <c r="BG28" s="24">
        <v>192.51</v>
      </c>
      <c r="BH28" s="24">
        <f t="shared" si="6"/>
        <v>507.83333333333326</v>
      </c>
      <c r="BI28" s="24">
        <f t="shared" si="7"/>
        <v>262.74496578384344</v>
      </c>
      <c r="BJ28" s="27">
        <v>1181.2</v>
      </c>
      <c r="BK28" s="27">
        <v>80.8</v>
      </c>
      <c r="BL28" s="27">
        <v>1001.5</v>
      </c>
      <c r="BM28" s="27">
        <v>29.6</v>
      </c>
      <c r="BN28" s="27">
        <v>1527.2</v>
      </c>
      <c r="BO28" s="27">
        <v>218.1</v>
      </c>
      <c r="BP28" s="27">
        <v>1011.8</v>
      </c>
      <c r="BQ28" s="27">
        <v>29.3</v>
      </c>
      <c r="BR28" s="27">
        <v>21</v>
      </c>
    </row>
    <row r="29" spans="1:70" x14ac:dyDescent="0.2">
      <c r="A29" t="s">
        <v>257</v>
      </c>
      <c r="B29" t="s">
        <v>38</v>
      </c>
      <c r="C29" t="s">
        <v>258</v>
      </c>
      <c r="D29" t="s">
        <v>259</v>
      </c>
      <c r="E29">
        <v>82681</v>
      </c>
      <c r="F29">
        <v>44186</v>
      </c>
      <c r="G29" t="s">
        <v>259</v>
      </c>
      <c r="H29" s="1">
        <v>74.599999999999994</v>
      </c>
      <c r="I29" s="1">
        <v>17.5</v>
      </c>
      <c r="J29" s="10">
        <v>1.994</v>
      </c>
      <c r="K29" s="10">
        <f t="shared" ca="1" si="0"/>
        <v>6.7129832414508525E-2</v>
      </c>
      <c r="L29" s="7">
        <v>0.18690000000000001</v>
      </c>
      <c r="M29" s="7">
        <f t="shared" ca="1" si="1"/>
        <v>6.0052180643170644E-3</v>
      </c>
      <c r="N29" s="7">
        <v>0.96499999999999997</v>
      </c>
      <c r="O29" s="8">
        <v>5.3504550000000002</v>
      </c>
      <c r="P29" s="8">
        <f t="shared" ca="1" si="2"/>
        <v>0.17191356329495935</v>
      </c>
      <c r="Q29" s="9">
        <v>7.7219999999999997E-2</v>
      </c>
      <c r="R29" s="9">
        <f t="shared" ca="1" si="3"/>
        <v>1.6328108769848391E-3</v>
      </c>
      <c r="S29" s="8">
        <f t="shared" si="4"/>
        <v>0.42924269061744857</v>
      </c>
      <c r="T29" s="11">
        <v>5.9900000000000002E-2</v>
      </c>
      <c r="U29" s="11">
        <f t="shared" ca="1" si="5"/>
        <v>1.9988006403841283E-3</v>
      </c>
      <c r="V29" s="6" t="e">
        <f ca="1">IF(agePb6U8(1/O29)&lt;1400,age7corr(1/O29,Q29,$W$2),agePb76(Q29))</f>
        <v>#NAME?</v>
      </c>
      <c r="W29" s="6" t="e">
        <f ca="1">IF(agePb6U8(1/O29)&lt;1400,ageer7corr(V29,1/O29,P29/O29*(1/O29),Q29,R29,$W$2,0.05),ageerPb76(Q29,R29))</f>
        <v>#NAME?</v>
      </c>
      <c r="X29" s="4" t="e">
        <f ca="1">agePb6U8(L29)/agePb7u5(J29)</f>
        <v>#NAME?</v>
      </c>
      <c r="Y29" s="3"/>
      <c r="Z29" s="1">
        <v>1.994</v>
      </c>
      <c r="AA29" s="1">
        <v>5.3999999999999999E-2</v>
      </c>
      <c r="AB29" s="1">
        <v>0.18690000000000001</v>
      </c>
      <c r="AC29" s="1">
        <v>4.7000000000000002E-3</v>
      </c>
      <c r="AD29" s="1">
        <v>0.96499999999999997</v>
      </c>
      <c r="AE29" s="1">
        <v>5.3504550000000002</v>
      </c>
      <c r="AF29" s="1">
        <v>0.13454859999999999</v>
      </c>
      <c r="AG29" s="1">
        <v>7.7219999999999997E-2</v>
      </c>
      <c r="AH29" s="1">
        <v>5.2999999999999998E-4</v>
      </c>
      <c r="AI29" s="1">
        <v>-0.21052999999999999</v>
      </c>
      <c r="AJ29" s="1">
        <v>5.9900000000000002E-2</v>
      </c>
      <c r="AK29" s="1">
        <v>1.6000000000000001E-3</v>
      </c>
      <c r="AL29" s="1">
        <v>14.06</v>
      </c>
      <c r="AM29" s="1">
        <v>0.13</v>
      </c>
      <c r="AN29" s="1">
        <v>1113</v>
      </c>
      <c r="AO29" s="1">
        <v>18</v>
      </c>
      <c r="AP29" s="1">
        <v>1104</v>
      </c>
      <c r="AQ29" s="1">
        <v>25</v>
      </c>
      <c r="AR29" s="1">
        <v>1176</v>
      </c>
      <c r="AS29" s="1">
        <v>30</v>
      </c>
      <c r="AT29" s="1">
        <v>1127</v>
      </c>
      <c r="AU29" s="1">
        <v>14</v>
      </c>
      <c r="AV29" s="1">
        <v>16.38</v>
      </c>
      <c r="AW29" s="1">
        <v>0.6</v>
      </c>
      <c r="AX29" s="1">
        <v>1.387</v>
      </c>
      <c r="AY29" s="1">
        <v>2.3E-2</v>
      </c>
      <c r="AZ29" s="1">
        <v>6880.6799999999994</v>
      </c>
      <c r="BA29" s="1">
        <v>167.67000000000002</v>
      </c>
      <c r="BB29" s="1">
        <v>9252.9</v>
      </c>
      <c r="BC29" s="1">
        <v>291.87</v>
      </c>
      <c r="BD29" s="1">
        <v>119790.90000000001</v>
      </c>
      <c r="BE29" s="1">
        <v>3539.7000000000003</v>
      </c>
      <c r="BF29" s="1">
        <v>2.4218999999999999</v>
      </c>
      <c r="BG29" s="1">
        <v>5.1543000000000001</v>
      </c>
      <c r="BH29" s="1">
        <f t="shared" si="6"/>
        <v>49461.538461538468</v>
      </c>
      <c r="BI29" s="1">
        <f t="shared" si="7"/>
        <v>105274.44565344516</v>
      </c>
      <c r="BJ29" s="27">
        <v>1109.9000000000001</v>
      </c>
      <c r="BK29" s="27">
        <v>21.1</v>
      </c>
      <c r="BL29" s="27">
        <v>1104.5999999999999</v>
      </c>
      <c r="BM29" s="27">
        <v>32.299999999999997</v>
      </c>
      <c r="BN29" s="27">
        <v>1120.3</v>
      </c>
      <c r="BO29" s="27">
        <v>51.8</v>
      </c>
      <c r="BP29" s="27">
        <v>1110</v>
      </c>
      <c r="BQ29" s="27">
        <v>21.1</v>
      </c>
      <c r="BR29" s="27">
        <v>0.42</v>
      </c>
    </row>
    <row r="30" spans="1:70" x14ac:dyDescent="0.2">
      <c r="A30" t="s">
        <v>260</v>
      </c>
      <c r="B30" t="s">
        <v>38</v>
      </c>
      <c r="C30" t="s">
        <v>261</v>
      </c>
      <c r="D30" t="s">
        <v>262</v>
      </c>
      <c r="E30">
        <v>82765</v>
      </c>
      <c r="F30">
        <v>44338</v>
      </c>
      <c r="G30" t="s">
        <v>262</v>
      </c>
      <c r="H30" s="1">
        <v>121</v>
      </c>
      <c r="I30" s="1">
        <v>46.59</v>
      </c>
      <c r="J30" s="10">
        <v>1.72</v>
      </c>
      <c r="K30" s="10">
        <f t="shared" ca="1" si="0"/>
        <v>5.1257779897299488E-2</v>
      </c>
      <c r="L30" s="7">
        <v>0.1719</v>
      </c>
      <c r="M30" s="7">
        <f t="shared" ca="1" si="1"/>
        <v>5.5838914745901004E-3</v>
      </c>
      <c r="N30" s="7">
        <v>0.97045999999999999</v>
      </c>
      <c r="O30" s="8">
        <v>5.8173360000000001</v>
      </c>
      <c r="P30" s="8">
        <f t="shared" ca="1" si="2"/>
        <v>0.18896664954210413</v>
      </c>
      <c r="Q30" s="9">
        <v>7.3520000000000002E-2</v>
      </c>
      <c r="R30" s="9">
        <f t="shared" ca="1" si="3"/>
        <v>1.5436891396910196E-3</v>
      </c>
      <c r="S30" s="8">
        <f t="shared" si="4"/>
        <v>0.46232551970033775</v>
      </c>
      <c r="T30" s="11">
        <v>5.4899999999999997E-2</v>
      </c>
      <c r="U30" s="11">
        <f t="shared" ca="1" si="5"/>
        <v>1.5542213484571624E-3</v>
      </c>
      <c r="V30" s="6" t="e">
        <f ca="1">IF(agePb6U8(1/O30)&lt;1400,age7corr(1/O30,Q30,$W$2),agePb76(Q30))</f>
        <v>#NAME?</v>
      </c>
      <c r="W30" s="6" t="e">
        <f ca="1">IF(agePb6U8(1/O30)&lt;1400,ageer7corr(V30,1/O30,P30/O30*(1/O30),Q30,R30,$W$2,0.05),ageerPb76(Q30,R30))</f>
        <v>#NAME?</v>
      </c>
      <c r="X30" s="4" t="e">
        <f ca="1">agePb6U8(L30)/agePb7u5(J30)</f>
        <v>#NAME?</v>
      </c>
      <c r="Y30" s="3"/>
      <c r="Z30" s="1">
        <v>1.72</v>
      </c>
      <c r="AA30" s="1">
        <v>3.7999999999999999E-2</v>
      </c>
      <c r="AB30" s="1">
        <v>0.1719</v>
      </c>
      <c r="AC30" s="1">
        <v>4.4000000000000003E-3</v>
      </c>
      <c r="AD30" s="1">
        <v>0.97045999999999999</v>
      </c>
      <c r="AE30" s="1">
        <v>5.8173360000000001</v>
      </c>
      <c r="AF30" s="1">
        <v>0.14890210000000001</v>
      </c>
      <c r="AG30" s="1">
        <v>7.3520000000000002E-2</v>
      </c>
      <c r="AH30" s="1">
        <v>4.6999999999999999E-4</v>
      </c>
      <c r="AI30" s="1">
        <v>9.4979000000000001E-3</v>
      </c>
      <c r="AJ30" s="1">
        <v>5.4899999999999997E-2</v>
      </c>
      <c r="AK30" s="1">
        <v>1.1000000000000001E-3</v>
      </c>
      <c r="AL30" s="1">
        <v>8.7560000000000002</v>
      </c>
      <c r="AM30" s="1">
        <v>3.5000000000000003E-2</v>
      </c>
      <c r="AN30" s="1">
        <v>1015</v>
      </c>
      <c r="AO30" s="1">
        <v>14</v>
      </c>
      <c r="AP30" s="1">
        <v>1022</v>
      </c>
      <c r="AQ30" s="1">
        <v>24</v>
      </c>
      <c r="AR30" s="1">
        <v>1081</v>
      </c>
      <c r="AS30" s="1">
        <v>22</v>
      </c>
      <c r="AT30" s="1">
        <v>1028</v>
      </c>
      <c r="AU30" s="1">
        <v>13</v>
      </c>
      <c r="AV30" s="1">
        <v>26.57</v>
      </c>
      <c r="AW30" s="1">
        <v>0.45</v>
      </c>
      <c r="AX30" s="1">
        <v>3.6930000000000001</v>
      </c>
      <c r="AY30" s="1">
        <v>6.4000000000000001E-2</v>
      </c>
      <c r="AZ30" s="1">
        <v>16499.97</v>
      </c>
      <c r="BA30" s="1">
        <v>229.77</v>
      </c>
      <c r="BB30" s="1">
        <v>13034.79</v>
      </c>
      <c r="BC30" s="1">
        <v>161.45999999999998</v>
      </c>
      <c r="BD30" s="1">
        <v>178289.1</v>
      </c>
      <c r="BE30" s="1">
        <v>2421.9</v>
      </c>
      <c r="BF30" s="1">
        <v>2.2976999999999999</v>
      </c>
      <c r="BG30" s="1">
        <v>5.2784999999999993</v>
      </c>
      <c r="BH30" s="1">
        <f t="shared" si="6"/>
        <v>77594.5945945946</v>
      </c>
      <c r="BI30" s="1">
        <f t="shared" si="7"/>
        <v>178260.96877606193</v>
      </c>
      <c r="BJ30" s="27">
        <v>1028</v>
      </c>
      <c r="BK30" s="27">
        <v>20.3</v>
      </c>
      <c r="BL30" s="27">
        <v>1022.1</v>
      </c>
      <c r="BM30" s="27">
        <v>30.9</v>
      </c>
      <c r="BN30" s="27">
        <v>1040.5999999999999</v>
      </c>
      <c r="BO30" s="27">
        <v>54.6</v>
      </c>
      <c r="BP30" s="27">
        <v>1027.9000000000001</v>
      </c>
      <c r="BQ30" s="27">
        <v>20.3</v>
      </c>
      <c r="BR30" s="27">
        <v>0.5</v>
      </c>
    </row>
    <row r="31" spans="1:70" s="23" customFormat="1" x14ac:dyDescent="0.2">
      <c r="A31" s="23" t="s">
        <v>269</v>
      </c>
      <c r="B31" s="23" t="s">
        <v>38</v>
      </c>
      <c r="C31" s="23" t="s">
        <v>270</v>
      </c>
      <c r="D31" s="23" t="s">
        <v>271</v>
      </c>
      <c r="E31" s="23">
        <v>82645</v>
      </c>
      <c r="F31" s="23">
        <v>44454</v>
      </c>
      <c r="G31" s="23" t="s">
        <v>271</v>
      </c>
      <c r="H31" s="24">
        <v>74.8</v>
      </c>
      <c r="I31" s="24">
        <v>67</v>
      </c>
      <c r="J31" s="25">
        <v>3.49</v>
      </c>
      <c r="K31" s="25">
        <f t="shared" ca="1" si="0"/>
        <v>0.13882377318024458</v>
      </c>
      <c r="L31" s="26">
        <v>0.191</v>
      </c>
      <c r="M31" s="26">
        <f t="shared" ca="1" si="1"/>
        <v>5.9793310662648539E-3</v>
      </c>
      <c r="N31" s="26">
        <v>0.10484</v>
      </c>
      <c r="O31" s="26">
        <v>5.2356020000000001</v>
      </c>
      <c r="P31" s="26">
        <f t="shared" ca="1" si="2"/>
        <v>0.1639025807300227</v>
      </c>
      <c r="Q31" s="25">
        <v>0.1331</v>
      </c>
      <c r="R31" s="25">
        <f t="shared" ca="1" si="3"/>
        <v>6.2005035279402909E-3</v>
      </c>
      <c r="S31" s="26">
        <f t="shared" si="4"/>
        <v>0.14211696403096125</v>
      </c>
      <c r="T31" s="25">
        <v>8.1000000000000003E-2</v>
      </c>
      <c r="U31" s="25">
        <f t="shared" ca="1" si="5"/>
        <v>1.0130370180797935E-2</v>
      </c>
      <c r="V31" s="24" t="e">
        <f ca="1">IF(agePb6U8(1/O31)&lt;1400,age7corr(1/O31,Q31,$W$2),agePb76(Q31))</f>
        <v>#NAME?</v>
      </c>
      <c r="W31" s="24" t="e">
        <f ca="1">IF(agePb6U8(1/O31)&lt;1400,ageer7corr(V31,1/O31,P31/O31*(1/O31),Q31,R31,$W$2,0.05),ageerPb76(Q31,R31))</f>
        <v>#NAME?</v>
      </c>
      <c r="X31" s="26" t="e">
        <f ca="1">agePb6U8(L31)/agePb7u5(J31)</f>
        <v>#NAME?</v>
      </c>
      <c r="Y31" s="24"/>
      <c r="Z31" s="24">
        <v>3.49</v>
      </c>
      <c r="AA31" s="24">
        <v>0.12</v>
      </c>
      <c r="AB31" s="24">
        <v>0.191</v>
      </c>
      <c r="AC31" s="24">
        <v>4.5999999999999999E-3</v>
      </c>
      <c r="AD31" s="24">
        <v>0.10484</v>
      </c>
      <c r="AE31" s="24">
        <v>5.2356020000000001</v>
      </c>
      <c r="AF31" s="24">
        <v>0.12609300000000001</v>
      </c>
      <c r="AG31" s="24">
        <v>0.1331</v>
      </c>
      <c r="AH31" s="24">
        <v>5.5999999999999999E-3</v>
      </c>
      <c r="AI31" s="24">
        <v>0.60777999999999999</v>
      </c>
      <c r="AJ31" s="24">
        <v>8.1000000000000003E-2</v>
      </c>
      <c r="AK31" s="24">
        <v>0.01</v>
      </c>
      <c r="AL31" s="24">
        <v>3.24</v>
      </c>
      <c r="AM31" s="24">
        <v>0.27</v>
      </c>
      <c r="AN31" s="24">
        <v>1523</v>
      </c>
      <c r="AO31" s="24">
        <v>27</v>
      </c>
      <c r="AP31" s="24">
        <v>1133</v>
      </c>
      <c r="AQ31" s="24">
        <v>27</v>
      </c>
      <c r="AR31" s="24">
        <v>1570</v>
      </c>
      <c r="AS31" s="24">
        <v>200</v>
      </c>
      <c r="AT31" s="24">
        <v>2129</v>
      </c>
      <c r="AU31" s="24">
        <v>77</v>
      </c>
      <c r="AV31" s="24">
        <v>16.41</v>
      </c>
      <c r="AW31" s="24">
        <v>0.69</v>
      </c>
      <c r="AX31" s="24">
        <v>5.3</v>
      </c>
      <c r="AY31" s="24">
        <v>1.1000000000000001</v>
      </c>
      <c r="AZ31" s="24">
        <v>32043.600000000002</v>
      </c>
      <c r="BA31" s="24">
        <v>3042.9</v>
      </c>
      <c r="BB31" s="24">
        <v>16208.1</v>
      </c>
      <c r="BC31" s="24">
        <v>993.6</v>
      </c>
      <c r="BD31" s="24">
        <v>122585.4</v>
      </c>
      <c r="BE31" s="24">
        <v>2546.1</v>
      </c>
      <c r="BF31" s="24">
        <v>521.64</v>
      </c>
      <c r="BG31" s="24">
        <v>68.31</v>
      </c>
      <c r="BH31" s="24">
        <f t="shared" si="6"/>
        <v>235</v>
      </c>
      <c r="BI31" s="24">
        <f t="shared" si="7"/>
        <v>31.158482773601708</v>
      </c>
      <c r="BJ31" s="27">
        <v>1526.8</v>
      </c>
      <c r="BK31" s="27">
        <v>40.1</v>
      </c>
      <c r="BL31" s="27">
        <v>1125.9000000000001</v>
      </c>
      <c r="BM31" s="27">
        <v>31.5</v>
      </c>
      <c r="BN31" s="27">
        <v>2137.1999999999998</v>
      </c>
      <c r="BO31" s="27">
        <v>78.900000000000006</v>
      </c>
      <c r="BP31" s="27">
        <v>1146.8</v>
      </c>
      <c r="BQ31" s="27">
        <v>34</v>
      </c>
      <c r="BR31" s="27">
        <v>43</v>
      </c>
    </row>
    <row r="32" spans="1:70" x14ac:dyDescent="0.2">
      <c r="A32" t="s">
        <v>272</v>
      </c>
      <c r="B32" t="s">
        <v>38</v>
      </c>
      <c r="C32" t="s">
        <v>273</v>
      </c>
      <c r="D32" t="s">
        <v>274</v>
      </c>
      <c r="E32">
        <v>82633</v>
      </c>
      <c r="F32">
        <v>44582</v>
      </c>
      <c r="G32" t="s">
        <v>274</v>
      </c>
      <c r="H32" s="1">
        <v>202.6</v>
      </c>
      <c r="I32" s="1">
        <v>193.1</v>
      </c>
      <c r="J32" s="10">
        <v>3.1949999999999998</v>
      </c>
      <c r="K32" s="10">
        <f t="shared" ca="1" si="0"/>
        <v>0.10634006770733222</v>
      </c>
      <c r="L32" s="7">
        <v>0.24929999999999999</v>
      </c>
      <c r="M32" s="7">
        <f t="shared" ca="1" si="1"/>
        <v>8.1920812984247159E-3</v>
      </c>
      <c r="N32" s="7">
        <v>0.99456999999999995</v>
      </c>
      <c r="O32" s="8">
        <v>4.0112310000000004</v>
      </c>
      <c r="P32" s="8">
        <f t="shared" ca="1" si="2"/>
        <v>0.13181043571035794</v>
      </c>
      <c r="Q32" s="9">
        <v>9.2670000000000002E-2</v>
      </c>
      <c r="R32" s="9">
        <f t="shared" ca="1" si="3"/>
        <v>1.8744309963292861E-3</v>
      </c>
      <c r="S32" s="8">
        <f t="shared" si="4"/>
        <v>0.5173499199620335</v>
      </c>
      <c r="T32" s="11">
        <v>8.1000000000000003E-2</v>
      </c>
      <c r="U32" s="11">
        <f t="shared" ca="1" si="5"/>
        <v>2.3482759633399134E-3</v>
      </c>
      <c r="V32" s="6" t="e">
        <f ca="1">IF(agePb6U8(1/O32)&lt;1400,age7corr(1/O32,Q32,$W$2),agePb76(Q32))</f>
        <v>#NAME?</v>
      </c>
      <c r="W32" s="6" t="e">
        <f ca="1">IF(agePb6U8(1/O32)&lt;1400,ageer7corr(V32,1/O32,P32/O32*(1/O32),Q32,R32,$W$2,0.05),ageerPb76(Q32,R32))</f>
        <v>#NAME?</v>
      </c>
      <c r="X32" s="4" t="e">
        <f ca="1">agePb6U8(L32)/agePb7u5(J32)</f>
        <v>#NAME?</v>
      </c>
      <c r="Y32" s="3"/>
      <c r="Z32" s="1">
        <v>3.1949999999999998</v>
      </c>
      <c r="AA32" s="1">
        <v>8.5000000000000006E-2</v>
      </c>
      <c r="AB32" s="1">
        <v>0.24929999999999999</v>
      </c>
      <c r="AC32" s="1">
        <v>6.4999999999999997E-3</v>
      </c>
      <c r="AD32" s="1">
        <v>0.99456999999999995</v>
      </c>
      <c r="AE32" s="1">
        <v>4.0112310000000004</v>
      </c>
      <c r="AF32" s="1">
        <v>0.10458489999999999</v>
      </c>
      <c r="AG32" s="1">
        <v>9.2670000000000002E-2</v>
      </c>
      <c r="AH32" s="1">
        <v>2.7999999999999998E-4</v>
      </c>
      <c r="AI32" s="1">
        <v>-0.21592</v>
      </c>
      <c r="AJ32" s="1">
        <v>8.1000000000000003E-2</v>
      </c>
      <c r="AK32" s="1">
        <v>1.6999999999999999E-3</v>
      </c>
      <c r="AL32" s="1">
        <v>3.5068999999999999</v>
      </c>
      <c r="AM32" s="1">
        <v>6.1000000000000004E-3</v>
      </c>
      <c r="AN32" s="1">
        <v>1455</v>
      </c>
      <c r="AO32" s="1">
        <v>21</v>
      </c>
      <c r="AP32" s="1">
        <v>1434</v>
      </c>
      <c r="AQ32" s="1">
        <v>34</v>
      </c>
      <c r="AR32" s="1">
        <v>1574</v>
      </c>
      <c r="AS32" s="1">
        <v>32</v>
      </c>
      <c r="AT32" s="1">
        <v>1481.1</v>
      </c>
      <c r="AU32" s="1">
        <v>5.8</v>
      </c>
      <c r="AV32" s="1">
        <v>44.46</v>
      </c>
      <c r="AW32" s="1">
        <v>0.71</v>
      </c>
      <c r="AX32" s="1">
        <v>15.299999999999999</v>
      </c>
      <c r="AY32" s="1">
        <v>0.34</v>
      </c>
      <c r="AZ32" s="1">
        <v>99794.7</v>
      </c>
      <c r="BA32" s="1">
        <v>1925.1</v>
      </c>
      <c r="BB32" s="1">
        <v>40054.499999999993</v>
      </c>
      <c r="BC32" s="1">
        <v>807.3</v>
      </c>
      <c r="BD32" s="1">
        <v>431594.99999999994</v>
      </c>
      <c r="BE32" s="1">
        <v>8072.9999999999982</v>
      </c>
      <c r="BF32" s="1">
        <v>4.3470000000000004</v>
      </c>
      <c r="BG32" s="1">
        <v>5.6510999999999996</v>
      </c>
      <c r="BH32" s="1">
        <f t="shared" si="6"/>
        <v>99285.714285714261</v>
      </c>
      <c r="BI32" s="1">
        <f t="shared" si="7"/>
        <v>129084.78861996564</v>
      </c>
      <c r="BJ32" s="27">
        <v>1456.3</v>
      </c>
      <c r="BK32" s="27">
        <v>21.7</v>
      </c>
      <c r="BL32" s="27">
        <v>1435.3</v>
      </c>
      <c r="BM32" s="27">
        <v>41.7</v>
      </c>
      <c r="BN32" s="27">
        <v>1487</v>
      </c>
      <c r="BO32" s="27">
        <v>40.700000000000003</v>
      </c>
      <c r="BP32" s="27">
        <v>1461.6</v>
      </c>
      <c r="BQ32" s="27">
        <v>20.399999999999999</v>
      </c>
      <c r="BR32" s="27">
        <v>1.5</v>
      </c>
    </row>
    <row r="33" spans="1:70" x14ac:dyDescent="0.2">
      <c r="A33" t="s">
        <v>275</v>
      </c>
      <c r="B33" t="s">
        <v>38</v>
      </c>
      <c r="C33" t="s">
        <v>276</v>
      </c>
      <c r="D33" t="s">
        <v>277</v>
      </c>
      <c r="E33">
        <v>82712</v>
      </c>
      <c r="F33">
        <v>44707</v>
      </c>
      <c r="G33" t="s">
        <v>277</v>
      </c>
      <c r="H33" s="1">
        <v>164.5</v>
      </c>
      <c r="I33" s="1">
        <v>89.7</v>
      </c>
      <c r="J33" s="10">
        <v>2.89</v>
      </c>
      <c r="K33" s="10">
        <f t="shared" ca="1" si="0"/>
        <v>9.6280008309098108E-2</v>
      </c>
      <c r="L33" s="7">
        <v>0.2331</v>
      </c>
      <c r="M33" s="7">
        <f t="shared" ca="1" si="1"/>
        <v>7.2865797189079051E-3</v>
      </c>
      <c r="N33" s="7">
        <v>0.98385</v>
      </c>
      <c r="O33" s="8">
        <v>4.2900039999999997</v>
      </c>
      <c r="P33" s="8">
        <f t="shared" ca="1" si="2"/>
        <v>0.13410323233332744</v>
      </c>
      <c r="Q33" s="9">
        <v>8.9190000000000005E-2</v>
      </c>
      <c r="R33" s="9">
        <f t="shared" ca="1" si="3"/>
        <v>1.8396854187605011E-3</v>
      </c>
      <c r="S33" s="8">
        <f t="shared" si="4"/>
        <v>0.51583261637632161</v>
      </c>
      <c r="T33" s="11">
        <v>8.0799999999999997E-2</v>
      </c>
      <c r="U33" s="11">
        <f t="shared" ca="1" si="5"/>
        <v>2.4189782967195053E-3</v>
      </c>
      <c r="V33" s="6" t="e">
        <f ca="1">IF(agePb6U8(1/O33)&lt;1400,age7corr(1/O33,Q33,$W$2),agePb76(Q33))</f>
        <v>#NAME?</v>
      </c>
      <c r="W33" s="6" t="e">
        <f ca="1">IF(agePb6U8(1/O33)&lt;1400,ageer7corr(V33,1/O33,P33/O33*(1/O33),Q33,R33,$W$2,0.05),ageerPb76(Q33,R33))</f>
        <v>#NAME?</v>
      </c>
      <c r="X33" s="4" t="e">
        <f ca="1">agePb6U8(L33)/agePb7u5(J33)</f>
        <v>#NAME?</v>
      </c>
      <c r="Y33" s="3"/>
      <c r="Z33" s="1">
        <v>2.89</v>
      </c>
      <c r="AA33" s="1">
        <v>7.6999999999999999E-2</v>
      </c>
      <c r="AB33" s="1">
        <v>0.2331</v>
      </c>
      <c r="AC33" s="1">
        <v>5.5999999999999999E-3</v>
      </c>
      <c r="AD33" s="1">
        <v>0.98385</v>
      </c>
      <c r="AE33" s="1">
        <v>4.2900039999999997</v>
      </c>
      <c r="AF33" s="1">
        <v>0.10306319999999999</v>
      </c>
      <c r="AG33" s="1">
        <v>8.9190000000000005E-2</v>
      </c>
      <c r="AH33" s="1">
        <v>4.4999999999999999E-4</v>
      </c>
      <c r="AI33" s="1">
        <v>3.7624999999999999E-2</v>
      </c>
      <c r="AJ33" s="1">
        <v>8.0799999999999997E-2</v>
      </c>
      <c r="AK33" s="1">
        <v>1.8E-3</v>
      </c>
      <c r="AL33" s="1">
        <v>5.742</v>
      </c>
      <c r="AM33" s="1">
        <v>4.7E-2</v>
      </c>
      <c r="AN33" s="1">
        <v>1378</v>
      </c>
      <c r="AO33" s="1">
        <v>20</v>
      </c>
      <c r="AP33" s="1">
        <v>1358</v>
      </c>
      <c r="AQ33" s="1">
        <v>32</v>
      </c>
      <c r="AR33" s="1">
        <v>1571</v>
      </c>
      <c r="AS33" s="1">
        <v>34</v>
      </c>
      <c r="AT33" s="1">
        <v>1408.2</v>
      </c>
      <c r="AU33" s="1">
        <v>9.6999999999999993</v>
      </c>
      <c r="AV33" s="1">
        <v>36.089999999999996</v>
      </c>
      <c r="AW33" s="1">
        <v>0.56999999999999995</v>
      </c>
      <c r="AX33" s="1">
        <v>7.11</v>
      </c>
      <c r="AY33" s="1">
        <v>0.31</v>
      </c>
      <c r="AZ33" s="1">
        <v>46823.4</v>
      </c>
      <c r="BA33" s="1">
        <v>993.6</v>
      </c>
      <c r="BB33" s="1">
        <v>29739.69</v>
      </c>
      <c r="BC33" s="1">
        <v>434.7</v>
      </c>
      <c r="BD33" s="1">
        <v>332359.2</v>
      </c>
      <c r="BE33" s="1">
        <v>5216.3999999999996</v>
      </c>
      <c r="BF33" s="1">
        <v>21.610800000000001</v>
      </c>
      <c r="BG33" s="1">
        <v>5.2784999999999993</v>
      </c>
      <c r="BH33" s="1">
        <f t="shared" si="6"/>
        <v>15379.310344827585</v>
      </c>
      <c r="BI33" s="1">
        <f t="shared" si="7"/>
        <v>3764.187965982248</v>
      </c>
      <c r="BJ33" s="27">
        <v>1371.2</v>
      </c>
      <c r="BK33" s="27">
        <v>20.100000000000001</v>
      </c>
      <c r="BL33" s="27">
        <v>1350.7</v>
      </c>
      <c r="BM33" s="27">
        <v>36.9</v>
      </c>
      <c r="BN33" s="27">
        <v>1403.3</v>
      </c>
      <c r="BO33" s="27">
        <v>43</v>
      </c>
      <c r="BP33" s="27">
        <v>1374.4</v>
      </c>
      <c r="BQ33" s="27">
        <v>19.7</v>
      </c>
      <c r="BR33" s="27">
        <v>1.4</v>
      </c>
    </row>
    <row r="34" spans="1:70" s="23" customFormat="1" x14ac:dyDescent="0.2">
      <c r="A34" s="23" t="s">
        <v>278</v>
      </c>
      <c r="B34" s="23" t="s">
        <v>38</v>
      </c>
      <c r="C34" s="23" t="s">
        <v>279</v>
      </c>
      <c r="D34" s="23" t="s">
        <v>280</v>
      </c>
      <c r="E34" s="23">
        <v>82076</v>
      </c>
      <c r="F34" s="23">
        <v>40295</v>
      </c>
      <c r="G34" s="23" t="s">
        <v>280</v>
      </c>
      <c r="H34" s="24">
        <v>120.4</v>
      </c>
      <c r="I34" s="24">
        <v>74.599999999999994</v>
      </c>
      <c r="J34" s="25">
        <v>6.01</v>
      </c>
      <c r="K34" s="25">
        <f t="shared" ca="1" si="0"/>
        <v>0.5727547817347316</v>
      </c>
      <c r="L34" s="26">
        <v>0.29980000000000001</v>
      </c>
      <c r="M34" s="26">
        <f t="shared" ca="1" si="1"/>
        <v>9.9976005121228968E-3</v>
      </c>
      <c r="N34" s="26">
        <v>0.90737999999999996</v>
      </c>
      <c r="O34" s="26">
        <v>3.3355570000000001</v>
      </c>
      <c r="P34" s="26">
        <f t="shared" ca="1" si="2"/>
        <v>0.1112327136988058</v>
      </c>
      <c r="Q34" s="25">
        <v>0.14899999999999999</v>
      </c>
      <c r="R34" s="25">
        <f t="shared" ca="1" si="3"/>
        <v>1.3337181111464296E-2</v>
      </c>
      <c r="S34" s="26">
        <f t="shared" si="4"/>
        <v>0.16014446152753975</v>
      </c>
      <c r="T34" s="25">
        <v>0.13600000000000001</v>
      </c>
      <c r="U34" s="25">
        <f t="shared" ca="1" si="5"/>
        <v>1.6229553290217202E-2</v>
      </c>
      <c r="V34" s="24" t="e">
        <f ca="1">IF(agePb6U8(1/O34)&lt;1400,age7corr(1/O34,Q34,$W$2),agePb76(Q34))</f>
        <v>#NAME?</v>
      </c>
      <c r="W34" s="24" t="e">
        <f ca="1">IF(agePb6U8(1/O34)&lt;1400,ageer7corr(V34,1/O34,P34/O34*(1/O34),Q34,R34,$W$2,0.05),ageerPb76(Q34,R34))</f>
        <v>#NAME?</v>
      </c>
      <c r="X34" s="26" t="e">
        <f ca="1">agePb6U8(L34)/agePb7u5(J34)</f>
        <v>#NAME?</v>
      </c>
      <c r="Y34" s="24"/>
      <c r="Z34" s="24">
        <v>6.01</v>
      </c>
      <c r="AA34" s="24">
        <v>0.56000000000000005</v>
      </c>
      <c r="AB34" s="24">
        <v>0.29980000000000001</v>
      </c>
      <c r="AC34" s="24">
        <v>8.0000000000000002E-3</v>
      </c>
      <c r="AD34" s="24">
        <v>0.90737999999999996</v>
      </c>
      <c r="AE34" s="24">
        <v>3.3355570000000001</v>
      </c>
      <c r="AF34" s="24">
        <v>8.9007530000000001E-2</v>
      </c>
      <c r="AG34" s="24">
        <v>0.14899999999999999</v>
      </c>
      <c r="AH34" s="24">
        <v>1.2999999999999999E-2</v>
      </c>
      <c r="AI34" s="24">
        <v>-0.83026</v>
      </c>
      <c r="AJ34" s="24">
        <v>0.13600000000000001</v>
      </c>
      <c r="AK34" s="24">
        <v>1.6E-2</v>
      </c>
      <c r="AL34" s="24">
        <v>3.81</v>
      </c>
      <c r="AM34" s="24">
        <v>0.38</v>
      </c>
      <c r="AN34" s="24">
        <v>1988</v>
      </c>
      <c r="AO34" s="24">
        <v>87</v>
      </c>
      <c r="AP34" s="24">
        <v>1690</v>
      </c>
      <c r="AQ34" s="24">
        <v>39</v>
      </c>
      <c r="AR34" s="24">
        <v>2570</v>
      </c>
      <c r="AS34" s="24">
        <v>280</v>
      </c>
      <c r="AT34" s="24">
        <v>2300</v>
      </c>
      <c r="AU34" s="24">
        <v>130</v>
      </c>
      <c r="AV34" s="24">
        <v>26.419999999999998</v>
      </c>
      <c r="AW34" s="24">
        <v>0.34</v>
      </c>
      <c r="AX34" s="24">
        <v>5.91</v>
      </c>
      <c r="AY34" s="24">
        <v>0.15</v>
      </c>
      <c r="AZ34" s="24">
        <v>65205</v>
      </c>
      <c r="BA34" s="24">
        <v>8072.9999999999982</v>
      </c>
      <c r="BB34" s="24">
        <v>44525.7</v>
      </c>
      <c r="BC34" s="24">
        <v>4222.8</v>
      </c>
      <c r="BD34" s="24">
        <v>304352.09999999998</v>
      </c>
      <c r="BE34" s="24">
        <v>5713.2</v>
      </c>
      <c r="BF34" s="24">
        <v>1080.54</v>
      </c>
      <c r="BG34" s="24">
        <v>298.08</v>
      </c>
      <c r="BH34" s="24">
        <f t="shared" si="6"/>
        <v>281.66666666666663</v>
      </c>
      <c r="BI34" s="24">
        <f t="shared" si="7"/>
        <v>77.880836916952319</v>
      </c>
      <c r="BJ34" s="27">
        <v>1997.1</v>
      </c>
      <c r="BK34" s="27">
        <v>77</v>
      </c>
      <c r="BL34" s="27">
        <v>1688.3</v>
      </c>
      <c r="BM34" s="27">
        <v>48.9</v>
      </c>
      <c r="BN34" s="27">
        <v>2333.6999999999998</v>
      </c>
      <c r="BO34" s="27">
        <v>149.4</v>
      </c>
      <c r="BP34" s="27">
        <v>1732.9</v>
      </c>
      <c r="BQ34" s="27">
        <v>48.3</v>
      </c>
      <c r="BR34" s="27">
        <v>27</v>
      </c>
    </row>
    <row r="35" spans="1:70" x14ac:dyDescent="0.2">
      <c r="A35" t="s">
        <v>149</v>
      </c>
      <c r="B35" t="s">
        <v>38</v>
      </c>
      <c r="C35" t="s">
        <v>150</v>
      </c>
      <c r="D35" t="s">
        <v>151</v>
      </c>
      <c r="E35">
        <v>82896</v>
      </c>
      <c r="F35">
        <v>40659</v>
      </c>
      <c r="G35" t="s">
        <v>151</v>
      </c>
      <c r="H35" s="1">
        <v>56.69</v>
      </c>
      <c r="I35" s="1">
        <v>17.41</v>
      </c>
      <c r="J35" s="10">
        <v>2.056</v>
      </c>
      <c r="K35" s="10">
        <f t="shared" ca="1" si="0"/>
        <v>5.8778009493347085E-2</v>
      </c>
      <c r="L35" s="7">
        <v>0.1918</v>
      </c>
      <c r="M35" s="7">
        <f t="shared" ca="1" si="1"/>
        <v>4.995487563791947E-3</v>
      </c>
      <c r="N35" s="7">
        <v>0.87687000000000004</v>
      </c>
      <c r="O35" s="8">
        <v>5.2137640000000003</v>
      </c>
      <c r="P35" s="8">
        <f t="shared" ca="1" si="2"/>
        <v>0.13579402238869279</v>
      </c>
      <c r="Q35" s="9">
        <v>7.7869999999999995E-2</v>
      </c>
      <c r="R35" s="9">
        <f t="shared" ca="1" si="3"/>
        <v>1.7199984767435116E-3</v>
      </c>
      <c r="S35" s="8">
        <f t="shared" si="4"/>
        <v>0.40936270745801195</v>
      </c>
      <c r="T35" s="11">
        <v>5.4800000000000001E-2</v>
      </c>
      <c r="U35" s="11">
        <f t="shared" ca="1" si="5"/>
        <v>1.8577448694586673E-3</v>
      </c>
      <c r="V35" s="6" t="e">
        <f ca="1">IF(agePb6U8(1/O35)&lt;1400,age7corr(1/O35,Q35,$W$2),agePb76(Q35))</f>
        <v>#NAME?</v>
      </c>
      <c r="W35" s="6" t="e">
        <f ca="1">IF(agePb6U8(1/O35)&lt;1400,ageer7corr(V35,1/O35,P35/O35*(1/O35),Q35,R35,$W$2,0.05),ageerPb76(Q35,R35))</f>
        <v>#NAME?</v>
      </c>
      <c r="X35" s="4" t="e">
        <f ca="1">agePb6U8(L35)/agePb7u5(J35)</f>
        <v>#NAME?</v>
      </c>
      <c r="Y35" s="3"/>
      <c r="Z35" s="1">
        <v>2.056</v>
      </c>
      <c r="AA35" s="1">
        <v>4.2000000000000003E-2</v>
      </c>
      <c r="AB35" s="1">
        <v>0.1918</v>
      </c>
      <c r="AC35" s="1">
        <v>3.2000000000000002E-3</v>
      </c>
      <c r="AD35" s="1">
        <v>0.87687000000000004</v>
      </c>
      <c r="AE35" s="1">
        <v>5.2137640000000003</v>
      </c>
      <c r="AF35" s="1">
        <v>8.6986679999999997E-2</v>
      </c>
      <c r="AG35" s="1">
        <v>7.7869999999999995E-2</v>
      </c>
      <c r="AH35" s="1">
        <v>7.2999999999999996E-4</v>
      </c>
      <c r="AI35" s="1">
        <v>2.8542000000000001E-2</v>
      </c>
      <c r="AJ35" s="1">
        <v>5.4800000000000001E-2</v>
      </c>
      <c r="AK35" s="1">
        <v>1.5E-3</v>
      </c>
      <c r="AL35" s="1">
        <v>12.438000000000001</v>
      </c>
      <c r="AM35" s="1">
        <v>7.1999999999999995E-2</v>
      </c>
      <c r="AN35" s="1">
        <v>1134</v>
      </c>
      <c r="AO35" s="1">
        <v>14</v>
      </c>
      <c r="AP35" s="1">
        <v>1131</v>
      </c>
      <c r="AQ35" s="1">
        <v>17</v>
      </c>
      <c r="AR35" s="1">
        <v>1078</v>
      </c>
      <c r="AS35" s="1">
        <v>30</v>
      </c>
      <c r="AT35" s="1">
        <v>1143</v>
      </c>
      <c r="AU35" s="1">
        <v>19</v>
      </c>
      <c r="AV35" s="1">
        <v>12.49</v>
      </c>
      <c r="AW35" s="1">
        <v>0.21000000000000002</v>
      </c>
      <c r="AX35" s="1">
        <v>1.3819999999999999</v>
      </c>
      <c r="AY35" s="1">
        <v>2.5999999999999999E-2</v>
      </c>
      <c r="AZ35" s="1">
        <v>6147.9</v>
      </c>
      <c r="BA35" s="1">
        <v>80.72999999999999</v>
      </c>
      <c r="BB35" s="1">
        <v>7228.4400000000005</v>
      </c>
      <c r="BC35" s="1">
        <v>99.359999999999985</v>
      </c>
      <c r="BD35" s="1">
        <v>92839.5</v>
      </c>
      <c r="BE35" s="1">
        <v>1179.8999999999999</v>
      </c>
      <c r="BF35" s="1">
        <v>5.4027000000000003</v>
      </c>
      <c r="BG35" s="1">
        <v>4.7196000000000007</v>
      </c>
      <c r="BH35" s="1">
        <f t="shared" si="6"/>
        <v>17183.908045977012</v>
      </c>
      <c r="BI35" s="1">
        <f t="shared" si="7"/>
        <v>15012.818561884982</v>
      </c>
      <c r="BJ35" s="27">
        <v>1136.7</v>
      </c>
      <c r="BK35" s="27">
        <v>19.5</v>
      </c>
      <c r="BL35" s="27">
        <v>1131.9000000000001</v>
      </c>
      <c r="BM35" s="27">
        <v>27.9</v>
      </c>
      <c r="BN35" s="27">
        <v>1146</v>
      </c>
      <c r="BO35" s="27">
        <v>50.9</v>
      </c>
      <c r="BP35" s="27">
        <v>1136.0999999999999</v>
      </c>
      <c r="BQ35" s="27">
        <v>19.3</v>
      </c>
      <c r="BR35" s="27">
        <v>0.37</v>
      </c>
    </row>
    <row r="36" spans="1:70" x14ac:dyDescent="0.2">
      <c r="A36" t="s">
        <v>281</v>
      </c>
      <c r="B36" t="s">
        <v>38</v>
      </c>
      <c r="C36" t="s">
        <v>282</v>
      </c>
      <c r="D36" t="s">
        <v>283</v>
      </c>
      <c r="E36">
        <v>82033</v>
      </c>
      <c r="F36">
        <v>40803</v>
      </c>
      <c r="G36" t="s">
        <v>283</v>
      </c>
      <c r="H36" s="1">
        <v>120.5</v>
      </c>
      <c r="I36" s="1">
        <v>57.4</v>
      </c>
      <c r="J36" s="10">
        <v>1.877</v>
      </c>
      <c r="K36" s="10">
        <f t="shared" ca="1" si="0"/>
        <v>6.1727235479972699E-2</v>
      </c>
      <c r="L36" s="7">
        <v>0.17469999999999999</v>
      </c>
      <c r="M36" s="7">
        <f t="shared" ca="1" si="1"/>
        <v>5.3111237982182268E-3</v>
      </c>
      <c r="N36" s="7">
        <v>0.96733000000000002</v>
      </c>
      <c r="O36" s="8">
        <v>5.7240979999999997</v>
      </c>
      <c r="P36" s="8">
        <f t="shared" ca="1" si="2"/>
        <v>0.17402056576991579</v>
      </c>
      <c r="Q36" s="9">
        <v>7.7649999999999997E-2</v>
      </c>
      <c r="R36" s="9">
        <f t="shared" ca="1" si="3"/>
        <v>1.647516009026923E-3</v>
      </c>
      <c r="S36" s="8">
        <f t="shared" si="4"/>
        <v>0.40160874804641117</v>
      </c>
      <c r="T36" s="11">
        <v>5.2400000000000002E-2</v>
      </c>
      <c r="U36" s="11">
        <f t="shared" ca="1" si="5"/>
        <v>1.6698215473516923E-3</v>
      </c>
      <c r="V36" s="6" t="e">
        <f ca="1">IF(agePb6U8(1/O36)&lt;1400,age7corr(1/O36,Q36,$W$2),agePb76(Q36))</f>
        <v>#NAME?</v>
      </c>
      <c r="W36" s="6" t="e">
        <f ca="1">IF(agePb6U8(1/O36)&lt;1400,ageer7corr(V36,1/O36,P36/O36*(1/O36),Q36,R36,$W$2,0.05),ageerPb76(Q36,R36))</f>
        <v>#NAME?</v>
      </c>
      <c r="X36" s="4" t="e">
        <f ca="1">agePb6U8(L36)/agePb7u5(J36)</f>
        <v>#NAME?</v>
      </c>
      <c r="Y36" s="3"/>
      <c r="Z36" s="1">
        <v>1.877</v>
      </c>
      <c r="AA36" s="1">
        <v>4.9000000000000002E-2</v>
      </c>
      <c r="AB36" s="1">
        <v>0.17469999999999999</v>
      </c>
      <c r="AC36" s="1">
        <v>4.0000000000000001E-3</v>
      </c>
      <c r="AD36" s="1">
        <v>0.96733000000000002</v>
      </c>
      <c r="AE36" s="1">
        <v>5.7240979999999997</v>
      </c>
      <c r="AF36" s="1">
        <v>0.13106119999999999</v>
      </c>
      <c r="AG36" s="1">
        <v>7.7649999999999997E-2</v>
      </c>
      <c r="AH36" s="1">
        <v>5.5000000000000003E-4</v>
      </c>
      <c r="AI36" s="1">
        <v>-0.22076000000000001</v>
      </c>
      <c r="AJ36" s="1">
        <v>5.2400000000000002E-2</v>
      </c>
      <c r="AK36" s="1">
        <v>1.2999999999999999E-3</v>
      </c>
      <c r="AL36" s="1">
        <v>7.5730000000000004</v>
      </c>
      <c r="AM36" s="1">
        <v>5.1999999999999998E-2</v>
      </c>
      <c r="AN36" s="1">
        <v>1072</v>
      </c>
      <c r="AO36" s="1">
        <v>17</v>
      </c>
      <c r="AP36" s="1">
        <v>1038</v>
      </c>
      <c r="AQ36" s="1">
        <v>22</v>
      </c>
      <c r="AR36" s="1">
        <v>1032</v>
      </c>
      <c r="AS36" s="1">
        <v>25</v>
      </c>
      <c r="AT36" s="1">
        <v>1138</v>
      </c>
      <c r="AU36" s="1">
        <v>14</v>
      </c>
      <c r="AV36" s="1">
        <v>26.43</v>
      </c>
      <c r="AW36" s="1">
        <v>0.51</v>
      </c>
      <c r="AX36" s="1">
        <v>4.5469999999999997</v>
      </c>
      <c r="AY36" s="1">
        <v>7.9000000000000001E-2</v>
      </c>
      <c r="AZ36" s="1">
        <v>19375.2</v>
      </c>
      <c r="BA36" s="1">
        <v>316.71000000000004</v>
      </c>
      <c r="BB36" s="1">
        <v>14040.81</v>
      </c>
      <c r="BC36" s="1">
        <v>223.56</v>
      </c>
      <c r="BD36" s="1">
        <v>180959.4</v>
      </c>
      <c r="BE36" s="1">
        <v>2608.1999999999998</v>
      </c>
      <c r="BF36" s="1">
        <v>34.776000000000003</v>
      </c>
      <c r="BG36" s="1">
        <v>9.9359999999999999</v>
      </c>
      <c r="BH36" s="1">
        <f t="shared" si="6"/>
        <v>5203.5714285714275</v>
      </c>
      <c r="BI36" s="1">
        <f t="shared" si="7"/>
        <v>1488.6252214641447</v>
      </c>
      <c r="BJ36" s="27">
        <v>1073.8</v>
      </c>
      <c r="BK36" s="27">
        <v>20.2</v>
      </c>
      <c r="BL36" s="27">
        <v>1038.5999999999999</v>
      </c>
      <c r="BM36" s="27">
        <v>28.5</v>
      </c>
      <c r="BN36" s="27">
        <v>1146</v>
      </c>
      <c r="BO36" s="27">
        <v>50.9</v>
      </c>
      <c r="BP36" s="27">
        <v>1070.5999999999999</v>
      </c>
      <c r="BQ36" s="27">
        <v>20.399999999999999</v>
      </c>
      <c r="BR36" s="27">
        <v>2.9</v>
      </c>
    </row>
    <row r="37" spans="1:70" x14ac:dyDescent="0.2">
      <c r="A37" t="s">
        <v>284</v>
      </c>
      <c r="B37" t="s">
        <v>38</v>
      </c>
      <c r="C37" t="s">
        <v>285</v>
      </c>
      <c r="D37" t="s">
        <v>286</v>
      </c>
      <c r="E37">
        <v>82037</v>
      </c>
      <c r="F37">
        <v>41233</v>
      </c>
      <c r="G37" t="s">
        <v>286</v>
      </c>
      <c r="H37" s="1">
        <v>86.4</v>
      </c>
      <c r="I37" s="1">
        <v>65.5</v>
      </c>
      <c r="J37" s="10">
        <v>2.1269999999999998</v>
      </c>
      <c r="K37" s="10">
        <f t="shared" ca="1" si="0"/>
        <v>7.6017442735203875E-2</v>
      </c>
      <c r="L37" s="7">
        <v>0.18890000000000001</v>
      </c>
      <c r="M37" s="7">
        <f t="shared" ca="1" si="1"/>
        <v>6.187348705221001E-3</v>
      </c>
      <c r="N37" s="7">
        <v>0.96287</v>
      </c>
      <c r="O37" s="8">
        <v>5.293806</v>
      </c>
      <c r="P37" s="8">
        <f t="shared" ca="1" si="2"/>
        <v>0.17339664894831275</v>
      </c>
      <c r="Q37" s="9">
        <v>8.0820000000000003E-2</v>
      </c>
      <c r="R37" s="9">
        <f t="shared" ca="1" si="3"/>
        <v>1.7241661636860875E-3</v>
      </c>
      <c r="S37" s="8">
        <f t="shared" si="4"/>
        <v>0.4108576005296411</v>
      </c>
      <c r="T37" s="11">
        <v>5.4399999999999997E-2</v>
      </c>
      <c r="U37" s="11">
        <f t="shared" ca="1" si="5"/>
        <v>1.9348757066023647E-3</v>
      </c>
      <c r="V37" s="6" t="e">
        <f ca="1">IF(agePb6U8(1/O37)&lt;1400,age7corr(1/O37,Q37,$W$2),agePb76(Q37))</f>
        <v>#NAME?</v>
      </c>
      <c r="W37" s="6" t="e">
        <f ca="1">IF(agePb6U8(1/O37)&lt;1400,ageer7corr(V37,1/O37,P37/O37*(1/O37),Q37,R37,$W$2,0.05),ageerPb76(Q37,R37))</f>
        <v>#NAME?</v>
      </c>
      <c r="X37" s="4" t="e">
        <f ca="1">agePb6U8(L37)/agePb7u5(J37)</f>
        <v>#NAME?</v>
      </c>
      <c r="Y37" s="3"/>
      <c r="Z37" s="1">
        <v>2.1269999999999998</v>
      </c>
      <c r="AA37" s="1">
        <v>6.3E-2</v>
      </c>
      <c r="AB37" s="1">
        <v>0.18890000000000001</v>
      </c>
      <c r="AC37" s="1">
        <v>4.8999999999999998E-3</v>
      </c>
      <c r="AD37" s="1">
        <v>0.96287</v>
      </c>
      <c r="AE37" s="1">
        <v>5.293806</v>
      </c>
      <c r="AF37" s="1">
        <v>0.13731950000000001</v>
      </c>
      <c r="AG37" s="1">
        <v>8.0820000000000003E-2</v>
      </c>
      <c r="AH37" s="1">
        <v>5.9999999999999995E-4</v>
      </c>
      <c r="AI37" s="1">
        <v>0.12313</v>
      </c>
      <c r="AJ37" s="1">
        <v>5.4399999999999997E-2</v>
      </c>
      <c r="AK37" s="1">
        <v>1.6000000000000001E-3</v>
      </c>
      <c r="AL37" s="1">
        <v>4.91</v>
      </c>
      <c r="AM37" s="1">
        <v>0.1</v>
      </c>
      <c r="AN37" s="1">
        <v>1157</v>
      </c>
      <c r="AO37" s="1">
        <v>20</v>
      </c>
      <c r="AP37" s="1">
        <v>1115</v>
      </c>
      <c r="AQ37" s="1">
        <v>27</v>
      </c>
      <c r="AR37" s="1">
        <v>1070</v>
      </c>
      <c r="AS37" s="1">
        <v>31</v>
      </c>
      <c r="AT37" s="1">
        <v>1217</v>
      </c>
      <c r="AU37" s="1">
        <v>15</v>
      </c>
      <c r="AV37" s="1">
        <v>19</v>
      </c>
      <c r="AW37" s="1">
        <v>1.9</v>
      </c>
      <c r="AX37" s="1">
        <v>5.19</v>
      </c>
      <c r="AY37" s="1">
        <v>0.5</v>
      </c>
      <c r="AZ37" s="1">
        <v>23039.1</v>
      </c>
      <c r="BA37" s="1">
        <v>2173.5</v>
      </c>
      <c r="BB37" s="1">
        <v>11178.000000000002</v>
      </c>
      <c r="BC37" s="1">
        <v>807.3</v>
      </c>
      <c r="BD37" s="1">
        <v>138483.00000000003</v>
      </c>
      <c r="BE37" s="1">
        <v>9936</v>
      </c>
      <c r="BF37" s="1">
        <v>37.26</v>
      </c>
      <c r="BG37" s="1">
        <v>6.2099999999999991</v>
      </c>
      <c r="BH37" s="1">
        <f t="shared" si="6"/>
        <v>3716.6666666666674</v>
      </c>
      <c r="BI37" s="1">
        <f t="shared" si="7"/>
        <v>674.40531645605938</v>
      </c>
      <c r="BJ37" s="27">
        <v>1152.2</v>
      </c>
      <c r="BK37" s="27">
        <v>21.7</v>
      </c>
      <c r="BL37" s="27">
        <v>1116.2</v>
      </c>
      <c r="BM37" s="27">
        <v>32.9</v>
      </c>
      <c r="BN37" s="27">
        <v>1220.5999999999999</v>
      </c>
      <c r="BO37" s="27">
        <v>48.5</v>
      </c>
      <c r="BP37" s="27">
        <v>1153.9000000000001</v>
      </c>
      <c r="BQ37" s="27">
        <v>21.9</v>
      </c>
      <c r="BR37" s="27">
        <v>2.9</v>
      </c>
    </row>
    <row r="38" spans="1:70" x14ac:dyDescent="0.2">
      <c r="A38" t="s">
        <v>287</v>
      </c>
      <c r="B38" t="s">
        <v>38</v>
      </c>
      <c r="C38" t="s">
        <v>288</v>
      </c>
      <c r="D38" t="s">
        <v>289</v>
      </c>
      <c r="E38">
        <v>81993</v>
      </c>
      <c r="F38">
        <v>41434</v>
      </c>
      <c r="G38" t="s">
        <v>289</v>
      </c>
      <c r="H38" s="1">
        <v>92</v>
      </c>
      <c r="I38" s="1">
        <v>48.64</v>
      </c>
      <c r="J38" s="10">
        <v>1.8640000000000001</v>
      </c>
      <c r="K38" s="10">
        <f t="shared" ca="1" si="0"/>
        <v>5.8436276404302143E-2</v>
      </c>
      <c r="L38" s="7">
        <v>0.17849999999999999</v>
      </c>
      <c r="M38" s="7">
        <f t="shared" ca="1" si="1"/>
        <v>5.7441187313634103E-3</v>
      </c>
      <c r="N38" s="7">
        <v>0.96131999999999995</v>
      </c>
      <c r="O38" s="8">
        <v>5.6022410000000002</v>
      </c>
      <c r="P38" s="8">
        <f t="shared" ca="1" si="2"/>
        <v>0.18027978804578287</v>
      </c>
      <c r="Q38" s="9">
        <v>7.5649999999999995E-2</v>
      </c>
      <c r="R38" s="9">
        <f t="shared" ca="1" si="3"/>
        <v>1.5934770158367517E-3</v>
      </c>
      <c r="S38" s="8">
        <f t="shared" si="4"/>
        <v>0.39183905601828106</v>
      </c>
      <c r="T38" s="11">
        <v>5.2499999999999998E-2</v>
      </c>
      <c r="U38" s="11">
        <f t="shared" ca="1" si="5"/>
        <v>1.7500000000000003E-3</v>
      </c>
      <c r="V38" s="6" t="e">
        <f ca="1">IF(agePb6U8(1/O38)&lt;1400,age7corr(1/O38,Q38,$W$2),agePb76(Q38))</f>
        <v>#NAME?</v>
      </c>
      <c r="W38" s="6" t="e">
        <f ca="1">IF(agePb6U8(1/O38)&lt;1400,ageer7corr(V38,1/O38,P38/O38*(1/O38),Q38,R38,$W$2,0.05),ageerPb76(Q38,R38))</f>
        <v>#NAME?</v>
      </c>
      <c r="X38" s="4" t="e">
        <f ca="1">agePb6U8(L38)/agePb7u5(J38)</f>
        <v>#NAME?</v>
      </c>
      <c r="Y38" s="3"/>
      <c r="Z38" s="1">
        <v>1.8640000000000001</v>
      </c>
      <c r="AA38" s="1">
        <v>4.4999999999999998E-2</v>
      </c>
      <c r="AB38" s="1">
        <v>0.17849999999999999</v>
      </c>
      <c r="AC38" s="1">
        <v>4.4999999999999997E-3</v>
      </c>
      <c r="AD38" s="1">
        <v>0.96131999999999995</v>
      </c>
      <c r="AE38" s="1">
        <v>5.6022410000000002</v>
      </c>
      <c r="AF38" s="1">
        <v>0.141233</v>
      </c>
      <c r="AG38" s="1">
        <v>7.5649999999999995E-2</v>
      </c>
      <c r="AH38" s="1">
        <v>5.0000000000000001E-4</v>
      </c>
      <c r="AI38" s="1">
        <v>-5.8437999999999997E-3</v>
      </c>
      <c r="AJ38" s="1">
        <v>5.2499999999999998E-2</v>
      </c>
      <c r="AK38" s="1">
        <v>1.4E-3</v>
      </c>
      <c r="AL38" s="1">
        <v>6.9370000000000003</v>
      </c>
      <c r="AM38" s="1">
        <v>3.5000000000000003E-2</v>
      </c>
      <c r="AN38" s="1">
        <v>1068</v>
      </c>
      <c r="AO38" s="1">
        <v>16</v>
      </c>
      <c r="AP38" s="1">
        <v>1058</v>
      </c>
      <c r="AQ38" s="1">
        <v>25</v>
      </c>
      <c r="AR38" s="1">
        <v>1033</v>
      </c>
      <c r="AS38" s="1">
        <v>26</v>
      </c>
      <c r="AT38" s="1">
        <v>1086</v>
      </c>
      <c r="AU38" s="1">
        <v>13</v>
      </c>
      <c r="AV38" s="1">
        <v>20.170000000000002</v>
      </c>
      <c r="AW38" s="1">
        <v>0.49</v>
      </c>
      <c r="AX38" s="1">
        <v>3.8530000000000002</v>
      </c>
      <c r="AY38" s="1">
        <v>7.4999999999999997E-2</v>
      </c>
      <c r="AZ38" s="1">
        <v>16114.95</v>
      </c>
      <c r="BA38" s="1">
        <v>279.45000000000005</v>
      </c>
      <c r="BB38" s="1">
        <v>10594.26</v>
      </c>
      <c r="BC38" s="1">
        <v>180.09</v>
      </c>
      <c r="BD38" s="1">
        <v>139104</v>
      </c>
      <c r="BE38" s="1">
        <v>2297.6999999999998</v>
      </c>
      <c r="BF38" s="1">
        <v>24.839999999999996</v>
      </c>
      <c r="BG38" s="1">
        <v>6.2099999999999991</v>
      </c>
      <c r="BH38" s="1">
        <f t="shared" si="6"/>
        <v>5600.0000000000009</v>
      </c>
      <c r="BI38" s="1">
        <f t="shared" si="7"/>
        <v>1403.0524758539864</v>
      </c>
      <c r="BJ38" s="27">
        <v>1070.7</v>
      </c>
      <c r="BK38" s="27">
        <v>21.6</v>
      </c>
      <c r="BL38" s="27">
        <v>1059.2</v>
      </c>
      <c r="BM38" s="27">
        <v>31.4</v>
      </c>
      <c r="BN38" s="27">
        <v>1094.2</v>
      </c>
      <c r="BO38" s="27">
        <v>52.7</v>
      </c>
      <c r="BP38" s="27">
        <v>1070.4000000000001</v>
      </c>
      <c r="BQ38" s="27">
        <v>21.7</v>
      </c>
      <c r="BR38" s="27">
        <v>0.95</v>
      </c>
    </row>
    <row r="39" spans="1:70" x14ac:dyDescent="0.2">
      <c r="A39" t="s">
        <v>290</v>
      </c>
      <c r="B39" t="s">
        <v>38</v>
      </c>
      <c r="C39" t="s">
        <v>291</v>
      </c>
      <c r="D39" t="s">
        <v>292</v>
      </c>
      <c r="E39">
        <v>81993</v>
      </c>
      <c r="F39">
        <v>41645</v>
      </c>
      <c r="G39" t="s">
        <v>292</v>
      </c>
      <c r="H39" s="1">
        <v>185.6</v>
      </c>
      <c r="I39" s="1">
        <v>56.8</v>
      </c>
      <c r="J39" s="10">
        <v>1.794</v>
      </c>
      <c r="K39" s="10">
        <f t="shared" ca="1" si="0"/>
        <v>4.4309980816967187E-2</v>
      </c>
      <c r="L39" s="7">
        <v>0.17430000000000001</v>
      </c>
      <c r="M39" s="7">
        <f t="shared" ca="1" si="1"/>
        <v>4.1221591429734979E-3</v>
      </c>
      <c r="N39" s="7">
        <v>0.94464000000000004</v>
      </c>
      <c r="O39" s="8">
        <v>5.7372350000000001</v>
      </c>
      <c r="P39" s="8">
        <f t="shared" ca="1" si="2"/>
        <v>0.13568442769934949</v>
      </c>
      <c r="Q39" s="9">
        <v>7.4620000000000006E-2</v>
      </c>
      <c r="R39" s="9">
        <f t="shared" ca="1" si="3"/>
        <v>1.5115745962406223E-3</v>
      </c>
      <c r="S39" s="8">
        <f t="shared" si="4"/>
        <v>0.40877689198503098</v>
      </c>
      <c r="T39" s="11">
        <v>5.1389999999999998E-2</v>
      </c>
      <c r="U39" s="11">
        <f t="shared" ca="1" si="5"/>
        <v>1.3465781967639309E-3</v>
      </c>
      <c r="V39" s="6" t="e">
        <f ca="1">IF(agePb6U8(1/O39)&lt;1400,age7corr(1/O39,Q39,$W$2),agePb76(Q39))</f>
        <v>#NAME?</v>
      </c>
      <c r="W39" s="6" t="e">
        <f ca="1">IF(agePb6U8(1/O39)&lt;1400,ageer7corr(V39,1/O39,P39/O39*(1/O39),Q39,R39,$W$2,0.05),ageerPb76(Q39,R39))</f>
        <v>#NAME?</v>
      </c>
      <c r="X39" s="4" t="e">
        <f ca="1">agePb6U8(L39)/agePb7u5(J39)</f>
        <v>#NAME?</v>
      </c>
      <c r="Y39" s="3"/>
      <c r="Z39" s="1">
        <v>1.794</v>
      </c>
      <c r="AA39" s="1">
        <v>2.5999999999999999E-2</v>
      </c>
      <c r="AB39" s="1">
        <v>0.17430000000000001</v>
      </c>
      <c r="AC39" s="1">
        <v>2.2000000000000001E-3</v>
      </c>
      <c r="AD39" s="1">
        <v>0.94464000000000004</v>
      </c>
      <c r="AE39" s="1">
        <v>5.7372350000000001</v>
      </c>
      <c r="AF39" s="1">
        <v>7.2414900000000004E-2</v>
      </c>
      <c r="AG39" s="1">
        <v>7.4620000000000006E-2</v>
      </c>
      <c r="AH39" s="1">
        <v>2.4000000000000001E-4</v>
      </c>
      <c r="AI39" s="1">
        <v>-8.2998000000000002E-2</v>
      </c>
      <c r="AJ39" s="1">
        <v>5.1389999999999998E-2</v>
      </c>
      <c r="AK39" s="1">
        <v>8.7000000000000001E-4</v>
      </c>
      <c r="AL39" s="1">
        <v>11.79</v>
      </c>
      <c r="AM39" s="1">
        <v>8.2000000000000003E-2</v>
      </c>
      <c r="AN39" s="1">
        <v>1042.9000000000001</v>
      </c>
      <c r="AO39" s="1">
        <v>9.5</v>
      </c>
      <c r="AP39" s="1">
        <v>1036</v>
      </c>
      <c r="AQ39" s="1">
        <v>12</v>
      </c>
      <c r="AR39" s="1">
        <v>1013</v>
      </c>
      <c r="AS39" s="1">
        <v>17</v>
      </c>
      <c r="AT39" s="1">
        <v>1058.2</v>
      </c>
      <c r="AU39" s="1">
        <v>6.5</v>
      </c>
      <c r="AV39" s="1">
        <v>40.71</v>
      </c>
      <c r="AW39" s="1">
        <v>0.53</v>
      </c>
      <c r="AX39" s="1">
        <v>4.4980000000000002</v>
      </c>
      <c r="AY39" s="1">
        <v>0.08</v>
      </c>
      <c r="AZ39" s="1">
        <v>18797.669999999998</v>
      </c>
      <c r="BA39" s="1">
        <v>167.67000000000002</v>
      </c>
      <c r="BB39" s="1">
        <v>20542.680000000004</v>
      </c>
      <c r="BC39" s="1">
        <v>223.56</v>
      </c>
      <c r="BD39" s="1">
        <v>275165.09999999998</v>
      </c>
      <c r="BE39" s="1">
        <v>2732.3999999999996</v>
      </c>
      <c r="BF39" s="1">
        <v>-3.1049999999999995</v>
      </c>
      <c r="BG39" s="1">
        <v>5.6510999999999996</v>
      </c>
      <c r="BH39" s="1">
        <f t="shared" si="6"/>
        <v>-88620</v>
      </c>
      <c r="BI39" s="1">
        <f t="shared" si="7"/>
        <v>-161290.80065075005</v>
      </c>
      <c r="BJ39" s="27">
        <v>1045.7</v>
      </c>
      <c r="BK39" s="27">
        <v>18.100000000000001</v>
      </c>
      <c r="BL39" s="27">
        <v>1035.3</v>
      </c>
      <c r="BM39" s="27">
        <v>23.3</v>
      </c>
      <c r="BN39" s="27">
        <v>1067.5999999999999</v>
      </c>
      <c r="BO39" s="27">
        <v>53.6</v>
      </c>
      <c r="BP39" s="27">
        <v>1042.9000000000001</v>
      </c>
      <c r="BQ39" s="27">
        <v>17.3</v>
      </c>
      <c r="BR39" s="27">
        <v>0.88</v>
      </c>
    </row>
    <row r="40" spans="1:70" x14ac:dyDescent="0.2">
      <c r="A40" t="s">
        <v>293</v>
      </c>
      <c r="B40" t="s">
        <v>38</v>
      </c>
      <c r="C40" t="s">
        <v>294</v>
      </c>
      <c r="D40" t="s">
        <v>295</v>
      </c>
      <c r="E40">
        <v>82182</v>
      </c>
      <c r="F40">
        <v>43164</v>
      </c>
      <c r="G40" t="s">
        <v>295</v>
      </c>
      <c r="H40" s="1">
        <v>266.3</v>
      </c>
      <c r="I40" s="1">
        <v>283.60000000000002</v>
      </c>
      <c r="J40" s="10">
        <v>2.2280000000000002</v>
      </c>
      <c r="K40" s="10">
        <f t="shared" ca="1" si="0"/>
        <v>7.7166013244173756E-2</v>
      </c>
      <c r="L40" s="7">
        <v>0.1981</v>
      </c>
      <c r="M40" s="7">
        <f t="shared" ca="1" si="1"/>
        <v>6.9417176548747656E-3</v>
      </c>
      <c r="N40" s="7">
        <v>0.99334</v>
      </c>
      <c r="O40" s="8">
        <v>5.0479560000000001</v>
      </c>
      <c r="P40" s="8">
        <f t="shared" ca="1" si="2"/>
        <v>0.17688787047939269</v>
      </c>
      <c r="Q40" s="9">
        <v>8.1369999999999998E-2</v>
      </c>
      <c r="R40" s="9">
        <f t="shared" ca="1" si="3"/>
        <v>1.6548204615607098E-3</v>
      </c>
      <c r="S40" s="8">
        <f t="shared" si="4"/>
        <v>0.45637246937391612</v>
      </c>
      <c r="T40" s="11">
        <v>6.0499999999999998E-2</v>
      </c>
      <c r="U40" s="11">
        <f t="shared" ca="1" si="5"/>
        <v>2.086648029735729E-3</v>
      </c>
      <c r="V40" s="6" t="e">
        <f ca="1">IF(agePb6U8(1/O40)&lt;1400,age7corr(1/O40,Q40,$W$2),agePb76(Q40))</f>
        <v>#NAME?</v>
      </c>
      <c r="W40" s="6" t="e">
        <f ca="1">IF(agePb6U8(1/O40)&lt;1400,ageer7corr(V40,1/O40,P40/O40*(1/O40),Q40,R40,$W$2,0.05),ageerPb76(Q40,R40))</f>
        <v>#NAME?</v>
      </c>
      <c r="X40" s="4" t="e">
        <f ca="1">agePb6U8(L40)/agePb7u5(J40)</f>
        <v>#NAME?</v>
      </c>
      <c r="Y40" s="3"/>
      <c r="Z40" s="1">
        <v>2.2280000000000002</v>
      </c>
      <c r="AA40" s="1">
        <v>6.3E-2</v>
      </c>
      <c r="AB40" s="1">
        <v>0.1981</v>
      </c>
      <c r="AC40" s="1">
        <v>5.7000000000000002E-3</v>
      </c>
      <c r="AD40" s="1">
        <v>0.99334</v>
      </c>
      <c r="AE40" s="1">
        <v>5.0479560000000001</v>
      </c>
      <c r="AF40" s="1">
        <v>0.1452466</v>
      </c>
      <c r="AG40" s="1">
        <v>8.1369999999999998E-2</v>
      </c>
      <c r="AH40" s="1">
        <v>2.9999999999999997E-4</v>
      </c>
      <c r="AI40" s="1">
        <v>0.13458999999999999</v>
      </c>
      <c r="AJ40" s="1">
        <v>6.0499999999999998E-2</v>
      </c>
      <c r="AK40" s="1">
        <v>1.6999999999999999E-3</v>
      </c>
      <c r="AL40" s="1">
        <v>3.2829999999999999</v>
      </c>
      <c r="AM40" s="1">
        <v>3.5999999999999997E-2</v>
      </c>
      <c r="AN40" s="1">
        <v>1189</v>
      </c>
      <c r="AO40" s="1">
        <v>20</v>
      </c>
      <c r="AP40" s="1">
        <v>1165</v>
      </c>
      <c r="AQ40" s="1">
        <v>31</v>
      </c>
      <c r="AR40" s="1">
        <v>1187</v>
      </c>
      <c r="AS40" s="1">
        <v>33</v>
      </c>
      <c r="AT40" s="1">
        <v>1232</v>
      </c>
      <c r="AU40" s="1">
        <v>6.6</v>
      </c>
      <c r="AV40" s="1">
        <v>58.4</v>
      </c>
      <c r="AW40" s="1">
        <v>2.1</v>
      </c>
      <c r="AX40" s="1">
        <v>22.46</v>
      </c>
      <c r="AY40" s="1">
        <v>0.63</v>
      </c>
      <c r="AZ40" s="1">
        <v>110662.2</v>
      </c>
      <c r="BA40" s="1">
        <v>4284.8999999999996</v>
      </c>
      <c r="BB40" s="1">
        <v>36452.699999999997</v>
      </c>
      <c r="BC40" s="1">
        <v>1117.8000000000002</v>
      </c>
      <c r="BD40" s="1">
        <v>447741</v>
      </c>
      <c r="BE40" s="1">
        <v>13662</v>
      </c>
      <c r="BF40" s="1">
        <v>11.985300000000001</v>
      </c>
      <c r="BG40" s="1">
        <v>6.0858000000000008</v>
      </c>
      <c r="BH40" s="1">
        <f t="shared" si="6"/>
        <v>37357.512953367877</v>
      </c>
      <c r="BI40" s="1">
        <f t="shared" si="7"/>
        <v>19003.318461314691</v>
      </c>
      <c r="BJ40" s="27">
        <v>1184.4000000000001</v>
      </c>
      <c r="BK40" s="27">
        <v>22.9</v>
      </c>
      <c r="BL40" s="27">
        <v>1164.7</v>
      </c>
      <c r="BM40" s="27">
        <v>38</v>
      </c>
      <c r="BN40" s="27">
        <v>1220.5999999999999</v>
      </c>
      <c r="BO40" s="27">
        <v>48.5</v>
      </c>
      <c r="BP40" s="27">
        <v>1187.9000000000001</v>
      </c>
      <c r="BQ40" s="27">
        <v>22.4</v>
      </c>
      <c r="BR40" s="27">
        <v>1.6</v>
      </c>
    </row>
    <row r="41" spans="1:70" s="23" customFormat="1" x14ac:dyDescent="0.2">
      <c r="A41" s="23" t="s">
        <v>296</v>
      </c>
      <c r="B41" s="23" t="s">
        <v>38</v>
      </c>
      <c r="C41" s="23" t="s">
        <v>297</v>
      </c>
      <c r="D41" s="23" t="s">
        <v>298</v>
      </c>
      <c r="E41" s="23">
        <v>82231</v>
      </c>
      <c r="F41" s="23">
        <v>43345</v>
      </c>
      <c r="G41" s="23" t="s">
        <v>298</v>
      </c>
      <c r="H41" s="24">
        <v>238</v>
      </c>
      <c r="I41" s="24">
        <v>82.1</v>
      </c>
      <c r="J41" s="25">
        <v>2.4500000000000002</v>
      </c>
      <c r="K41" s="25">
        <f t="shared" ca="1" si="0"/>
        <v>0.12961867149450346</v>
      </c>
      <c r="L41" s="26">
        <v>0.1951</v>
      </c>
      <c r="M41" s="26">
        <f t="shared" ca="1" si="1"/>
        <v>7.5812666487863351E-3</v>
      </c>
      <c r="N41" s="26">
        <v>0.66817000000000004</v>
      </c>
      <c r="O41" s="26">
        <v>5.1255769999999998</v>
      </c>
      <c r="P41" s="26">
        <f t="shared" ca="1" si="2"/>
        <v>0.19917153676710836</v>
      </c>
      <c r="Q41" s="25">
        <v>9.1899999999999996E-2</v>
      </c>
      <c r="R41" s="25">
        <f t="shared" ca="1" si="3"/>
        <v>4.4020726936296719E-3</v>
      </c>
      <c r="S41" s="26">
        <f t="shared" si="4"/>
        <v>0.44509656989895779</v>
      </c>
      <c r="T41" s="25">
        <v>8.6099999999999996E-2</v>
      </c>
      <c r="U41" s="25">
        <f t="shared" ca="1" si="5"/>
        <v>6.9177513687613849E-3</v>
      </c>
      <c r="V41" s="24" t="e">
        <f ca="1">IF(agePb6U8(1/O41)&lt;1400,age7corr(1/O41,Q41,$W$2),agePb76(Q41))</f>
        <v>#NAME?</v>
      </c>
      <c r="W41" s="24" t="e">
        <f ca="1">IF(agePb6U8(1/O41)&lt;1400,ageer7corr(V41,1/O41,P41/O41*(1/O41),Q41,R41,$W$2,0.05),ageerPb76(Q41,R41))</f>
        <v>#NAME?</v>
      </c>
      <c r="X41" s="26" t="e">
        <f ca="1">agePb6U8(L41)/agePb7u5(J41)</f>
        <v>#NAME?</v>
      </c>
      <c r="Y41" s="24"/>
      <c r="Z41" s="24">
        <v>2.4500000000000002</v>
      </c>
      <c r="AA41" s="24">
        <v>0.12</v>
      </c>
      <c r="AB41" s="24">
        <v>0.1951</v>
      </c>
      <c r="AC41" s="24">
        <v>6.4999999999999997E-3</v>
      </c>
      <c r="AD41" s="24">
        <v>0.66817000000000004</v>
      </c>
      <c r="AE41" s="24">
        <v>5.1255769999999998</v>
      </c>
      <c r="AF41" s="24">
        <v>0.170765</v>
      </c>
      <c r="AG41" s="24">
        <v>9.1899999999999996E-2</v>
      </c>
      <c r="AH41" s="24">
        <v>4.0000000000000001E-3</v>
      </c>
      <c r="AI41" s="24">
        <v>-0.20182</v>
      </c>
      <c r="AJ41" s="24">
        <v>8.6099999999999996E-2</v>
      </c>
      <c r="AK41" s="24">
        <v>6.7000000000000002E-3</v>
      </c>
      <c r="AL41" s="24">
        <v>6.95</v>
      </c>
      <c r="AM41" s="24">
        <v>0.51</v>
      </c>
      <c r="AN41" s="24">
        <v>1253</v>
      </c>
      <c r="AO41" s="24">
        <v>36</v>
      </c>
      <c r="AP41" s="24">
        <v>1149</v>
      </c>
      <c r="AQ41" s="24">
        <v>35</v>
      </c>
      <c r="AR41" s="24">
        <v>1670</v>
      </c>
      <c r="AS41" s="24">
        <v>120</v>
      </c>
      <c r="AT41" s="24">
        <v>1433</v>
      </c>
      <c r="AU41" s="24">
        <v>59</v>
      </c>
      <c r="AV41" s="24">
        <v>52.1</v>
      </c>
      <c r="AW41" s="24">
        <v>4.2</v>
      </c>
      <c r="AX41" s="24">
        <v>6.51</v>
      </c>
      <c r="AY41" s="24">
        <v>0.21000000000000002</v>
      </c>
      <c r="AZ41" s="24">
        <v>45519.299999999996</v>
      </c>
      <c r="BA41" s="24">
        <v>2980.8</v>
      </c>
      <c r="BB41" s="24">
        <v>36452.699999999997</v>
      </c>
      <c r="BC41" s="24">
        <v>3167.1</v>
      </c>
      <c r="BD41" s="24">
        <v>397440</v>
      </c>
      <c r="BE41" s="24">
        <v>29808.000000000004</v>
      </c>
      <c r="BF41" s="24">
        <v>124.2</v>
      </c>
      <c r="BG41" s="24">
        <v>99.359999999999985</v>
      </c>
      <c r="BH41" s="24">
        <f t="shared" si="6"/>
        <v>3200</v>
      </c>
      <c r="BI41" s="24">
        <f t="shared" si="7"/>
        <v>2571.225388798111</v>
      </c>
      <c r="BJ41" s="27">
        <v>1263.8</v>
      </c>
      <c r="BK41" s="27">
        <v>31.4</v>
      </c>
      <c r="BL41" s="27">
        <v>1148</v>
      </c>
      <c r="BM41" s="27">
        <v>41</v>
      </c>
      <c r="BN41" s="27">
        <v>1466.5</v>
      </c>
      <c r="BO41" s="27">
        <v>82.6</v>
      </c>
      <c r="BP41" s="27">
        <v>1228.7</v>
      </c>
      <c r="BQ41" s="27">
        <v>31.1</v>
      </c>
      <c r="BR41" s="27">
        <v>8.8000000000000007</v>
      </c>
    </row>
    <row r="42" spans="1:70" x14ac:dyDescent="0.2">
      <c r="A42" t="s">
        <v>305</v>
      </c>
      <c r="B42" t="s">
        <v>38</v>
      </c>
      <c r="C42" t="s">
        <v>306</v>
      </c>
      <c r="D42" t="s">
        <v>307</v>
      </c>
      <c r="E42">
        <v>82198</v>
      </c>
      <c r="F42">
        <v>44158</v>
      </c>
      <c r="G42" t="s">
        <v>307</v>
      </c>
      <c r="H42" s="1">
        <v>248.9</v>
      </c>
      <c r="I42" s="1">
        <v>195.1</v>
      </c>
      <c r="J42" s="10">
        <v>2.3380000000000001</v>
      </c>
      <c r="K42" s="10">
        <f t="shared" ca="1" si="0"/>
        <v>8.007182775483522E-2</v>
      </c>
      <c r="L42" s="7">
        <v>0.2046</v>
      </c>
      <c r="M42" s="7">
        <f t="shared" ca="1" si="1"/>
        <v>7.2625383992100181E-3</v>
      </c>
      <c r="N42" s="7">
        <v>0.98226999999999998</v>
      </c>
      <c r="O42" s="8">
        <v>4.8875859999999998</v>
      </c>
      <c r="P42" s="8">
        <f t="shared" ca="1" si="2"/>
        <v>0.17349113615386347</v>
      </c>
      <c r="Q42" s="9">
        <v>8.2659999999999997E-2</v>
      </c>
      <c r="R42" s="9">
        <f t="shared" ca="1" si="3"/>
        <v>1.7057169284497354E-3</v>
      </c>
      <c r="S42" s="8">
        <f t="shared" si="4"/>
        <v>0.49251779343511543</v>
      </c>
      <c r="T42" s="11">
        <v>6.6199999999999995E-2</v>
      </c>
      <c r="U42" s="11">
        <f t="shared" ca="1" si="5"/>
        <v>2.1547565987832594E-3</v>
      </c>
      <c r="V42" s="6" t="e">
        <f ca="1">IF(agePb6U8(1/O42)&lt;1400,age7corr(1/O42,Q42,$W$2),agePb76(Q42))</f>
        <v>#NAME?</v>
      </c>
      <c r="W42" s="6" t="e">
        <f ca="1">IF(agePb6U8(1/O42)&lt;1400,ageer7corr(V42,1/O42,P42/O42*(1/O42),Q42,R42,$W$2,0.05),ageerPb76(Q42,R42))</f>
        <v>#NAME?</v>
      </c>
      <c r="X42" s="4" t="e">
        <f ca="1">agePb6U8(L42)/agePb7u5(J42)</f>
        <v>#NAME?</v>
      </c>
      <c r="Y42" s="3"/>
      <c r="Z42" s="1">
        <v>2.3380000000000001</v>
      </c>
      <c r="AA42" s="1">
        <v>6.5000000000000002E-2</v>
      </c>
      <c r="AB42" s="1">
        <v>0.2046</v>
      </c>
      <c r="AC42" s="1">
        <v>6.0000000000000001E-3</v>
      </c>
      <c r="AD42" s="1">
        <v>0.98226999999999998</v>
      </c>
      <c r="AE42" s="1">
        <v>4.8875859999999998</v>
      </c>
      <c r="AF42" s="1">
        <v>0.14333099999999999</v>
      </c>
      <c r="AG42" s="1">
        <v>8.2659999999999997E-2</v>
      </c>
      <c r="AH42" s="1">
        <v>4.2000000000000002E-4</v>
      </c>
      <c r="AI42" s="1">
        <v>5.0341999999999998E-2</v>
      </c>
      <c r="AJ42" s="1">
        <v>6.6199999999999995E-2</v>
      </c>
      <c r="AK42" s="1">
        <v>1.6999999999999999E-3</v>
      </c>
      <c r="AL42" s="1">
        <v>4.2240000000000002</v>
      </c>
      <c r="AM42" s="1">
        <v>1.7999999999999999E-2</v>
      </c>
      <c r="AN42" s="1">
        <v>1223</v>
      </c>
      <c r="AO42" s="1">
        <v>20</v>
      </c>
      <c r="AP42" s="1">
        <v>1200</v>
      </c>
      <c r="AQ42" s="1">
        <v>32</v>
      </c>
      <c r="AR42" s="1">
        <v>1303</v>
      </c>
      <c r="AS42" s="1">
        <v>35</v>
      </c>
      <c r="AT42" s="1">
        <v>1261</v>
      </c>
      <c r="AU42" s="1">
        <v>9.9</v>
      </c>
      <c r="AV42" s="1">
        <v>54.6</v>
      </c>
      <c r="AW42" s="1">
        <v>1.1000000000000001</v>
      </c>
      <c r="AX42" s="1">
        <v>15.450000000000001</v>
      </c>
      <c r="AY42" s="1">
        <v>0.35</v>
      </c>
      <c r="AZ42" s="1">
        <v>83897.1</v>
      </c>
      <c r="BA42" s="1">
        <v>1366.1999999999998</v>
      </c>
      <c r="BB42" s="1">
        <v>36191.879999999997</v>
      </c>
      <c r="BC42" s="1">
        <v>521.64</v>
      </c>
      <c r="BD42" s="1">
        <v>437805</v>
      </c>
      <c r="BE42" s="1">
        <v>7452.0000000000009</v>
      </c>
      <c r="BF42" s="1">
        <v>45.332999999999998</v>
      </c>
      <c r="BG42" s="1">
        <v>13.041</v>
      </c>
      <c r="BH42" s="1">
        <f t="shared" si="6"/>
        <v>9657.534246575342</v>
      </c>
      <c r="BI42" s="1">
        <f t="shared" si="7"/>
        <v>2783.0537560527951</v>
      </c>
      <c r="BJ42" s="27">
        <v>1224.3</v>
      </c>
      <c r="BK42" s="27">
        <v>22.1</v>
      </c>
      <c r="BL42" s="27">
        <v>1199.4000000000001</v>
      </c>
      <c r="BM42" s="27">
        <v>38</v>
      </c>
      <c r="BN42" s="27">
        <v>1268.3</v>
      </c>
      <c r="BO42" s="27">
        <v>47</v>
      </c>
      <c r="BP42" s="27">
        <v>1229</v>
      </c>
      <c r="BQ42" s="27">
        <v>21.6</v>
      </c>
      <c r="BR42" s="27">
        <v>2</v>
      </c>
    </row>
    <row r="43" spans="1:70" x14ac:dyDescent="0.2">
      <c r="A43" t="s">
        <v>308</v>
      </c>
      <c r="B43" t="s">
        <v>38</v>
      </c>
      <c r="C43" t="s">
        <v>309</v>
      </c>
      <c r="D43" t="s">
        <v>310</v>
      </c>
      <c r="E43">
        <v>81791</v>
      </c>
      <c r="F43">
        <v>40006</v>
      </c>
      <c r="G43" t="s">
        <v>310</v>
      </c>
      <c r="H43" s="1">
        <v>188.8</v>
      </c>
      <c r="I43" s="1">
        <v>69.36</v>
      </c>
      <c r="J43" s="10">
        <v>1.8180000000000001</v>
      </c>
      <c r="K43" s="10">
        <f t="shared" ca="1" si="0"/>
        <v>4.7138621108386271E-2</v>
      </c>
      <c r="L43" s="7">
        <v>0.17549999999999999</v>
      </c>
      <c r="M43" s="7">
        <f t="shared" ca="1" si="1"/>
        <v>4.3680773802669748E-3</v>
      </c>
      <c r="N43" s="7">
        <v>0.95226999999999995</v>
      </c>
      <c r="O43" s="8">
        <v>5.6980060000000003</v>
      </c>
      <c r="P43" s="8">
        <f t="shared" ca="1" si="2"/>
        <v>0.14181954834374705</v>
      </c>
      <c r="Q43" s="9">
        <v>7.5410000000000005E-2</v>
      </c>
      <c r="R43" s="9">
        <f t="shared" ca="1" si="3"/>
        <v>1.5578084734652075E-3</v>
      </c>
      <c r="S43" s="8">
        <f t="shared" si="4"/>
        <v>0.42203911299469576</v>
      </c>
      <c r="T43" s="11">
        <v>4.7629999999999999E-2</v>
      </c>
      <c r="U43" s="11">
        <f t="shared" ca="1" si="5"/>
        <v>1.3738801840044133E-3</v>
      </c>
      <c r="V43" s="6" t="e">
        <f ca="1">IF(agePb6U8(1/O43)&lt;1400,age7corr(1/O43,Q43,$W$2),agePb76(Q43))</f>
        <v>#NAME?</v>
      </c>
      <c r="W43" s="6" t="e">
        <f ca="1">IF(agePb6U8(1/O43)&lt;1400,ageer7corr(V43,1/O43,P43/O43*(1/O43),Q43,R43,$W$2,0.05),ageerPb76(Q43,R43))</f>
        <v>#NAME?</v>
      </c>
      <c r="X43" s="4" t="e">
        <f ca="1">agePb6U8(L43)/agePb7u5(J43)</f>
        <v>#NAME?</v>
      </c>
      <c r="Y43" s="3"/>
      <c r="Z43" s="1">
        <v>1.8180000000000001</v>
      </c>
      <c r="AA43" s="1">
        <v>0.03</v>
      </c>
      <c r="AB43" s="1">
        <v>0.17549999999999999</v>
      </c>
      <c r="AC43" s="1">
        <v>2.5999999999999999E-3</v>
      </c>
      <c r="AD43" s="1">
        <v>0.95226999999999995</v>
      </c>
      <c r="AE43" s="1">
        <v>5.6980060000000003</v>
      </c>
      <c r="AF43" s="1">
        <v>8.4414900000000001E-2</v>
      </c>
      <c r="AG43" s="1">
        <v>7.5410000000000005E-2</v>
      </c>
      <c r="AH43" s="1">
        <v>3.8999999999999999E-4</v>
      </c>
      <c r="AI43" s="1">
        <v>5.0417999999999999E-3</v>
      </c>
      <c r="AJ43" s="1">
        <v>4.7629999999999999E-2</v>
      </c>
      <c r="AK43" s="1">
        <v>9.8999999999999999E-4</v>
      </c>
      <c r="AL43" s="1">
        <v>10.632</v>
      </c>
      <c r="AM43" s="1">
        <v>5.8000000000000003E-2</v>
      </c>
      <c r="AN43" s="1">
        <v>1052</v>
      </c>
      <c r="AO43" s="1">
        <v>11</v>
      </c>
      <c r="AP43" s="1">
        <v>1042</v>
      </c>
      <c r="AQ43" s="1">
        <v>14</v>
      </c>
      <c r="AR43" s="1">
        <v>941</v>
      </c>
      <c r="AS43" s="1">
        <v>19</v>
      </c>
      <c r="AT43" s="1">
        <v>1079</v>
      </c>
      <c r="AU43" s="1">
        <v>10</v>
      </c>
      <c r="AV43" s="1">
        <v>41.39</v>
      </c>
      <c r="AW43" s="1">
        <v>0.74</v>
      </c>
      <c r="AX43" s="1">
        <v>5.4929999999999994</v>
      </c>
      <c r="AY43" s="1">
        <v>5.8000000000000003E-2</v>
      </c>
      <c r="AZ43" s="1">
        <v>21443.13</v>
      </c>
      <c r="BA43" s="1">
        <v>285.65999999999997</v>
      </c>
      <c r="BB43" s="1">
        <v>21132.63</v>
      </c>
      <c r="BC43" s="1">
        <v>285.65999999999997</v>
      </c>
      <c r="BD43" s="1">
        <v>282803.40000000002</v>
      </c>
      <c r="BE43" s="1">
        <v>3788.1</v>
      </c>
      <c r="BF43" s="1">
        <v>18.63</v>
      </c>
      <c r="BG43" s="1">
        <v>7.4519999999999991</v>
      </c>
      <c r="BH43" s="1">
        <f t="shared" si="6"/>
        <v>15180.000000000002</v>
      </c>
      <c r="BI43" s="1">
        <f t="shared" si="7"/>
        <v>6075.4035622701185</v>
      </c>
      <c r="BJ43" s="27">
        <v>1050.3</v>
      </c>
      <c r="BK43" s="27">
        <v>18.100000000000001</v>
      </c>
      <c r="BL43" s="27">
        <v>1042</v>
      </c>
      <c r="BM43" s="27">
        <v>23.6</v>
      </c>
      <c r="BN43" s="27">
        <v>1067.5999999999999</v>
      </c>
      <c r="BO43" s="27">
        <v>53.6</v>
      </c>
      <c r="BP43" s="27">
        <v>1048.2</v>
      </c>
      <c r="BQ43" s="27">
        <v>17.3</v>
      </c>
      <c r="BR43" s="27">
        <v>0.69</v>
      </c>
    </row>
    <row r="44" spans="1:70" x14ac:dyDescent="0.2">
      <c r="A44" t="s">
        <v>311</v>
      </c>
      <c r="B44" t="s">
        <v>38</v>
      </c>
      <c r="C44" t="s">
        <v>312</v>
      </c>
      <c r="D44" t="s">
        <v>313</v>
      </c>
      <c r="E44">
        <v>81739</v>
      </c>
      <c r="F44">
        <v>40155</v>
      </c>
      <c r="G44" t="s">
        <v>313</v>
      </c>
      <c r="H44" s="1">
        <v>178.3</v>
      </c>
      <c r="I44" s="1">
        <v>142.80000000000001</v>
      </c>
      <c r="J44" s="10">
        <v>2.258</v>
      </c>
      <c r="K44" s="10">
        <f t="shared" ca="1" si="0"/>
        <v>6.8872531534712733E-2</v>
      </c>
      <c r="L44" s="7">
        <v>0.20169999999999999</v>
      </c>
      <c r="M44" s="7">
        <f t="shared" ca="1" si="1"/>
        <v>5.8960288330366902E-3</v>
      </c>
      <c r="N44" s="7">
        <v>0.98307999999999995</v>
      </c>
      <c r="O44" s="8">
        <v>4.9578579999999999</v>
      </c>
      <c r="P44" s="8">
        <f t="shared" ca="1" si="2"/>
        <v>0.14492646790533328</v>
      </c>
      <c r="Q44" s="9">
        <v>8.1269999999999995E-2</v>
      </c>
      <c r="R44" s="9">
        <f t="shared" ca="1" si="3"/>
        <v>1.6647898245724594E-3</v>
      </c>
      <c r="S44" s="8">
        <f t="shared" si="4"/>
        <v>0.37450419658808859</v>
      </c>
      <c r="T44" s="11">
        <v>5.5599999999999997E-2</v>
      </c>
      <c r="U44" s="11">
        <f t="shared" ca="1" si="5"/>
        <v>1.7878881396776476E-3</v>
      </c>
      <c r="V44" s="6" t="e">
        <f ca="1">IF(agePb6U8(1/O44)&lt;1400,age7corr(1/O44,Q44,$W$2),agePb76(Q44))</f>
        <v>#NAME?</v>
      </c>
      <c r="W44" s="6" t="e">
        <f ca="1">IF(agePb6U8(1/O44)&lt;1400,ageer7corr(V44,1/O44,P44/O44*(1/O44),Q44,R44,$W$2,0.05),ageerPb76(Q44,R44))</f>
        <v>#NAME?</v>
      </c>
      <c r="X44" s="4" t="e">
        <f ca="1">agePb6U8(L44)/agePb7u5(J44)</f>
        <v>#NAME?</v>
      </c>
      <c r="Y44" s="3"/>
      <c r="Z44" s="1">
        <v>2.258</v>
      </c>
      <c r="AA44" s="1">
        <v>5.1999999999999998E-2</v>
      </c>
      <c r="AB44" s="1">
        <v>0.20169999999999999</v>
      </c>
      <c r="AC44" s="1">
        <v>4.3E-3</v>
      </c>
      <c r="AD44" s="1">
        <v>0.98307999999999995</v>
      </c>
      <c r="AE44" s="1">
        <v>4.9578579999999999</v>
      </c>
      <c r="AF44" s="1">
        <v>0.1056955</v>
      </c>
      <c r="AG44" s="1">
        <v>8.1269999999999995E-2</v>
      </c>
      <c r="AH44" s="1">
        <v>3.6000000000000002E-4</v>
      </c>
      <c r="AI44" s="1">
        <v>-0.24573</v>
      </c>
      <c r="AJ44" s="1">
        <v>5.5599999999999997E-2</v>
      </c>
      <c r="AK44" s="1">
        <v>1.4E-3</v>
      </c>
      <c r="AL44" s="1">
        <v>4.7759999999999998</v>
      </c>
      <c r="AM44" s="1">
        <v>2.9000000000000001E-2</v>
      </c>
      <c r="AN44" s="1">
        <v>1206</v>
      </c>
      <c r="AO44" s="1">
        <v>16</v>
      </c>
      <c r="AP44" s="1">
        <v>1184</v>
      </c>
      <c r="AQ44" s="1">
        <v>23</v>
      </c>
      <c r="AR44" s="1">
        <v>1094</v>
      </c>
      <c r="AS44" s="1">
        <v>27</v>
      </c>
      <c r="AT44" s="1">
        <v>1227.8</v>
      </c>
      <c r="AU44" s="1">
        <v>8.6999999999999993</v>
      </c>
      <c r="AV44" s="1">
        <v>39.1</v>
      </c>
      <c r="AW44" s="1">
        <v>1.4</v>
      </c>
      <c r="AX44" s="1">
        <v>11.31</v>
      </c>
      <c r="AY44" s="1">
        <v>0.17</v>
      </c>
      <c r="AZ44" s="1">
        <v>51543</v>
      </c>
      <c r="BA44" s="1">
        <v>993.6</v>
      </c>
      <c r="BB44" s="1">
        <v>24840</v>
      </c>
      <c r="BC44" s="1">
        <v>683.09999999999991</v>
      </c>
      <c r="BD44" s="1">
        <v>304911</v>
      </c>
      <c r="BE44" s="1">
        <v>7452.0000000000009</v>
      </c>
      <c r="BF44" s="1">
        <v>5.5889999999999995</v>
      </c>
      <c r="BG44" s="1">
        <v>5.4027000000000003</v>
      </c>
      <c r="BH44" s="1">
        <f t="shared" si="6"/>
        <v>54555.555555555562</v>
      </c>
      <c r="BI44" s="1">
        <f t="shared" si="7"/>
        <v>52753.889460622668</v>
      </c>
      <c r="BJ44" s="27">
        <v>1197</v>
      </c>
      <c r="BK44" s="27">
        <v>21</v>
      </c>
      <c r="BL44" s="27">
        <v>1184</v>
      </c>
      <c r="BM44" s="27">
        <v>30.5</v>
      </c>
      <c r="BN44" s="27">
        <v>1220.5999999999999</v>
      </c>
      <c r="BO44" s="27">
        <v>48.5</v>
      </c>
      <c r="BP44" s="27">
        <v>1196.2</v>
      </c>
      <c r="BQ44" s="27">
        <v>21</v>
      </c>
      <c r="BR44" s="27">
        <v>0.97</v>
      </c>
    </row>
    <row r="45" spans="1:70" x14ac:dyDescent="0.2">
      <c r="A45" t="s">
        <v>314</v>
      </c>
      <c r="B45" t="s">
        <v>38</v>
      </c>
      <c r="C45" t="s">
        <v>315</v>
      </c>
      <c r="D45" t="s">
        <v>316</v>
      </c>
      <c r="E45">
        <v>81726</v>
      </c>
      <c r="F45">
        <v>41244</v>
      </c>
      <c r="G45" t="s">
        <v>316</v>
      </c>
      <c r="H45" s="1">
        <v>42.78</v>
      </c>
      <c r="I45" s="1">
        <v>21.61</v>
      </c>
      <c r="J45" s="10">
        <v>1.8440000000000001</v>
      </c>
      <c r="K45" s="10">
        <f t="shared" ca="1" si="0"/>
        <v>5.367619956740604E-2</v>
      </c>
      <c r="L45" s="7">
        <v>0.17799999999999999</v>
      </c>
      <c r="M45" s="7">
        <f t="shared" ca="1" si="1"/>
        <v>4.9227634515584843E-3</v>
      </c>
      <c r="N45" s="7">
        <v>0.90998999999999997</v>
      </c>
      <c r="O45" s="8">
        <v>5.6179779999999999</v>
      </c>
      <c r="P45" s="8">
        <f t="shared" ca="1" si="2"/>
        <v>0.15537066144379896</v>
      </c>
      <c r="Q45" s="9">
        <v>7.5050000000000006E-2</v>
      </c>
      <c r="R45" s="9">
        <f t="shared" ca="1" si="3"/>
        <v>1.651999092009436E-3</v>
      </c>
      <c r="S45" s="8">
        <f t="shared" si="4"/>
        <v>0.41486006232919465</v>
      </c>
      <c r="T45" s="11">
        <v>5.2999999999999999E-2</v>
      </c>
      <c r="U45" s="11">
        <f t="shared" ca="1" si="5"/>
        <v>1.6011246047700346E-3</v>
      </c>
      <c r="V45" s="6" t="e">
        <f ca="1">IF(agePb6U8(1/O45)&lt;1400,age7corr(1/O45,Q45,$W$2),agePb76(Q45))</f>
        <v>#NAME?</v>
      </c>
      <c r="W45" s="6" t="e">
        <f ca="1">IF(agePb6U8(1/O45)&lt;1400,ageer7corr(V45,1/O45,P45/O45*(1/O45),Q45,R45,$W$2,0.05),ageerPb76(Q45,R45))</f>
        <v>#NAME?</v>
      </c>
      <c r="X45" s="4" t="e">
        <f ca="1">agePb6U8(L45)/agePb7u5(J45)</f>
        <v>#NAME?</v>
      </c>
      <c r="Y45" s="3"/>
      <c r="Z45" s="1">
        <v>1.8440000000000001</v>
      </c>
      <c r="AA45" s="1">
        <v>3.9E-2</v>
      </c>
      <c r="AB45" s="1">
        <v>0.17799999999999999</v>
      </c>
      <c r="AC45" s="1">
        <v>3.3999999999999998E-3</v>
      </c>
      <c r="AD45" s="1">
        <v>0.90998999999999997</v>
      </c>
      <c r="AE45" s="1">
        <v>5.6179779999999999</v>
      </c>
      <c r="AF45" s="1">
        <v>0.10730969999999999</v>
      </c>
      <c r="AG45" s="1">
        <v>7.5050000000000006E-2</v>
      </c>
      <c r="AH45" s="1">
        <v>6.8999999999999997E-4</v>
      </c>
      <c r="AI45" s="1">
        <v>0.13630999999999999</v>
      </c>
      <c r="AJ45" s="1">
        <v>5.2999999999999999E-2</v>
      </c>
      <c r="AK45" s="1">
        <v>1.1999999999999999E-3</v>
      </c>
      <c r="AL45" s="1">
        <v>7.1559999999999997</v>
      </c>
      <c r="AM45" s="1">
        <v>4.8000000000000001E-2</v>
      </c>
      <c r="AN45" s="1">
        <v>1064</v>
      </c>
      <c r="AO45" s="1">
        <v>15</v>
      </c>
      <c r="AP45" s="1">
        <v>1056</v>
      </c>
      <c r="AQ45" s="1">
        <v>19</v>
      </c>
      <c r="AR45" s="1">
        <v>1044</v>
      </c>
      <c r="AS45" s="1">
        <v>23</v>
      </c>
      <c r="AT45" s="1">
        <v>1073</v>
      </c>
      <c r="AU45" s="1">
        <v>17</v>
      </c>
      <c r="AV45" s="1">
        <v>9.379999999999999</v>
      </c>
      <c r="AW45" s="1">
        <v>0.16</v>
      </c>
      <c r="AX45" s="1">
        <v>1.7110000000000001</v>
      </c>
      <c r="AY45" s="1">
        <v>2.7E-2</v>
      </c>
      <c r="AZ45" s="1">
        <v>7377.4800000000005</v>
      </c>
      <c r="BA45" s="1">
        <v>142.82999999999998</v>
      </c>
      <c r="BB45" s="1">
        <v>4918.3200000000006</v>
      </c>
      <c r="BC45" s="1">
        <v>93.15</v>
      </c>
      <c r="BD45" s="1">
        <v>65577.600000000006</v>
      </c>
      <c r="BE45" s="1">
        <v>993.6</v>
      </c>
      <c r="BF45" s="1">
        <v>-6.8310000000000004</v>
      </c>
      <c r="BG45" s="1">
        <v>6.0236999999999998</v>
      </c>
      <c r="BH45" s="1">
        <f t="shared" si="6"/>
        <v>-9600</v>
      </c>
      <c r="BI45" s="1">
        <f t="shared" si="7"/>
        <v>-8466.7040627360057</v>
      </c>
      <c r="BJ45" s="27">
        <v>1059.5999999999999</v>
      </c>
      <c r="BK45" s="27">
        <v>19.7</v>
      </c>
      <c r="BL45" s="27">
        <v>1055.7</v>
      </c>
      <c r="BM45" s="27">
        <v>27.7</v>
      </c>
      <c r="BN45" s="27">
        <v>1067.5999999999999</v>
      </c>
      <c r="BO45" s="27">
        <v>53.6</v>
      </c>
      <c r="BP45" s="27">
        <v>1059.0999999999999</v>
      </c>
      <c r="BQ45" s="27">
        <v>19.5</v>
      </c>
      <c r="BR45" s="27">
        <v>0.32</v>
      </c>
    </row>
    <row r="46" spans="1:70" x14ac:dyDescent="0.2">
      <c r="A46" t="s">
        <v>152</v>
      </c>
      <c r="B46" t="s">
        <v>38</v>
      </c>
      <c r="C46" t="s">
        <v>153</v>
      </c>
      <c r="D46" t="s">
        <v>154</v>
      </c>
      <c r="E46">
        <v>82868</v>
      </c>
      <c r="F46">
        <v>40863</v>
      </c>
      <c r="G46" t="s">
        <v>154</v>
      </c>
      <c r="H46" s="1">
        <v>94.2</v>
      </c>
      <c r="I46" s="1">
        <v>156.69999999999999</v>
      </c>
      <c r="J46" s="10">
        <v>5.6289999999999996</v>
      </c>
      <c r="K46" s="10">
        <f t="shared" ca="1" si="0"/>
        <v>0.14106472415171695</v>
      </c>
      <c r="L46" s="7">
        <v>0.34229999999999999</v>
      </c>
      <c r="M46" s="7">
        <f t="shared" ca="1" si="1"/>
        <v>8.7193873638002801E-3</v>
      </c>
      <c r="N46" s="7">
        <v>0.96065999999999996</v>
      </c>
      <c r="O46" s="8">
        <v>2.921414</v>
      </c>
      <c r="P46" s="8">
        <f t="shared" ca="1" si="2"/>
        <v>7.4417002228146761E-2</v>
      </c>
      <c r="Q46" s="9">
        <v>0.11899999999999999</v>
      </c>
      <c r="R46" s="9">
        <f t="shared" ca="1" si="3"/>
        <v>2.4150569351466642E-3</v>
      </c>
      <c r="S46" s="8">
        <f t="shared" si="4"/>
        <v>0.43133344921100331</v>
      </c>
      <c r="T46" s="11">
        <v>9.2499999999999999E-2</v>
      </c>
      <c r="U46" s="11">
        <f t="shared" ca="1" si="5"/>
        <v>2.7986603938313058E-3</v>
      </c>
      <c r="V46" s="6" t="e">
        <f ca="1">IF(agePb6U8(1/O46)&lt;1400,age7corr(1/O46,Q46,$W$2),agePb76(Q46))</f>
        <v>#NAME?</v>
      </c>
      <c r="W46" s="6" t="e">
        <f ca="1">IF(agePb6U8(1/O46)&lt;1400,ageer7corr(V46,1/O46,P46/O46*(1/O46),Q46,R46,$W$2,0.05),ageerPb76(Q46,R46))</f>
        <v>#NAME?</v>
      </c>
      <c r="X46" s="4" t="e">
        <f ca="1">agePb6U8(L46)/agePb7u5(J46)</f>
        <v>#NAME?</v>
      </c>
      <c r="Y46" s="3"/>
      <c r="Z46" s="1">
        <v>5.6289999999999996</v>
      </c>
      <c r="AA46" s="1">
        <v>8.5000000000000006E-2</v>
      </c>
      <c r="AB46" s="1">
        <v>0.34229999999999999</v>
      </c>
      <c r="AC46" s="1">
        <v>5.4000000000000003E-3</v>
      </c>
      <c r="AD46" s="1">
        <v>0.96065999999999996</v>
      </c>
      <c r="AE46" s="1">
        <v>2.921414</v>
      </c>
      <c r="AF46" s="1">
        <v>4.6087160000000002E-2</v>
      </c>
      <c r="AG46" s="1">
        <v>0.11899999999999999</v>
      </c>
      <c r="AH46" s="1">
        <v>4.0999999999999999E-4</v>
      </c>
      <c r="AI46" s="1">
        <v>0.31968999999999997</v>
      </c>
      <c r="AJ46" s="1">
        <v>9.2499999999999999E-2</v>
      </c>
      <c r="AK46" s="1">
        <v>2.0999999999999999E-3</v>
      </c>
      <c r="AL46" s="1">
        <v>2.448</v>
      </c>
      <c r="AM46" s="1">
        <v>1.4E-2</v>
      </c>
      <c r="AN46" s="1">
        <v>1920</v>
      </c>
      <c r="AO46" s="1">
        <v>13</v>
      </c>
      <c r="AP46" s="1">
        <v>1897</v>
      </c>
      <c r="AQ46" s="1">
        <v>26</v>
      </c>
      <c r="AR46" s="1">
        <v>1787</v>
      </c>
      <c r="AS46" s="1">
        <v>39</v>
      </c>
      <c r="AT46" s="1">
        <v>1941.2</v>
      </c>
      <c r="AU46" s="1">
        <v>6.2</v>
      </c>
      <c r="AV46" s="1">
        <v>20.76</v>
      </c>
      <c r="AW46" s="1">
        <v>0.27</v>
      </c>
      <c r="AX46" s="1">
        <v>12.44</v>
      </c>
      <c r="AY46" s="1">
        <v>0.12000000000000001</v>
      </c>
      <c r="AZ46" s="1">
        <v>93212.099999999991</v>
      </c>
      <c r="BA46" s="1">
        <v>993.6</v>
      </c>
      <c r="BB46" s="1">
        <v>32900.579999999994</v>
      </c>
      <c r="BC46" s="1">
        <v>335.34000000000003</v>
      </c>
      <c r="BD46" s="1">
        <v>276903.90000000002</v>
      </c>
      <c r="BE46" s="1">
        <v>2794.5000000000005</v>
      </c>
      <c r="BF46" s="1">
        <v>3.6638999999999999</v>
      </c>
      <c r="BG46" s="1">
        <v>4.7816999999999998</v>
      </c>
      <c r="BH46" s="1">
        <f t="shared" si="6"/>
        <v>75576.271186440688</v>
      </c>
      <c r="BI46" s="1">
        <f t="shared" si="7"/>
        <v>98636.387569064813</v>
      </c>
      <c r="BJ46" s="27">
        <v>1918.6</v>
      </c>
      <c r="BK46" s="27">
        <v>19.5</v>
      </c>
      <c r="BL46" s="27">
        <v>1898.5</v>
      </c>
      <c r="BM46" s="27">
        <v>39.4</v>
      </c>
      <c r="BN46" s="27">
        <v>1940.5</v>
      </c>
      <c r="BO46" s="27">
        <v>30.1</v>
      </c>
      <c r="BP46" s="27">
        <v>1923.4</v>
      </c>
      <c r="BQ46" s="27">
        <v>18.3</v>
      </c>
      <c r="BR46" s="27">
        <v>1.1000000000000001</v>
      </c>
    </row>
    <row r="47" spans="1:70" x14ac:dyDescent="0.2">
      <c r="A47" t="s">
        <v>317</v>
      </c>
      <c r="B47" t="s">
        <v>38</v>
      </c>
      <c r="C47" t="s">
        <v>318</v>
      </c>
      <c r="D47" t="s">
        <v>319</v>
      </c>
      <c r="E47">
        <v>81639</v>
      </c>
      <c r="F47">
        <v>41400</v>
      </c>
      <c r="G47" t="s">
        <v>319</v>
      </c>
      <c r="H47" s="1">
        <v>60.14</v>
      </c>
      <c r="I47" s="1">
        <v>47.61</v>
      </c>
      <c r="J47" s="10">
        <v>3.097</v>
      </c>
      <c r="K47" s="10">
        <f t="shared" ca="1" si="0"/>
        <v>0.10117590424602096</v>
      </c>
      <c r="L47" s="7">
        <v>0.2472</v>
      </c>
      <c r="M47" s="7">
        <f t="shared" ca="1" si="1"/>
        <v>7.3954807822074692E-3</v>
      </c>
      <c r="N47" s="7">
        <v>0.95813999999999999</v>
      </c>
      <c r="O47" s="8">
        <v>4.0453070000000002</v>
      </c>
      <c r="P47" s="8">
        <f t="shared" ca="1" si="2"/>
        <v>0.12102343208210549</v>
      </c>
      <c r="Q47" s="9">
        <v>9.0060000000000001E-2</v>
      </c>
      <c r="R47" s="9">
        <f t="shared" ca="1" si="3"/>
        <v>1.8640604711221147E-3</v>
      </c>
      <c r="S47" s="8">
        <f t="shared" si="4"/>
        <v>0.5323844319505201</v>
      </c>
      <c r="T47" s="11">
        <v>7.0099999999999996E-2</v>
      </c>
      <c r="U47" s="11">
        <f t="shared" ca="1" si="5"/>
        <v>2.1273467042304127E-3</v>
      </c>
      <c r="V47" s="6" t="e">
        <f ca="1">IF(agePb6U8(1/O47)&lt;1400,age7corr(1/O47,Q47,$W$2),agePb76(Q47))</f>
        <v>#NAME?</v>
      </c>
      <c r="W47" s="6" t="e">
        <f ca="1">IF(agePb6U8(1/O47)&lt;1400,ageer7corr(V47,1/O47,P47/O47*(1/O47),Q47,R47,$W$2,0.05),ageerPb76(Q47,R47))</f>
        <v>#NAME?</v>
      </c>
      <c r="X47" s="4" t="e">
        <f ca="1">agePb6U8(L47)/agePb7u5(J47)</f>
        <v>#NAME?</v>
      </c>
      <c r="Y47" s="3"/>
      <c r="Z47" s="1">
        <v>3.097</v>
      </c>
      <c r="AA47" s="1">
        <v>0.08</v>
      </c>
      <c r="AB47" s="1">
        <v>0.2472</v>
      </c>
      <c r="AC47" s="1">
        <v>5.4999999999999997E-3</v>
      </c>
      <c r="AD47" s="1">
        <v>0.95813999999999999</v>
      </c>
      <c r="AE47" s="1">
        <v>4.0453070000000002</v>
      </c>
      <c r="AF47" s="1">
        <v>9.0004819999999999E-2</v>
      </c>
      <c r="AG47" s="1">
        <v>9.0060000000000001E-2</v>
      </c>
      <c r="AH47" s="1">
        <v>4.8000000000000001E-4</v>
      </c>
      <c r="AI47" s="1">
        <v>-0.15697</v>
      </c>
      <c r="AJ47" s="1">
        <v>7.0099999999999996E-2</v>
      </c>
      <c r="AK47" s="1">
        <v>1.6000000000000001E-3</v>
      </c>
      <c r="AL47" s="1">
        <v>4.7480000000000002</v>
      </c>
      <c r="AM47" s="1">
        <v>1.6E-2</v>
      </c>
      <c r="AN47" s="1">
        <v>1431</v>
      </c>
      <c r="AO47" s="1">
        <v>20</v>
      </c>
      <c r="AP47" s="1">
        <v>1424</v>
      </c>
      <c r="AQ47" s="1">
        <v>28</v>
      </c>
      <c r="AR47" s="1">
        <v>1368</v>
      </c>
      <c r="AS47" s="1">
        <v>31</v>
      </c>
      <c r="AT47" s="1">
        <v>1427</v>
      </c>
      <c r="AU47" s="1">
        <v>10</v>
      </c>
      <c r="AV47" s="1">
        <v>13.180000000000001</v>
      </c>
      <c r="AW47" s="1">
        <v>0.18000000000000002</v>
      </c>
      <c r="AX47" s="1">
        <v>3.77</v>
      </c>
      <c r="AY47" s="1">
        <v>7.3999999999999996E-2</v>
      </c>
      <c r="AZ47" s="1">
        <v>21592.170000000002</v>
      </c>
      <c r="BA47" s="1">
        <v>341.54999999999995</v>
      </c>
      <c r="BB47" s="1">
        <v>11395.35</v>
      </c>
      <c r="BC47" s="1">
        <v>167.67000000000002</v>
      </c>
      <c r="BD47" s="1">
        <v>127180.8</v>
      </c>
      <c r="BE47" s="1">
        <v>1925.1</v>
      </c>
      <c r="BF47" s="1">
        <v>-5.5889999999999995</v>
      </c>
      <c r="BG47" s="1">
        <v>5.8995000000000006</v>
      </c>
      <c r="BH47" s="1">
        <f t="shared" si="6"/>
        <v>-22755.555555555558</v>
      </c>
      <c r="BI47" s="1">
        <f t="shared" si="7"/>
        <v>-24022.22263463313</v>
      </c>
      <c r="BJ47" s="27">
        <v>1423.4</v>
      </c>
      <c r="BK47" s="27">
        <v>19.899999999999999</v>
      </c>
      <c r="BL47" s="27">
        <v>1422.5</v>
      </c>
      <c r="BM47" s="27">
        <v>37.799999999999997</v>
      </c>
      <c r="BN47" s="27">
        <v>1424.7</v>
      </c>
      <c r="BO47" s="27">
        <v>42.4</v>
      </c>
      <c r="BP47" s="27">
        <v>1423.5</v>
      </c>
      <c r="BQ47" s="27">
        <v>19.399999999999999</v>
      </c>
      <c r="BR47" s="27">
        <v>5.7000000000000002E-2</v>
      </c>
    </row>
    <row r="48" spans="1:70" x14ac:dyDescent="0.2">
      <c r="A48" t="s">
        <v>320</v>
      </c>
      <c r="B48" t="s">
        <v>38</v>
      </c>
      <c r="C48" t="s">
        <v>321</v>
      </c>
      <c r="D48" t="s">
        <v>322</v>
      </c>
      <c r="E48">
        <v>81736</v>
      </c>
      <c r="F48">
        <v>41894</v>
      </c>
      <c r="G48" t="s">
        <v>322</v>
      </c>
      <c r="H48" s="1">
        <v>122.8</v>
      </c>
      <c r="I48" s="1">
        <v>96.2</v>
      </c>
      <c r="J48" s="10">
        <v>1.67</v>
      </c>
      <c r="K48" s="10">
        <f t="shared" ca="1" si="0"/>
        <v>4.7660885430298082E-2</v>
      </c>
      <c r="L48" s="7">
        <v>0.16769999999999999</v>
      </c>
      <c r="M48" s="7">
        <f t="shared" ca="1" si="1"/>
        <v>4.70524345810076E-3</v>
      </c>
      <c r="N48" s="7">
        <v>0.94630999999999998</v>
      </c>
      <c r="O48" s="8">
        <v>5.9630289999999997</v>
      </c>
      <c r="P48" s="8">
        <f t="shared" ca="1" si="2"/>
        <v>0.16730773706612134</v>
      </c>
      <c r="Q48" s="9">
        <v>7.2620000000000004E-2</v>
      </c>
      <c r="R48" s="9">
        <f t="shared" ca="1" si="3"/>
        <v>1.5360552594226552E-3</v>
      </c>
      <c r="S48" s="8">
        <f t="shared" si="4"/>
        <v>0.30157803195477173</v>
      </c>
      <c r="T48" s="11">
        <v>4.9399999999999999E-2</v>
      </c>
      <c r="U48" s="11">
        <f t="shared" ca="1" si="5"/>
        <v>1.478561463044401E-3</v>
      </c>
      <c r="V48" s="6" t="e">
        <f ca="1">IF(agePb6U8(1/O48)&lt;1400,age7corr(1/O48,Q48,$W$2),agePb76(Q48))</f>
        <v>#NAME?</v>
      </c>
      <c r="W48" s="6" t="e">
        <f ca="1">IF(agePb6U8(1/O48)&lt;1400,ageer7corr(V48,1/O48,P48/O48*(1/O48),Q48,R48,$W$2,0.05),ageerPb76(Q48,R48))</f>
        <v>#NAME?</v>
      </c>
      <c r="X48" s="4" t="e">
        <f ca="1">agePb6U8(L48)/agePb7u5(J48)</f>
        <v>#NAME?</v>
      </c>
      <c r="Y48" s="3"/>
      <c r="Z48" s="1">
        <v>1.67</v>
      </c>
      <c r="AA48" s="1">
        <v>3.4000000000000002E-2</v>
      </c>
      <c r="AB48" s="1">
        <v>0.16769999999999999</v>
      </c>
      <c r="AC48" s="1">
        <v>3.3E-3</v>
      </c>
      <c r="AD48" s="1">
        <v>0.94630999999999998</v>
      </c>
      <c r="AE48" s="1">
        <v>5.9630289999999997</v>
      </c>
      <c r="AF48" s="1">
        <v>0.1173405</v>
      </c>
      <c r="AG48" s="1">
        <v>7.2620000000000004E-2</v>
      </c>
      <c r="AH48" s="1">
        <v>5.0000000000000001E-4</v>
      </c>
      <c r="AI48" s="1">
        <v>0.14857999999999999</v>
      </c>
      <c r="AJ48" s="1">
        <v>4.9399999999999999E-2</v>
      </c>
      <c r="AK48" s="1">
        <v>1.1000000000000001E-3</v>
      </c>
      <c r="AL48" s="1">
        <v>4.5780000000000003</v>
      </c>
      <c r="AM48" s="1">
        <v>1.4999999999999999E-2</v>
      </c>
      <c r="AN48" s="1">
        <v>997</v>
      </c>
      <c r="AO48" s="1">
        <v>13</v>
      </c>
      <c r="AP48" s="1">
        <v>999</v>
      </c>
      <c r="AQ48" s="1">
        <v>18</v>
      </c>
      <c r="AR48" s="1">
        <v>974</v>
      </c>
      <c r="AS48" s="1">
        <v>21</v>
      </c>
      <c r="AT48" s="1">
        <v>1003</v>
      </c>
      <c r="AU48" s="1">
        <v>14</v>
      </c>
      <c r="AV48" s="1">
        <v>26.91</v>
      </c>
      <c r="AW48" s="1">
        <v>0.43</v>
      </c>
      <c r="AX48" s="1">
        <v>7.62</v>
      </c>
      <c r="AY48" s="1">
        <v>0.1</v>
      </c>
      <c r="AZ48" s="1">
        <v>30851.280000000002</v>
      </c>
      <c r="BA48" s="1">
        <v>391.23</v>
      </c>
      <c r="BB48" s="1">
        <v>12581.460000000001</v>
      </c>
      <c r="BC48" s="1">
        <v>192.51</v>
      </c>
      <c r="BD48" s="1">
        <v>175246.2</v>
      </c>
      <c r="BE48" s="1">
        <v>1800.9</v>
      </c>
      <c r="BF48" s="1">
        <v>55.89</v>
      </c>
      <c r="BG48" s="1">
        <v>6.8310000000000004</v>
      </c>
      <c r="BH48" s="1">
        <f t="shared" si="6"/>
        <v>3135.5555555555557</v>
      </c>
      <c r="BI48" s="1">
        <f t="shared" si="7"/>
        <v>384.58679857658177</v>
      </c>
      <c r="BJ48" s="27">
        <v>1004</v>
      </c>
      <c r="BK48" s="27">
        <v>21.1</v>
      </c>
      <c r="BL48" s="27">
        <v>999.9</v>
      </c>
      <c r="BM48" s="27">
        <v>26.4</v>
      </c>
      <c r="BN48" s="27">
        <v>1013</v>
      </c>
      <c r="BO48" s="27">
        <v>55.5</v>
      </c>
      <c r="BP48" s="27">
        <v>1003.1</v>
      </c>
      <c r="BQ48" s="27">
        <v>20.6</v>
      </c>
      <c r="BR48" s="27">
        <v>0.36</v>
      </c>
    </row>
    <row r="49" spans="1:70" x14ac:dyDescent="0.2">
      <c r="A49" t="s">
        <v>323</v>
      </c>
      <c r="B49" t="s">
        <v>38</v>
      </c>
      <c r="C49" t="s">
        <v>324</v>
      </c>
      <c r="D49" t="s">
        <v>325</v>
      </c>
      <c r="E49">
        <v>81591</v>
      </c>
      <c r="F49">
        <v>42040</v>
      </c>
      <c r="G49" t="s">
        <v>325</v>
      </c>
      <c r="H49" s="1">
        <v>49.5</v>
      </c>
      <c r="I49" s="1">
        <v>29.4</v>
      </c>
      <c r="J49" s="10">
        <v>1.85</v>
      </c>
      <c r="K49" s="10">
        <f t="shared" ca="1" si="0"/>
        <v>4.5221676218380052E-2</v>
      </c>
      <c r="L49" s="7">
        <v>0.1774</v>
      </c>
      <c r="M49" s="7">
        <f t="shared" ca="1" si="1"/>
        <v>4.2834920333765063E-3</v>
      </c>
      <c r="N49" s="7">
        <v>0.85772999999999999</v>
      </c>
      <c r="O49" s="8">
        <v>5.6369790000000002</v>
      </c>
      <c r="P49" s="8">
        <f t="shared" ca="1" si="2"/>
        <v>0.13611022812628484</v>
      </c>
      <c r="Q49" s="9">
        <v>7.5800000000000006E-2</v>
      </c>
      <c r="R49" s="9">
        <f t="shared" ca="1" si="3"/>
        <v>1.6196160038725229E-3</v>
      </c>
      <c r="S49" s="8">
        <f t="shared" si="4"/>
        <v>0.41248004682118405</v>
      </c>
      <c r="T49" s="11">
        <v>5.4679999999999999E-2</v>
      </c>
      <c r="U49" s="11">
        <f t="shared" ca="1" si="5"/>
        <v>1.4486065580412094E-3</v>
      </c>
      <c r="V49" s="6" t="e">
        <f ca="1">IF(agePb6U8(1/O49)&lt;1400,age7corr(1/O49,Q49,$W$2),agePb76(Q49))</f>
        <v>#NAME?</v>
      </c>
      <c r="W49" s="6" t="e">
        <f ca="1">IF(agePb6U8(1/O49)&lt;1400,ageer7corr(V49,1/O49,P49/O49*(1/O49),Q49,R49,$W$2,0.05),ageerPb76(Q49,R49))</f>
        <v>#NAME?</v>
      </c>
      <c r="X49" s="4" t="e">
        <f ca="1">agePb6U8(L49)/agePb7u5(J49)</f>
        <v>#NAME?</v>
      </c>
      <c r="Y49" s="3"/>
      <c r="Z49" s="1">
        <v>1.85</v>
      </c>
      <c r="AA49" s="1">
        <v>2.5999999999999999E-2</v>
      </c>
      <c r="AB49" s="1">
        <v>0.1774</v>
      </c>
      <c r="AC49" s="1">
        <v>2.3999999999999998E-3</v>
      </c>
      <c r="AD49" s="1">
        <v>0.85772999999999999</v>
      </c>
      <c r="AE49" s="1">
        <v>5.6369790000000002</v>
      </c>
      <c r="AF49" s="1">
        <v>7.6261270000000006E-2</v>
      </c>
      <c r="AG49" s="1">
        <v>7.5800000000000006E-2</v>
      </c>
      <c r="AH49" s="1">
        <v>5.6999999999999998E-4</v>
      </c>
      <c r="AI49" s="1">
        <v>0.26245000000000002</v>
      </c>
      <c r="AJ49" s="1">
        <v>5.4679999999999999E-2</v>
      </c>
      <c r="AK49" s="1">
        <v>9.5E-4</v>
      </c>
      <c r="AL49" s="1">
        <v>5.7850000000000001</v>
      </c>
      <c r="AM49" s="1">
        <v>4.2999999999999997E-2</v>
      </c>
      <c r="AN49" s="1">
        <v>1063.2</v>
      </c>
      <c r="AO49" s="1">
        <v>9.1999999999999993</v>
      </c>
      <c r="AP49" s="1">
        <v>1053</v>
      </c>
      <c r="AQ49" s="1">
        <v>13</v>
      </c>
      <c r="AR49" s="1">
        <v>1076</v>
      </c>
      <c r="AS49" s="1">
        <v>18</v>
      </c>
      <c r="AT49" s="1">
        <v>1089</v>
      </c>
      <c r="AU49" s="1">
        <v>15</v>
      </c>
      <c r="AV49" s="1">
        <v>10.85</v>
      </c>
      <c r="AW49" s="1">
        <v>0.55000000000000004</v>
      </c>
      <c r="AX49" s="1">
        <v>2.327</v>
      </c>
      <c r="AY49" s="1">
        <v>8.2000000000000003E-2</v>
      </c>
      <c r="AZ49" s="1">
        <v>10420.380000000001</v>
      </c>
      <c r="BA49" s="1">
        <v>459.54</v>
      </c>
      <c r="BB49" s="1">
        <v>5638.6799999999994</v>
      </c>
      <c r="BC49" s="1">
        <v>229.77</v>
      </c>
      <c r="BD49" s="1">
        <v>74644.2</v>
      </c>
      <c r="BE49" s="1">
        <v>2856.6</v>
      </c>
      <c r="BF49" s="1">
        <v>-12.419999999999998</v>
      </c>
      <c r="BG49" s="1">
        <v>6.8310000000000004</v>
      </c>
      <c r="BH49" s="1">
        <f t="shared" si="6"/>
        <v>-6010.0000000000009</v>
      </c>
      <c r="BI49" s="1">
        <f t="shared" si="7"/>
        <v>-3313.4921533029183</v>
      </c>
      <c r="BJ49" s="27">
        <v>1066</v>
      </c>
      <c r="BK49" s="27">
        <v>18.399999999999999</v>
      </c>
      <c r="BL49" s="27">
        <v>1052.2</v>
      </c>
      <c r="BM49" s="27">
        <v>24.1</v>
      </c>
      <c r="BN49" s="27">
        <v>1094.2</v>
      </c>
      <c r="BO49" s="27">
        <v>52.7</v>
      </c>
      <c r="BP49" s="27">
        <v>1062.5999999999999</v>
      </c>
      <c r="BQ49" s="27">
        <v>17.7</v>
      </c>
      <c r="BR49" s="27">
        <v>1.1000000000000001</v>
      </c>
    </row>
    <row r="50" spans="1:70" x14ac:dyDescent="0.2">
      <c r="A50" t="s">
        <v>326</v>
      </c>
      <c r="B50" t="s">
        <v>38</v>
      </c>
      <c r="C50" t="s">
        <v>327</v>
      </c>
      <c r="D50" t="s">
        <v>328</v>
      </c>
      <c r="E50">
        <v>81685</v>
      </c>
      <c r="F50">
        <v>42285</v>
      </c>
      <c r="G50" t="s">
        <v>328</v>
      </c>
      <c r="H50" s="1">
        <v>250.9</v>
      </c>
      <c r="I50" s="1">
        <v>114.3</v>
      </c>
      <c r="J50" s="10">
        <v>2.33</v>
      </c>
      <c r="K50" s="10">
        <f t="shared" ca="1" si="0"/>
        <v>7.1327133686977781E-2</v>
      </c>
      <c r="L50" s="7">
        <v>0.20619999999999999</v>
      </c>
      <c r="M50" s="7">
        <f t="shared" ca="1" si="1"/>
        <v>6.177975072788818E-3</v>
      </c>
      <c r="N50" s="7">
        <v>0.99434999999999996</v>
      </c>
      <c r="O50" s="8">
        <v>4.8496610000000002</v>
      </c>
      <c r="P50" s="8">
        <f t="shared" ca="1" si="2"/>
        <v>0.14530111706565921</v>
      </c>
      <c r="Q50" s="9">
        <v>8.1900000000000001E-2</v>
      </c>
      <c r="R50" s="9">
        <f t="shared" ca="1" si="3"/>
        <v>1.6540689223850378E-3</v>
      </c>
      <c r="S50" s="8">
        <f t="shared" si="4"/>
        <v>0.41702177900507936</v>
      </c>
      <c r="T50" s="11">
        <v>6.1400000000000003E-2</v>
      </c>
      <c r="U50" s="11">
        <f t="shared" ca="1" si="5"/>
        <v>1.6486309471801142E-3</v>
      </c>
      <c r="V50" s="6" t="e">
        <f ca="1">IF(agePb6U8(1/O50)&lt;1400,age7corr(1/O50,Q50,$W$2),agePb76(Q50))</f>
        <v>#NAME?</v>
      </c>
      <c r="W50" s="6" t="e">
        <f ca="1">IF(agePb6U8(1/O50)&lt;1400,ageer7corr(V50,1/O50,P50/O50*(1/O50),Q50,R50,$W$2,0.05),ageerPb76(Q50,R50))</f>
        <v>#NAME?</v>
      </c>
      <c r="X50" s="4" t="e">
        <f ca="1">agePb6U8(L50)/agePb7u5(J50)</f>
        <v>#NAME?</v>
      </c>
      <c r="Y50" s="3"/>
      <c r="Z50" s="1">
        <v>2.33</v>
      </c>
      <c r="AA50" s="1">
        <v>5.3999999999999999E-2</v>
      </c>
      <c r="AB50" s="1">
        <v>0.20619999999999999</v>
      </c>
      <c r="AC50" s="1">
        <v>4.5999999999999999E-3</v>
      </c>
      <c r="AD50" s="1">
        <v>0.99434999999999996</v>
      </c>
      <c r="AE50" s="1">
        <v>4.8496610000000002</v>
      </c>
      <c r="AF50" s="1">
        <v>0.1081884</v>
      </c>
      <c r="AG50" s="1">
        <v>8.1900000000000001E-2</v>
      </c>
      <c r="AH50" s="1">
        <v>2.3000000000000001E-4</v>
      </c>
      <c r="AI50" s="1">
        <v>-0.29393999999999998</v>
      </c>
      <c r="AJ50" s="1">
        <v>6.1400000000000003E-2</v>
      </c>
      <c r="AK50" s="1">
        <v>1.1000000000000001E-3</v>
      </c>
      <c r="AL50" s="1">
        <v>7.7640000000000002</v>
      </c>
      <c r="AM50" s="1">
        <v>0.03</v>
      </c>
      <c r="AN50" s="1">
        <v>1221</v>
      </c>
      <c r="AO50" s="1">
        <v>16</v>
      </c>
      <c r="AP50" s="1">
        <v>1208</v>
      </c>
      <c r="AQ50" s="1">
        <v>25</v>
      </c>
      <c r="AR50" s="1">
        <v>1204</v>
      </c>
      <c r="AS50" s="1">
        <v>22</v>
      </c>
      <c r="AT50" s="1">
        <v>1243</v>
      </c>
      <c r="AU50" s="1">
        <v>5.6</v>
      </c>
      <c r="AV50" s="1">
        <v>55</v>
      </c>
      <c r="AW50" s="1">
        <v>1.7</v>
      </c>
      <c r="AX50" s="1">
        <v>9.0500000000000007</v>
      </c>
      <c r="AY50" s="1">
        <v>0.12999999999999998</v>
      </c>
      <c r="AZ50" s="1">
        <v>45705.599999999999</v>
      </c>
      <c r="BA50" s="1">
        <v>993.6</v>
      </c>
      <c r="BB50" s="1">
        <v>35955.899999999994</v>
      </c>
      <c r="BC50" s="1">
        <v>931.50000000000011</v>
      </c>
      <c r="BD50" s="1">
        <v>439668</v>
      </c>
      <c r="BE50" s="1">
        <v>10557</v>
      </c>
      <c r="BF50" s="1">
        <v>-4.3470000000000004</v>
      </c>
      <c r="BG50" s="1">
        <v>5.1543000000000001</v>
      </c>
      <c r="BH50" s="1">
        <f t="shared" si="6"/>
        <v>-101142.85714285713</v>
      </c>
      <c r="BI50" s="1">
        <f t="shared" si="7"/>
        <v>-119951.11797675495</v>
      </c>
      <c r="BJ50" s="27">
        <v>1221.5</v>
      </c>
      <c r="BK50" s="27">
        <v>21.5</v>
      </c>
      <c r="BL50" s="27">
        <v>1208.5</v>
      </c>
      <c r="BM50" s="27">
        <v>34.1</v>
      </c>
      <c r="BN50" s="27">
        <v>1244.5999999999999</v>
      </c>
      <c r="BO50" s="27">
        <v>47.8</v>
      </c>
      <c r="BP50" s="27">
        <v>1222.3</v>
      </c>
      <c r="BQ50" s="27">
        <v>21.5</v>
      </c>
      <c r="BR50" s="27">
        <v>0.98</v>
      </c>
    </row>
    <row r="51" spans="1:70" x14ac:dyDescent="0.2">
      <c r="A51" t="s">
        <v>329</v>
      </c>
      <c r="B51" t="s">
        <v>38</v>
      </c>
      <c r="C51" t="s">
        <v>330</v>
      </c>
      <c r="D51" t="s">
        <v>331</v>
      </c>
      <c r="E51">
        <v>81755</v>
      </c>
      <c r="F51">
        <v>42501</v>
      </c>
      <c r="G51" t="s">
        <v>331</v>
      </c>
      <c r="H51" s="1">
        <v>292.8</v>
      </c>
      <c r="I51" s="1">
        <v>164.3</v>
      </c>
      <c r="J51" s="10">
        <v>1.9139999999999999</v>
      </c>
      <c r="K51" s="10">
        <f t="shared" ca="1" si="0"/>
        <v>5.0540660858362355E-2</v>
      </c>
      <c r="L51" s="7">
        <v>0.1807</v>
      </c>
      <c r="M51" s="7">
        <f t="shared" ca="1" si="1"/>
        <v>4.9619548567071828E-3</v>
      </c>
      <c r="N51" s="7">
        <v>0.98755999999999999</v>
      </c>
      <c r="O51" s="8">
        <v>5.5340340000000001</v>
      </c>
      <c r="P51" s="8">
        <f t="shared" ca="1" si="2"/>
        <v>0.15196250657153035</v>
      </c>
      <c r="Q51" s="9">
        <v>7.6300000000000007E-2</v>
      </c>
      <c r="R51" s="9">
        <f t="shared" ca="1" si="3"/>
        <v>1.5365793178355618E-3</v>
      </c>
      <c r="S51" s="8">
        <f t="shared" si="4"/>
        <v>0.46957271514783072</v>
      </c>
      <c r="T51" s="11">
        <v>5.5300000000000002E-2</v>
      </c>
      <c r="U51" s="11">
        <f t="shared" ca="1" si="5"/>
        <v>1.5598833289704715E-3</v>
      </c>
      <c r="V51" s="6" t="e">
        <f ca="1">IF(agePb6U8(1/O51)&lt;1400,age7corr(1/O51,Q51,$W$2),agePb76(Q51))</f>
        <v>#NAME?</v>
      </c>
      <c r="W51" s="6" t="e">
        <f ca="1">IF(agePb6U8(1/O51)&lt;1400,ageer7corr(V51,1/O51,P51/O51*(1/O51),Q51,R51,$W$2,0.05),ageerPb76(Q51,R51))</f>
        <v>#NAME?</v>
      </c>
      <c r="X51" s="4" t="e">
        <f ca="1">agePb6U8(L51)/agePb7u5(J51)</f>
        <v>#NAME?</v>
      </c>
      <c r="Y51" s="3"/>
      <c r="Z51" s="1">
        <v>1.9139999999999999</v>
      </c>
      <c r="AA51" s="1">
        <v>3.3000000000000002E-2</v>
      </c>
      <c r="AB51" s="1">
        <v>0.1807</v>
      </c>
      <c r="AC51" s="1">
        <v>3.3999999999999998E-3</v>
      </c>
      <c r="AD51" s="1">
        <v>0.98755999999999999</v>
      </c>
      <c r="AE51" s="1">
        <v>5.5340340000000001</v>
      </c>
      <c r="AF51" s="1">
        <v>0.10412680000000001</v>
      </c>
      <c r="AG51" s="1">
        <v>7.6300000000000007E-2</v>
      </c>
      <c r="AH51" s="1">
        <v>1.8000000000000001E-4</v>
      </c>
      <c r="AI51" s="1">
        <v>0.16425999999999999</v>
      </c>
      <c r="AJ51" s="1">
        <v>5.5300000000000002E-2</v>
      </c>
      <c r="AK51" s="1">
        <v>1.1000000000000001E-3</v>
      </c>
      <c r="AL51" s="1">
        <v>6.2939999999999996</v>
      </c>
      <c r="AM51" s="1">
        <v>1.4999999999999999E-2</v>
      </c>
      <c r="AN51" s="1">
        <v>1086</v>
      </c>
      <c r="AO51" s="1">
        <v>11</v>
      </c>
      <c r="AP51" s="1">
        <v>1071</v>
      </c>
      <c r="AQ51" s="1">
        <v>18</v>
      </c>
      <c r="AR51" s="1">
        <v>1088</v>
      </c>
      <c r="AS51" s="1">
        <v>22</v>
      </c>
      <c r="AT51" s="1">
        <v>1102.9000000000001</v>
      </c>
      <c r="AU51" s="1">
        <v>4.8</v>
      </c>
      <c r="AV51" s="1">
        <v>64.14</v>
      </c>
      <c r="AW51" s="1">
        <v>0.8</v>
      </c>
      <c r="AX51" s="1">
        <v>13.010000000000002</v>
      </c>
      <c r="AY51" s="1">
        <v>0.13999999999999999</v>
      </c>
      <c r="AZ51" s="1">
        <v>58330.53</v>
      </c>
      <c r="BA51" s="1">
        <v>614.79000000000008</v>
      </c>
      <c r="BB51" s="1">
        <v>34838.1</v>
      </c>
      <c r="BC51" s="1">
        <v>322.91999999999996</v>
      </c>
      <c r="BD51" s="1">
        <v>455627.7</v>
      </c>
      <c r="BE51" s="1">
        <v>4657.5</v>
      </c>
      <c r="BF51" s="1">
        <v>10.556999999999999</v>
      </c>
      <c r="BG51" s="1">
        <v>8.0729999999999986</v>
      </c>
      <c r="BH51" s="1">
        <f t="shared" si="6"/>
        <v>43158.823529411769</v>
      </c>
      <c r="BI51" s="1">
        <f t="shared" si="7"/>
        <v>33006.754797135683</v>
      </c>
      <c r="BJ51" s="27">
        <v>1079</v>
      </c>
      <c r="BK51" s="27">
        <v>18.3</v>
      </c>
      <c r="BL51" s="27">
        <v>1071.5</v>
      </c>
      <c r="BM51" s="27">
        <v>26.8</v>
      </c>
      <c r="BN51" s="27">
        <v>1094.2</v>
      </c>
      <c r="BO51" s="27">
        <v>52.7</v>
      </c>
      <c r="BP51" s="27">
        <v>1078</v>
      </c>
      <c r="BQ51" s="27">
        <v>18.100000000000001</v>
      </c>
      <c r="BR51" s="27">
        <v>0.61</v>
      </c>
    </row>
    <row r="52" spans="1:70" s="23" customFormat="1" x14ac:dyDescent="0.2">
      <c r="A52" s="23" t="s">
        <v>332</v>
      </c>
      <c r="B52" s="23" t="s">
        <v>38</v>
      </c>
      <c r="C52" s="23" t="s">
        <v>333</v>
      </c>
      <c r="D52" s="23" t="s">
        <v>334</v>
      </c>
      <c r="E52" s="23">
        <v>81711</v>
      </c>
      <c r="F52" s="23">
        <v>42644</v>
      </c>
      <c r="G52" s="23" t="s">
        <v>334</v>
      </c>
      <c r="H52" s="24">
        <v>418</v>
      </c>
      <c r="I52" s="24">
        <v>105.7</v>
      </c>
      <c r="J52" s="25">
        <v>4.4210000000000003</v>
      </c>
      <c r="K52" s="25">
        <f t="shared" ca="1" si="0"/>
        <v>0.12474813184973954</v>
      </c>
      <c r="L52" s="26">
        <v>0.28029999999999999</v>
      </c>
      <c r="M52" s="26">
        <f t="shared" ca="1" si="1"/>
        <v>9.1250882735456305E-3</v>
      </c>
      <c r="N52" s="26">
        <v>0.85133999999999999</v>
      </c>
      <c r="O52" s="26">
        <v>3.5676060000000001</v>
      </c>
      <c r="P52" s="26">
        <f t="shared" ca="1" si="2"/>
        <v>0.11614242240181663</v>
      </c>
      <c r="Q52" s="25">
        <v>0.11279</v>
      </c>
      <c r="R52" s="25">
        <f t="shared" ca="1" si="3"/>
        <v>2.3901325569934402E-3</v>
      </c>
      <c r="S52" s="26">
        <f t="shared" si="4"/>
        <v>0.42495988496408277</v>
      </c>
      <c r="T52" s="25">
        <v>8.5800000000000001E-2</v>
      </c>
      <c r="U52" s="25">
        <f t="shared" ca="1" si="5"/>
        <v>3.45610416509688E-3</v>
      </c>
      <c r="V52" s="24" t="e">
        <f ca="1">IF(agePb6U8(1/O52)&lt;1400,age7corr(1/O52,Q52,$W$2),agePb76(Q52))</f>
        <v>#NAME?</v>
      </c>
      <c r="W52" s="24" t="e">
        <f ca="1">IF(agePb6U8(1/O52)&lt;1400,ageer7corr(V52,1/O52,P52/O52*(1/O52),Q52,R52,$W$2,0.05),ageerPb76(Q52,R52))</f>
        <v>#NAME?</v>
      </c>
      <c r="X52" s="26" t="e">
        <f ca="1">agePb6U8(L52)/agePb7u5(J52)</f>
        <v>#NAME?</v>
      </c>
      <c r="Y52" s="24"/>
      <c r="Z52" s="24">
        <v>4.4210000000000003</v>
      </c>
      <c r="AA52" s="24">
        <v>8.7999999999999995E-2</v>
      </c>
      <c r="AB52" s="24">
        <v>0.28029999999999999</v>
      </c>
      <c r="AC52" s="24">
        <v>7.1999999999999998E-3</v>
      </c>
      <c r="AD52" s="24">
        <v>0.85133999999999999</v>
      </c>
      <c r="AE52" s="24">
        <v>3.5676060000000001</v>
      </c>
      <c r="AF52" s="24">
        <v>9.1640260000000001E-2</v>
      </c>
      <c r="AG52" s="24">
        <v>0.11279</v>
      </c>
      <c r="AH52" s="24">
        <v>7.9000000000000001E-4</v>
      </c>
      <c r="AI52" s="24">
        <v>0.47371000000000002</v>
      </c>
      <c r="AJ52" s="24">
        <v>8.5800000000000001E-2</v>
      </c>
      <c r="AK52" s="24">
        <v>3.0000000000000001E-3</v>
      </c>
      <c r="AL52" s="24">
        <v>13.45</v>
      </c>
      <c r="AM52" s="24">
        <v>0.6</v>
      </c>
      <c r="AN52" s="24">
        <v>1716</v>
      </c>
      <c r="AO52" s="24">
        <v>17</v>
      </c>
      <c r="AP52" s="24">
        <v>1593</v>
      </c>
      <c r="AQ52" s="24">
        <v>36</v>
      </c>
      <c r="AR52" s="24">
        <v>1663</v>
      </c>
      <c r="AS52" s="24">
        <v>55</v>
      </c>
      <c r="AT52" s="24">
        <v>1845</v>
      </c>
      <c r="AU52" s="24">
        <v>12</v>
      </c>
      <c r="AV52" s="24">
        <v>91.5</v>
      </c>
      <c r="AW52" s="24">
        <v>4.8</v>
      </c>
      <c r="AX52" s="24">
        <v>8.370000000000001</v>
      </c>
      <c r="AY52" s="24">
        <v>0.23</v>
      </c>
      <c r="AZ52" s="24">
        <v>58870.799999999996</v>
      </c>
      <c r="BA52" s="24">
        <v>2049.3000000000002</v>
      </c>
      <c r="BB52" s="24">
        <v>113022</v>
      </c>
      <c r="BC52" s="24">
        <v>6210</v>
      </c>
      <c r="BD52" s="24">
        <v>995462.99999999988</v>
      </c>
      <c r="BE52" s="24">
        <v>45954</v>
      </c>
      <c r="BF52" s="24">
        <v>198.71999999999997</v>
      </c>
      <c r="BG52" s="24">
        <v>93.15</v>
      </c>
      <c r="BH52" s="24">
        <f t="shared" si="6"/>
        <v>5009.375</v>
      </c>
      <c r="BI52" s="24">
        <f t="shared" si="7"/>
        <v>2359.5040373220991</v>
      </c>
      <c r="BJ52" s="27">
        <v>1705.2</v>
      </c>
      <c r="BK52" s="27">
        <v>25.4</v>
      </c>
      <c r="BL52" s="27">
        <v>1591.9</v>
      </c>
      <c r="BM52" s="27">
        <v>47.4</v>
      </c>
      <c r="BN52" s="27">
        <v>1847.4</v>
      </c>
      <c r="BO52" s="27">
        <v>32</v>
      </c>
      <c r="BP52" s="27">
        <v>1757.2</v>
      </c>
      <c r="BQ52" s="27">
        <v>20.9</v>
      </c>
      <c r="BR52" s="27">
        <v>7.9</v>
      </c>
    </row>
    <row r="53" spans="1:70" x14ac:dyDescent="0.2">
      <c r="A53" t="s">
        <v>344</v>
      </c>
      <c r="B53" t="s">
        <v>38</v>
      </c>
      <c r="C53" t="s">
        <v>345</v>
      </c>
      <c r="D53" t="s">
        <v>346</v>
      </c>
      <c r="E53">
        <v>81713</v>
      </c>
      <c r="F53">
        <v>42900</v>
      </c>
      <c r="G53" t="s">
        <v>346</v>
      </c>
      <c r="H53" s="1">
        <v>26.02</v>
      </c>
      <c r="I53" s="1">
        <v>18.260000000000002</v>
      </c>
      <c r="J53" s="10">
        <v>2.8450000000000002</v>
      </c>
      <c r="K53" s="10">
        <f t="shared" ca="1" si="0"/>
        <v>0.10479317725882729</v>
      </c>
      <c r="L53" s="7">
        <v>0.2346</v>
      </c>
      <c r="M53" s="7">
        <f t="shared" ca="1" si="1"/>
        <v>8.6778375186448379E-3</v>
      </c>
      <c r="N53" s="7">
        <v>0.96786000000000005</v>
      </c>
      <c r="O53" s="8">
        <v>4.262575</v>
      </c>
      <c r="P53" s="8">
        <f t="shared" ca="1" si="2"/>
        <v>0.1576723746048749</v>
      </c>
      <c r="Q53" s="9">
        <v>8.7910000000000002E-2</v>
      </c>
      <c r="R53" s="9">
        <f t="shared" ca="1" si="3"/>
        <v>1.8422180218421488E-3</v>
      </c>
      <c r="S53" s="8">
        <f t="shared" si="4"/>
        <v>0.37195649996576452</v>
      </c>
      <c r="T53" s="11">
        <v>7.1999999999999995E-2</v>
      </c>
      <c r="U53" s="11">
        <f t="shared" ca="1" si="5"/>
        <v>2.5462914208707532E-3</v>
      </c>
      <c r="V53" s="6" t="e">
        <f ca="1">IF(agePb6U8(1/O53)&lt;1400,age7corr(1/O53,Q53,$W$2),agePb76(Q53))</f>
        <v>#NAME?</v>
      </c>
      <c r="W53" s="6" t="e">
        <f ca="1">IF(agePb6U8(1/O53)&lt;1400,ageer7corr(V53,1/O53,P53/O53*(1/O53),Q53,R53,$W$2,0.05),ageerPb76(Q53,R53))</f>
        <v>#NAME?</v>
      </c>
      <c r="X53" s="4" t="e">
        <f ca="1">agePb6U8(L53)/agePb7u5(J53)</f>
        <v>#NAME?</v>
      </c>
      <c r="Y53" s="3"/>
      <c r="Z53" s="1">
        <v>2.8450000000000002</v>
      </c>
      <c r="AA53" s="1">
        <v>8.7999999999999995E-2</v>
      </c>
      <c r="AB53" s="1">
        <v>0.2346</v>
      </c>
      <c r="AC53" s="1">
        <v>7.3000000000000001E-3</v>
      </c>
      <c r="AD53" s="1">
        <v>0.96786000000000005</v>
      </c>
      <c r="AE53" s="1">
        <v>4.262575</v>
      </c>
      <c r="AF53" s="1">
        <v>0.1326377</v>
      </c>
      <c r="AG53" s="1">
        <v>8.7910000000000002E-2</v>
      </c>
      <c r="AH53" s="1">
        <v>5.5000000000000003E-4</v>
      </c>
      <c r="AI53" s="1">
        <v>0.17150000000000001</v>
      </c>
      <c r="AJ53" s="1">
        <v>7.1999999999999995E-2</v>
      </c>
      <c r="AK53" s="1">
        <v>2.0999999999999999E-3</v>
      </c>
      <c r="AL53" s="1">
        <v>4.8890000000000002</v>
      </c>
      <c r="AM53" s="1">
        <v>3.5000000000000003E-2</v>
      </c>
      <c r="AN53" s="1">
        <v>1366</v>
      </c>
      <c r="AO53" s="1">
        <v>23</v>
      </c>
      <c r="AP53" s="1">
        <v>1358</v>
      </c>
      <c r="AQ53" s="1">
        <v>38</v>
      </c>
      <c r="AR53" s="1">
        <v>1405</v>
      </c>
      <c r="AS53" s="1">
        <v>40</v>
      </c>
      <c r="AT53" s="1">
        <v>1380</v>
      </c>
      <c r="AU53" s="1">
        <v>12</v>
      </c>
      <c r="AV53" s="1">
        <v>5.7</v>
      </c>
      <c r="AW53" s="1">
        <v>0.17</v>
      </c>
      <c r="AX53" s="1">
        <v>1.4450000000000001</v>
      </c>
      <c r="AY53" s="1">
        <v>2.7E-2</v>
      </c>
      <c r="AZ53" s="1">
        <v>8532.5399999999991</v>
      </c>
      <c r="BA53" s="1">
        <v>186.3</v>
      </c>
      <c r="BB53" s="1">
        <v>4533.2999999999993</v>
      </c>
      <c r="BC53" s="1">
        <v>93.15</v>
      </c>
      <c r="BD53" s="1">
        <v>51480.899999999994</v>
      </c>
      <c r="BE53" s="1">
        <v>993.6</v>
      </c>
      <c r="BF53" s="1">
        <v>-2.8565999999999998</v>
      </c>
      <c r="BG53" s="1">
        <v>5.2784999999999993</v>
      </c>
      <c r="BH53" s="1">
        <f t="shared" si="6"/>
        <v>-18021.73913043478</v>
      </c>
      <c r="BI53" s="1">
        <f t="shared" si="7"/>
        <v>-33302.856152649591</v>
      </c>
      <c r="BJ53" s="27">
        <v>1368</v>
      </c>
      <c r="BK53" s="27">
        <v>27</v>
      </c>
      <c r="BL53" s="27">
        <v>1359.3</v>
      </c>
      <c r="BM53" s="27">
        <v>46</v>
      </c>
      <c r="BN53" s="27">
        <v>1381.6</v>
      </c>
      <c r="BO53" s="27">
        <v>43.7</v>
      </c>
      <c r="BP53" s="27">
        <v>1370.9</v>
      </c>
      <c r="BQ53" s="27">
        <v>25.3</v>
      </c>
      <c r="BR53" s="27">
        <v>0.67</v>
      </c>
    </row>
    <row r="54" spans="1:70" s="23" customFormat="1" x14ac:dyDescent="0.2">
      <c r="A54" s="23" t="s">
        <v>347</v>
      </c>
      <c r="B54" s="23" t="s">
        <v>38</v>
      </c>
      <c r="C54" s="23" t="s">
        <v>348</v>
      </c>
      <c r="D54" s="23" t="s">
        <v>349</v>
      </c>
      <c r="E54" s="23">
        <v>81730</v>
      </c>
      <c r="F54" s="23">
        <v>43138</v>
      </c>
      <c r="G54" s="23" t="s">
        <v>349</v>
      </c>
      <c r="H54" s="24">
        <v>64.900000000000006</v>
      </c>
      <c r="I54" s="24">
        <v>36.4</v>
      </c>
      <c r="J54" s="25">
        <v>7.9</v>
      </c>
      <c r="K54" s="25">
        <f t="shared" ca="1" si="0"/>
        <v>4.8025997126556357</v>
      </c>
      <c r="L54" s="26">
        <v>0.20100000000000001</v>
      </c>
      <c r="M54" s="26">
        <f t="shared" ca="1" si="1"/>
        <v>4.3187502821997008E-2</v>
      </c>
      <c r="N54" s="26">
        <v>0.99744999999999995</v>
      </c>
      <c r="O54" s="26">
        <v>4.9751240000000001</v>
      </c>
      <c r="P54" s="26">
        <f t="shared" ca="1" si="2"/>
        <v>1.0689710437734741</v>
      </c>
      <c r="Q54" s="25">
        <v>0.22</v>
      </c>
      <c r="R54" s="25">
        <f t="shared" ca="1" si="3"/>
        <v>6.8142204249642541E-2</v>
      </c>
      <c r="S54" s="26">
        <f t="shared" si="4"/>
        <v>0.27992121243196416</v>
      </c>
      <c r="T54" s="25">
        <v>0.24</v>
      </c>
      <c r="U54" s="25">
        <f t="shared" ca="1" si="5"/>
        <v>0.12009596163068932</v>
      </c>
      <c r="V54" s="24" t="e">
        <f ca="1">IF(agePb6U8(1/O54)&lt;1400,age7corr(1/O54,Q54,$W$2),agePb76(Q54))</f>
        <v>#NAME?</v>
      </c>
      <c r="W54" s="24" t="e">
        <f ca="1">IF(agePb6U8(1/O54)&lt;1400,ageer7corr(V54,1/O54,P54/O54*(1/O54),Q54,R54,$W$2,0.05),ageerPb76(Q54,R54))</f>
        <v>#NAME?</v>
      </c>
      <c r="X54" s="26" t="e">
        <f ca="1">agePb6U8(L54)/agePb7u5(J54)</f>
        <v>#NAME?</v>
      </c>
      <c r="Y54" s="24"/>
      <c r="Z54" s="24">
        <v>7.9</v>
      </c>
      <c r="AA54" s="24">
        <v>4.8</v>
      </c>
      <c r="AB54" s="24">
        <v>0.20100000000000001</v>
      </c>
      <c r="AC54" s="24">
        <v>4.2999999999999997E-2</v>
      </c>
      <c r="AD54" s="24">
        <v>0.99744999999999995</v>
      </c>
      <c r="AE54" s="24">
        <v>4.9751240000000001</v>
      </c>
      <c r="AF54" s="24">
        <v>1.06433</v>
      </c>
      <c r="AG54" s="24">
        <v>0.22</v>
      </c>
      <c r="AH54" s="24">
        <v>6.8000000000000005E-2</v>
      </c>
      <c r="AI54" s="24">
        <v>-0.97102999999999995</v>
      </c>
      <c r="AJ54" s="24">
        <v>0.24</v>
      </c>
      <c r="AK54" s="24">
        <v>0.12</v>
      </c>
      <c r="AL54" s="24">
        <v>2.4500000000000002</v>
      </c>
      <c r="AM54" s="24">
        <v>0.57999999999999996</v>
      </c>
      <c r="AN54" s="24">
        <v>1820</v>
      </c>
      <c r="AO54" s="24">
        <v>360</v>
      </c>
      <c r="AP54" s="24">
        <v>1160</v>
      </c>
      <c r="AQ54" s="24">
        <v>210</v>
      </c>
      <c r="AR54" s="24">
        <v>4000</v>
      </c>
      <c r="AS54" s="24">
        <v>1700</v>
      </c>
      <c r="AT54" s="24">
        <v>2840</v>
      </c>
      <c r="AU54" s="24">
        <v>480</v>
      </c>
      <c r="AV54" s="24">
        <v>14.21</v>
      </c>
      <c r="AW54" s="24">
        <v>0.98</v>
      </c>
      <c r="AX54" s="24">
        <v>2.8800000000000003</v>
      </c>
      <c r="AY54" s="24">
        <v>0.12000000000000001</v>
      </c>
      <c r="AZ54" s="24">
        <v>54648</v>
      </c>
      <c r="BA54" s="24">
        <v>27945</v>
      </c>
      <c r="BB54" s="24">
        <v>29808.000000000004</v>
      </c>
      <c r="BC54" s="24">
        <v>15525</v>
      </c>
      <c r="BD54" s="24">
        <v>108675</v>
      </c>
      <c r="BE54" s="24">
        <v>18009</v>
      </c>
      <c r="BF54" s="24">
        <v>1614.6</v>
      </c>
      <c r="BG54" s="24">
        <v>1055.7</v>
      </c>
      <c r="BH54" s="24">
        <f t="shared" si="6"/>
        <v>67.307692307692307</v>
      </c>
      <c r="BI54" s="24">
        <f t="shared" si="7"/>
        <v>45.400324094561057</v>
      </c>
      <c r="BJ54" s="27">
        <v>1988.6</v>
      </c>
      <c r="BK54" s="27">
        <v>281.89999999999998</v>
      </c>
      <c r="BL54" s="27">
        <v>1179.5999999999999</v>
      </c>
      <c r="BM54" s="27">
        <v>231.6</v>
      </c>
      <c r="BN54" s="27">
        <v>2980</v>
      </c>
      <c r="BO54" s="27">
        <v>497.7</v>
      </c>
      <c r="BP54" s="27">
        <v>1162.3</v>
      </c>
      <c r="BQ54" s="27">
        <v>254</v>
      </c>
      <c r="BR54" s="27">
        <v>85</v>
      </c>
    </row>
    <row r="55" spans="1:70" x14ac:dyDescent="0.2">
      <c r="A55" t="s">
        <v>350</v>
      </c>
      <c r="B55" t="s">
        <v>38</v>
      </c>
      <c r="C55" t="s">
        <v>351</v>
      </c>
      <c r="D55" t="s">
        <v>352</v>
      </c>
      <c r="E55">
        <v>81786</v>
      </c>
      <c r="F55">
        <v>43958</v>
      </c>
      <c r="G55" t="s">
        <v>352</v>
      </c>
      <c r="H55" s="1">
        <v>69.52</v>
      </c>
      <c r="I55" s="1">
        <v>65.8</v>
      </c>
      <c r="J55" s="10">
        <v>2.0630000000000002</v>
      </c>
      <c r="K55" s="10">
        <f t="shared" ca="1" si="0"/>
        <v>6.0319048400981921E-2</v>
      </c>
      <c r="L55" s="7">
        <v>0.1908</v>
      </c>
      <c r="M55" s="7">
        <f t="shared" ca="1" si="1"/>
        <v>5.4563592257108589E-3</v>
      </c>
      <c r="N55" s="7">
        <v>0.95916000000000001</v>
      </c>
      <c r="O55" s="8">
        <v>5.2410899999999998</v>
      </c>
      <c r="P55" s="8">
        <f t="shared" ca="1" si="2"/>
        <v>0.14988087018655852</v>
      </c>
      <c r="Q55" s="9">
        <v>7.8549999999999995E-2</v>
      </c>
      <c r="R55" s="9">
        <f t="shared" ca="1" si="3"/>
        <v>1.6369609036259844E-3</v>
      </c>
      <c r="S55" s="8">
        <f t="shared" si="4"/>
        <v>0.49027283714621517</v>
      </c>
      <c r="T55" s="11">
        <v>6.1199999999999997E-2</v>
      </c>
      <c r="U55" s="11">
        <f t="shared" ca="1" si="5"/>
        <v>1.6456536695185901E-3</v>
      </c>
      <c r="V55" s="6" t="e">
        <f ca="1">IF(agePb6U8(1/O55)&lt;1400,age7corr(1/O55,Q55,$W$2),agePb76(Q55))</f>
        <v>#NAME?</v>
      </c>
      <c r="W55" s="6" t="e">
        <f ca="1">IF(agePb6U8(1/O55)&lt;1400,ageer7corr(V55,1/O55,P55/O55*(1/O55),Q55,R55,$W$2,0.05),ageerPb76(Q55,R55))</f>
        <v>#NAME?</v>
      </c>
      <c r="X55" s="4" t="e">
        <f ca="1">agePb6U8(L55)/agePb7u5(J55)</f>
        <v>#NAME?</v>
      </c>
      <c r="Y55" s="3"/>
      <c r="Z55" s="1">
        <v>2.0630000000000002</v>
      </c>
      <c r="AA55" s="1">
        <v>4.3999999999999997E-2</v>
      </c>
      <c r="AB55" s="1">
        <v>0.1908</v>
      </c>
      <c r="AC55" s="1">
        <v>3.8999999999999998E-3</v>
      </c>
      <c r="AD55" s="1">
        <v>0.95916000000000001</v>
      </c>
      <c r="AE55" s="1">
        <v>5.2410899999999998</v>
      </c>
      <c r="AF55" s="1">
        <v>0.10712919999999999</v>
      </c>
      <c r="AG55" s="1">
        <v>7.8549999999999995E-2</v>
      </c>
      <c r="AH55" s="1">
        <v>4.6000000000000001E-4</v>
      </c>
      <c r="AI55" s="1">
        <v>5.4017000000000003E-2</v>
      </c>
      <c r="AJ55" s="1">
        <v>6.1199999999999997E-2</v>
      </c>
      <c r="AK55" s="1">
        <v>1.1000000000000001E-3</v>
      </c>
      <c r="AL55" s="1">
        <v>3.5510000000000002</v>
      </c>
      <c r="AM55" s="1">
        <v>1.4999999999999999E-2</v>
      </c>
      <c r="AN55" s="1">
        <v>1136</v>
      </c>
      <c r="AO55" s="1">
        <v>15</v>
      </c>
      <c r="AP55" s="1">
        <v>1125</v>
      </c>
      <c r="AQ55" s="1">
        <v>21</v>
      </c>
      <c r="AR55" s="1">
        <v>1201</v>
      </c>
      <c r="AS55" s="1">
        <v>20</v>
      </c>
      <c r="AT55" s="1">
        <v>1161</v>
      </c>
      <c r="AU55" s="1">
        <v>11</v>
      </c>
      <c r="AV55" s="1">
        <v>15.219999999999999</v>
      </c>
      <c r="AW55" s="1">
        <v>0.21000000000000002</v>
      </c>
      <c r="AX55" s="1">
        <v>5.21</v>
      </c>
      <c r="AY55" s="1">
        <v>0.11</v>
      </c>
      <c r="AZ55" s="1">
        <v>25709.399999999998</v>
      </c>
      <c r="BA55" s="1">
        <v>329.13</v>
      </c>
      <c r="BB55" s="1">
        <v>8836.8299999999981</v>
      </c>
      <c r="BC55" s="1">
        <v>105.57000000000001</v>
      </c>
      <c r="BD55" s="1">
        <v>113146.2</v>
      </c>
      <c r="BE55" s="1">
        <v>1428.3</v>
      </c>
      <c r="BF55" s="1">
        <v>6.7688999999999995</v>
      </c>
      <c r="BG55" s="1">
        <v>3.6638999999999999</v>
      </c>
      <c r="BH55" s="1">
        <f t="shared" si="6"/>
        <v>16715.596330275232</v>
      </c>
      <c r="BI55" s="1">
        <f t="shared" si="7"/>
        <v>9050.3517680416753</v>
      </c>
      <c r="BJ55" s="27">
        <v>1141.5</v>
      </c>
      <c r="BK55" s="27">
        <v>18.8</v>
      </c>
      <c r="BL55" s="27">
        <v>1125.9000000000001</v>
      </c>
      <c r="BM55" s="27">
        <v>29.6</v>
      </c>
      <c r="BN55" s="27">
        <v>1171.2</v>
      </c>
      <c r="BO55" s="27">
        <v>50.1</v>
      </c>
      <c r="BP55" s="27">
        <v>1140.8</v>
      </c>
      <c r="BQ55" s="27">
        <v>18.8</v>
      </c>
      <c r="BR55" s="27">
        <v>1.2</v>
      </c>
    </row>
    <row r="56" spans="1:70" x14ac:dyDescent="0.2">
      <c r="A56" t="s">
        <v>353</v>
      </c>
      <c r="B56" t="s">
        <v>38</v>
      </c>
      <c r="C56" t="s">
        <v>354</v>
      </c>
      <c r="D56" t="s">
        <v>355</v>
      </c>
      <c r="E56">
        <v>81812</v>
      </c>
      <c r="F56">
        <v>44267</v>
      </c>
      <c r="G56" t="s">
        <v>355</v>
      </c>
      <c r="H56" s="1">
        <v>145.69999999999999</v>
      </c>
      <c r="I56" s="1">
        <v>118.8</v>
      </c>
      <c r="J56" s="10">
        <v>2.782</v>
      </c>
      <c r="K56" s="10">
        <f t="shared" ca="1" si="0"/>
        <v>7.9654313128668677E-2</v>
      </c>
      <c r="L56" s="7">
        <v>0.23</v>
      </c>
      <c r="M56" s="7">
        <f t="shared" ca="1" si="1"/>
        <v>6.7208630398186212E-3</v>
      </c>
      <c r="N56" s="7">
        <v>0.97618000000000005</v>
      </c>
      <c r="O56" s="8">
        <v>4.3478260000000004</v>
      </c>
      <c r="P56" s="8">
        <f t="shared" ca="1" si="2"/>
        <v>0.12704845001915768</v>
      </c>
      <c r="Q56" s="9">
        <v>8.763E-2</v>
      </c>
      <c r="R56" s="9">
        <f t="shared" ca="1" si="3"/>
        <v>1.7976670325730514E-3</v>
      </c>
      <c r="S56" s="8">
        <f t="shared" si="4"/>
        <v>0.42337447441746101</v>
      </c>
      <c r="T56" s="11">
        <v>6.9099999999999995E-2</v>
      </c>
      <c r="U56" s="11">
        <f t="shared" ca="1" si="5"/>
        <v>2.1142194777269458E-3</v>
      </c>
      <c r="V56" s="6" t="e">
        <f ca="1">IF(agePb6U8(1/O56)&lt;1400,age7corr(1/O56,Q56,$W$2),agePb76(Q56))</f>
        <v>#NAME?</v>
      </c>
      <c r="W56" s="6" t="e">
        <f ca="1">IF(agePb6U8(1/O56)&lt;1400,ageer7corr(V56,1/O56,P56/O56*(1/O56),Q56,R56,$W$2,0.05),ageerPb76(Q56,R56))</f>
        <v>#NAME?</v>
      </c>
      <c r="X56" s="4" t="e">
        <f ca="1">agePb6U8(L56)/agePb7u5(J56)</f>
        <v>#NAME?</v>
      </c>
      <c r="Y56" s="3"/>
      <c r="Z56" s="1">
        <v>2.782</v>
      </c>
      <c r="AA56" s="1">
        <v>5.7000000000000002E-2</v>
      </c>
      <c r="AB56" s="1">
        <v>0.23</v>
      </c>
      <c r="AC56" s="1">
        <v>4.8999999999999998E-3</v>
      </c>
      <c r="AD56" s="1">
        <v>0.97618000000000005</v>
      </c>
      <c r="AE56" s="1">
        <v>4.3478260000000004</v>
      </c>
      <c r="AF56" s="1">
        <v>9.2627600000000004E-2</v>
      </c>
      <c r="AG56" s="1">
        <v>8.763E-2</v>
      </c>
      <c r="AH56" s="1">
        <v>4.0000000000000002E-4</v>
      </c>
      <c r="AI56" s="1">
        <v>0.37628</v>
      </c>
      <c r="AJ56" s="1">
        <v>6.9099999999999995E-2</v>
      </c>
      <c r="AK56" s="1">
        <v>1.6000000000000001E-3</v>
      </c>
      <c r="AL56" s="1">
        <v>4.258</v>
      </c>
      <c r="AM56" s="1">
        <v>4.8000000000000001E-2</v>
      </c>
      <c r="AN56" s="1">
        <v>1350</v>
      </c>
      <c r="AO56" s="1">
        <v>16</v>
      </c>
      <c r="AP56" s="1">
        <v>1334</v>
      </c>
      <c r="AQ56" s="1">
        <v>26</v>
      </c>
      <c r="AR56" s="1">
        <v>1350</v>
      </c>
      <c r="AS56" s="1">
        <v>31</v>
      </c>
      <c r="AT56" s="1">
        <v>1374.3</v>
      </c>
      <c r="AU56" s="1">
        <v>8.8000000000000007</v>
      </c>
      <c r="AV56" s="1">
        <v>31.88</v>
      </c>
      <c r="AW56" s="1">
        <v>0.87</v>
      </c>
      <c r="AX56" s="1">
        <v>9.4</v>
      </c>
      <c r="AY56" s="1">
        <v>0.15</v>
      </c>
      <c r="AZ56" s="1">
        <v>53778.6</v>
      </c>
      <c r="BA56" s="1">
        <v>1552.5</v>
      </c>
      <c r="BB56" s="1">
        <v>24871.05</v>
      </c>
      <c r="BC56" s="1">
        <v>453.33</v>
      </c>
      <c r="BD56" s="1">
        <v>284231.7</v>
      </c>
      <c r="BE56" s="1">
        <v>5526.9</v>
      </c>
      <c r="BF56" s="1">
        <v>4.7196000000000007</v>
      </c>
      <c r="BG56" s="1">
        <v>5.2164000000000001</v>
      </c>
      <c r="BH56" s="1">
        <f t="shared" si="6"/>
        <v>60223.684210526313</v>
      </c>
      <c r="BI56" s="1">
        <f t="shared" si="7"/>
        <v>66573.319841036049</v>
      </c>
      <c r="BJ56" s="27">
        <v>1352.3</v>
      </c>
      <c r="BK56" s="27">
        <v>21.6</v>
      </c>
      <c r="BL56" s="27">
        <v>1333.9</v>
      </c>
      <c r="BM56" s="27">
        <v>36</v>
      </c>
      <c r="BN56" s="27">
        <v>1381.6</v>
      </c>
      <c r="BO56" s="27">
        <v>43.7</v>
      </c>
      <c r="BP56" s="27">
        <v>1354.5</v>
      </c>
      <c r="BQ56" s="27">
        <v>21.5</v>
      </c>
      <c r="BR56" s="27">
        <v>1.3</v>
      </c>
    </row>
    <row r="57" spans="1:70" x14ac:dyDescent="0.2">
      <c r="A57" t="s">
        <v>161</v>
      </c>
      <c r="B57" t="s">
        <v>38</v>
      </c>
      <c r="C57" t="s">
        <v>162</v>
      </c>
      <c r="D57" t="s">
        <v>163</v>
      </c>
      <c r="E57">
        <v>82882</v>
      </c>
      <c r="F57">
        <v>41585</v>
      </c>
      <c r="G57" t="s">
        <v>163</v>
      </c>
      <c r="H57" s="1">
        <v>97</v>
      </c>
      <c r="I57" s="1">
        <v>54.62</v>
      </c>
      <c r="J57" s="10">
        <v>1.7290000000000001</v>
      </c>
      <c r="K57" s="10">
        <f t="shared" ca="1" si="0"/>
        <v>5.2122705225266276E-2</v>
      </c>
      <c r="L57" s="7">
        <v>0.16900000000000001</v>
      </c>
      <c r="M57" s="7">
        <f t="shared" ca="1" si="1"/>
        <v>4.9380562977754724E-3</v>
      </c>
      <c r="N57" s="7">
        <v>0.92584</v>
      </c>
      <c r="O57" s="8">
        <v>5.91716</v>
      </c>
      <c r="P57" s="8">
        <f t="shared" ca="1" si="2"/>
        <v>0.17289507541350041</v>
      </c>
      <c r="Q57" s="9">
        <v>7.3690000000000005E-2</v>
      </c>
      <c r="R57" s="9">
        <f t="shared" ca="1" si="3"/>
        <v>1.6028058023353923E-3</v>
      </c>
      <c r="S57" s="8">
        <f t="shared" si="4"/>
        <v>0.46677726568958328</v>
      </c>
      <c r="T57" s="11">
        <v>4.9700000000000001E-2</v>
      </c>
      <c r="U57" s="11">
        <f t="shared" ca="1" si="5"/>
        <v>1.3888614041724973E-3</v>
      </c>
      <c r="V57" s="6" t="e">
        <f ca="1">IF(agePb6U8(1/O57)&lt;1400,age7corr(1/O57,Q57,$W$2),agePb76(Q57))</f>
        <v>#NAME?</v>
      </c>
      <c r="W57" s="6" t="e">
        <f ca="1">IF(agePb6U8(1/O57)&lt;1400,ageer7corr(V57,1/O57,P57/O57*(1/O57),Q57,R57,$W$2,0.05),ageerPb76(Q57,R57))</f>
        <v>#NAME?</v>
      </c>
      <c r="X57" s="4" t="e">
        <f ca="1">agePb6U8(L57)/agePb7u5(J57)</f>
        <v>#NAME?</v>
      </c>
      <c r="Y57" s="3"/>
      <c r="Z57" s="1">
        <v>1.7290000000000001</v>
      </c>
      <c r="AA57" s="1">
        <v>3.9E-2</v>
      </c>
      <c r="AB57" s="1">
        <v>0.16900000000000001</v>
      </c>
      <c r="AC57" s="1">
        <v>3.5999999999999999E-3</v>
      </c>
      <c r="AD57" s="1">
        <v>0.92584</v>
      </c>
      <c r="AE57" s="1">
        <v>5.91716</v>
      </c>
      <c r="AF57" s="1">
        <v>0.12604599999999999</v>
      </c>
      <c r="AG57" s="1">
        <v>7.3690000000000005E-2</v>
      </c>
      <c r="AH57" s="1">
        <v>6.3000000000000003E-4</v>
      </c>
      <c r="AI57" s="1">
        <v>-0.25161</v>
      </c>
      <c r="AJ57" s="1">
        <v>4.9700000000000001E-2</v>
      </c>
      <c r="AK57" s="1">
        <v>9.7000000000000005E-4</v>
      </c>
      <c r="AL57" s="1">
        <v>6.59</v>
      </c>
      <c r="AM57" s="1">
        <v>0.05</v>
      </c>
      <c r="AN57" s="1">
        <v>1019</v>
      </c>
      <c r="AO57" s="1">
        <v>15</v>
      </c>
      <c r="AP57" s="1">
        <v>1006</v>
      </c>
      <c r="AQ57" s="1">
        <v>20</v>
      </c>
      <c r="AR57" s="1">
        <v>980</v>
      </c>
      <c r="AS57" s="1">
        <v>19</v>
      </c>
      <c r="AT57" s="1">
        <v>1033</v>
      </c>
      <c r="AU57" s="1">
        <v>17</v>
      </c>
      <c r="AV57" s="1">
        <v>21.37</v>
      </c>
      <c r="AW57" s="1">
        <v>0.46</v>
      </c>
      <c r="AX57" s="1">
        <v>4.335</v>
      </c>
      <c r="AY57" s="1">
        <v>5.8999999999999997E-2</v>
      </c>
      <c r="AZ57" s="1">
        <v>17524.619999999995</v>
      </c>
      <c r="BA57" s="1">
        <v>273.24</v>
      </c>
      <c r="BB57" s="1">
        <v>10333.439999999999</v>
      </c>
      <c r="BC57" s="1">
        <v>229.77</v>
      </c>
      <c r="BD57" s="1">
        <v>139538.69999999998</v>
      </c>
      <c r="BE57" s="1">
        <v>2856.6</v>
      </c>
      <c r="BF57" s="1">
        <v>43.47</v>
      </c>
      <c r="BG57" s="1">
        <v>6.8310000000000004</v>
      </c>
      <c r="BH57" s="1">
        <f t="shared" si="6"/>
        <v>3209.9999999999995</v>
      </c>
      <c r="BI57" s="1">
        <f t="shared" si="7"/>
        <v>508.6910172397466</v>
      </c>
      <c r="BJ57" s="27">
        <v>1017</v>
      </c>
      <c r="BK57" s="27">
        <v>18.5</v>
      </c>
      <c r="BL57" s="27">
        <v>1006.2</v>
      </c>
      <c r="BM57" s="27">
        <v>26.8</v>
      </c>
      <c r="BN57" s="27">
        <v>1040.5999999999999</v>
      </c>
      <c r="BO57" s="27">
        <v>54.6</v>
      </c>
      <c r="BP57" s="27">
        <v>1015.6</v>
      </c>
      <c r="BQ57" s="27">
        <v>18.3</v>
      </c>
      <c r="BR57" s="27">
        <v>0.93</v>
      </c>
    </row>
    <row r="58" spans="1:70" x14ac:dyDescent="0.2">
      <c r="A58" t="s">
        <v>356</v>
      </c>
      <c r="B58" t="s">
        <v>38</v>
      </c>
      <c r="C58" t="s">
        <v>357</v>
      </c>
      <c r="D58" t="s">
        <v>358</v>
      </c>
      <c r="E58">
        <v>81896</v>
      </c>
      <c r="F58">
        <v>44475</v>
      </c>
      <c r="G58" t="s">
        <v>358</v>
      </c>
      <c r="H58" s="1">
        <v>185.4</v>
      </c>
      <c r="I58" s="1">
        <v>140.6</v>
      </c>
      <c r="J58" s="10">
        <v>3.1720000000000002</v>
      </c>
      <c r="K58" s="10">
        <f t="shared" ca="1" si="0"/>
        <v>0.10526458853764643</v>
      </c>
      <c r="L58" s="7">
        <v>0.24940000000000001</v>
      </c>
      <c r="M58" s="7">
        <f t="shared" ca="1" si="1"/>
        <v>8.5953559553982421E-3</v>
      </c>
      <c r="N58" s="7">
        <v>0.99184000000000005</v>
      </c>
      <c r="O58" s="8">
        <v>4.0096230000000004</v>
      </c>
      <c r="P58" s="8">
        <f t="shared" ca="1" si="2"/>
        <v>0.13818816773190679</v>
      </c>
      <c r="Q58" s="9">
        <v>9.2749999999999999E-2</v>
      </c>
      <c r="R58" s="9">
        <f t="shared" ca="1" si="3"/>
        <v>1.8791021792334763E-3</v>
      </c>
      <c r="S58" s="8">
        <f t="shared" si="4"/>
        <v>0.52682580686603997</v>
      </c>
      <c r="T58" s="11">
        <v>7.6300000000000007E-2</v>
      </c>
      <c r="U58" s="11">
        <f t="shared" ca="1" si="5"/>
        <v>3.0147431068003124E-3</v>
      </c>
      <c r="V58" s="6" t="e">
        <f ca="1">IF(agePb6U8(1/O58)&lt;1400,age7corr(1/O58,Q58,$W$2),agePb76(Q58))</f>
        <v>#NAME?</v>
      </c>
      <c r="W58" s="6" t="e">
        <f ca="1">IF(agePb6U8(1/O58)&lt;1400,ageer7corr(V58,1/O58,P58/O58*(1/O58),Q58,R58,$W$2,0.05),ageerPb76(Q58,R58))</f>
        <v>#NAME?</v>
      </c>
      <c r="X58" s="4" t="e">
        <f ca="1">agePb6U8(L58)/agePb7u5(J58)</f>
        <v>#NAME?</v>
      </c>
      <c r="Y58" s="3"/>
      <c r="Z58" s="1">
        <v>3.1720000000000002</v>
      </c>
      <c r="AA58" s="1">
        <v>8.4000000000000005E-2</v>
      </c>
      <c r="AB58" s="1">
        <v>0.24940000000000001</v>
      </c>
      <c r="AC58" s="1">
        <v>7.0000000000000001E-3</v>
      </c>
      <c r="AD58" s="1">
        <v>0.99184000000000005</v>
      </c>
      <c r="AE58" s="1">
        <v>4.0096230000000004</v>
      </c>
      <c r="AF58" s="1">
        <v>0.1125395</v>
      </c>
      <c r="AG58" s="1">
        <v>9.2749999999999999E-2</v>
      </c>
      <c r="AH58" s="1">
        <v>2.9999999999999997E-4</v>
      </c>
      <c r="AI58" s="1">
        <v>-7.4072000000000001E-3</v>
      </c>
      <c r="AJ58" s="1">
        <v>7.6300000000000007E-2</v>
      </c>
      <c r="AK58" s="1">
        <v>2.5999999999999999E-3</v>
      </c>
      <c r="AL58" s="1">
        <v>4.617</v>
      </c>
      <c r="AM58" s="1">
        <v>6.5000000000000002E-2</v>
      </c>
      <c r="AN58" s="1">
        <v>1449</v>
      </c>
      <c r="AO58" s="1">
        <v>21</v>
      </c>
      <c r="AP58" s="1">
        <v>1435</v>
      </c>
      <c r="AQ58" s="1">
        <v>36</v>
      </c>
      <c r="AR58" s="1">
        <v>1485</v>
      </c>
      <c r="AS58" s="1">
        <v>49</v>
      </c>
      <c r="AT58" s="1">
        <v>1482.7</v>
      </c>
      <c r="AU58" s="1">
        <v>6.1</v>
      </c>
      <c r="AV58" s="1">
        <v>40.57</v>
      </c>
      <c r="AW58" s="1">
        <v>0.73</v>
      </c>
      <c r="AX58" s="1">
        <v>11.12</v>
      </c>
      <c r="AY58" s="1">
        <v>0.27999999999999997</v>
      </c>
      <c r="AZ58" s="1">
        <v>69986.7</v>
      </c>
      <c r="BA58" s="1">
        <v>1179.8999999999999</v>
      </c>
      <c r="BB58" s="1">
        <v>36452.699999999997</v>
      </c>
      <c r="BC58" s="1">
        <v>745.2</v>
      </c>
      <c r="BD58" s="1">
        <v>398061</v>
      </c>
      <c r="BE58" s="1">
        <v>8072.9999999999982</v>
      </c>
      <c r="BF58" s="1">
        <v>4.2848999999999995</v>
      </c>
      <c r="BG58" s="1">
        <v>6.1478999999999999</v>
      </c>
      <c r="BH58" s="1">
        <f t="shared" si="6"/>
        <v>92898.550724637695</v>
      </c>
      <c r="BI58" s="1">
        <f t="shared" si="7"/>
        <v>133302.53997182706</v>
      </c>
      <c r="BJ58" s="27">
        <v>1456.3</v>
      </c>
      <c r="BK58" s="27">
        <v>23</v>
      </c>
      <c r="BL58" s="27">
        <v>1435.3</v>
      </c>
      <c r="BM58" s="27">
        <v>44.9</v>
      </c>
      <c r="BN58" s="27">
        <v>1487</v>
      </c>
      <c r="BO58" s="27">
        <v>40.700000000000003</v>
      </c>
      <c r="BP58" s="27">
        <v>1462.9</v>
      </c>
      <c r="BQ58" s="27">
        <v>20.9</v>
      </c>
      <c r="BR58" s="27">
        <v>1.5</v>
      </c>
    </row>
    <row r="59" spans="1:70" s="23" customFormat="1" x14ac:dyDescent="0.2">
      <c r="A59" s="23" t="s">
        <v>359</v>
      </c>
      <c r="B59" s="23" t="s">
        <v>38</v>
      </c>
      <c r="C59" s="23" t="s">
        <v>360</v>
      </c>
      <c r="D59" s="23" t="s">
        <v>361</v>
      </c>
      <c r="E59" s="23">
        <v>81890</v>
      </c>
      <c r="F59" s="23">
        <v>44810</v>
      </c>
      <c r="G59" s="23" t="s">
        <v>361</v>
      </c>
      <c r="H59" s="24">
        <v>261.39999999999998</v>
      </c>
      <c r="I59" s="24">
        <v>131</v>
      </c>
      <c r="J59" s="25">
        <v>2.8370000000000002</v>
      </c>
      <c r="K59" s="25">
        <f t="shared" ca="1" si="0"/>
        <v>0.10554822404948366</v>
      </c>
      <c r="L59" s="26">
        <v>0.2104</v>
      </c>
      <c r="M59" s="26">
        <f t="shared" ca="1" si="1"/>
        <v>7.9118432744841455E-3</v>
      </c>
      <c r="N59" s="26">
        <v>0.98726999999999998</v>
      </c>
      <c r="O59" s="26">
        <v>4.7528519999999999</v>
      </c>
      <c r="P59" s="26">
        <f t="shared" ca="1" si="2"/>
        <v>0.17872535959860758</v>
      </c>
      <c r="Q59" s="25">
        <v>9.7570000000000004E-2</v>
      </c>
      <c r="R59" s="25">
        <f t="shared" ca="1" si="3"/>
        <v>2.0119796122227483E-3</v>
      </c>
      <c r="S59" s="26">
        <f t="shared" si="4"/>
        <v>0.47123024673282354</v>
      </c>
      <c r="T59" s="25">
        <v>6.2300000000000001E-2</v>
      </c>
      <c r="U59" s="25">
        <f t="shared" ca="1" si="5"/>
        <v>3.8095296297574587E-3</v>
      </c>
      <c r="V59" s="24" t="e">
        <f ca="1">IF(agePb6U8(1/O59)&lt;1400,age7corr(1/O59,Q59,$W$2),agePb76(Q59))</f>
        <v>#NAME?</v>
      </c>
      <c r="W59" s="24" t="e">
        <f ca="1">IF(agePb6U8(1/O59)&lt;1400,ageer7corr(V59,1/O59,P59/O59*(1/O59),Q59,R59,$W$2,0.05),ageerPb76(Q59,R59))</f>
        <v>#NAME?</v>
      </c>
      <c r="X59" s="26" t="e">
        <f ca="1">agePb6U8(L59)/agePb7u5(J59)</f>
        <v>#NAME?</v>
      </c>
      <c r="Y59" s="24"/>
      <c r="Z59" s="24">
        <v>2.8370000000000002</v>
      </c>
      <c r="AA59" s="24">
        <v>8.8999999999999996E-2</v>
      </c>
      <c r="AB59" s="24">
        <v>0.2104</v>
      </c>
      <c r="AC59" s="24">
        <v>6.7000000000000002E-3</v>
      </c>
      <c r="AD59" s="24">
        <v>0.98726999999999998</v>
      </c>
      <c r="AE59" s="24">
        <v>4.7528519999999999</v>
      </c>
      <c r="AF59" s="24">
        <v>0.15135029999999999</v>
      </c>
      <c r="AG59" s="24">
        <v>9.7570000000000004E-2</v>
      </c>
      <c r="AH59" s="24">
        <v>4.8999999999999998E-4</v>
      </c>
      <c r="AI59" s="24">
        <v>2.5958999999999999E-2</v>
      </c>
      <c r="AJ59" s="24">
        <v>6.2300000000000001E-2</v>
      </c>
      <c r="AK59" s="24">
        <v>3.5999999999999999E-3</v>
      </c>
      <c r="AL59" s="24">
        <v>7.32</v>
      </c>
      <c r="AM59" s="24">
        <v>0.21</v>
      </c>
      <c r="AN59" s="24">
        <v>1364</v>
      </c>
      <c r="AO59" s="24">
        <v>23</v>
      </c>
      <c r="AP59" s="24">
        <v>1231</v>
      </c>
      <c r="AQ59" s="24">
        <v>36</v>
      </c>
      <c r="AR59" s="24">
        <v>1222</v>
      </c>
      <c r="AS59" s="24">
        <v>68</v>
      </c>
      <c r="AT59" s="24">
        <v>1578.1</v>
      </c>
      <c r="AU59" s="24">
        <v>9.3000000000000007</v>
      </c>
      <c r="AV59" s="24">
        <v>57.2</v>
      </c>
      <c r="AW59" s="24">
        <v>1</v>
      </c>
      <c r="AX59" s="24">
        <v>10.4</v>
      </c>
      <c r="AY59" s="24">
        <v>1</v>
      </c>
      <c r="AZ59" s="24">
        <v>51853.500000000007</v>
      </c>
      <c r="BA59" s="24">
        <v>1304.0999999999999</v>
      </c>
      <c r="BB59" s="24">
        <v>45395.1</v>
      </c>
      <c r="BC59" s="24">
        <v>745.2</v>
      </c>
      <c r="BD59" s="24">
        <v>465750</v>
      </c>
      <c r="BE59" s="24">
        <v>7452.0000000000009</v>
      </c>
      <c r="BF59" s="24">
        <v>240.327</v>
      </c>
      <c r="BG59" s="24">
        <v>18.009</v>
      </c>
      <c r="BH59" s="24">
        <f t="shared" si="6"/>
        <v>1937.984496124031</v>
      </c>
      <c r="BI59" s="24">
        <f t="shared" si="7"/>
        <v>148.4970961893375</v>
      </c>
      <c r="BJ59" s="27">
        <v>1367.1</v>
      </c>
      <c r="BK59" s="27">
        <v>25.2</v>
      </c>
      <c r="BL59" s="27">
        <v>1231.5999999999999</v>
      </c>
      <c r="BM59" s="27">
        <v>42.5</v>
      </c>
      <c r="BN59" s="27">
        <v>1585.6</v>
      </c>
      <c r="BO59" s="27">
        <v>38.200000000000003</v>
      </c>
      <c r="BP59" s="27">
        <v>1426.2</v>
      </c>
      <c r="BQ59" s="27">
        <v>22.2</v>
      </c>
      <c r="BR59" s="27">
        <v>11</v>
      </c>
    </row>
    <row r="60" spans="1:70" x14ac:dyDescent="0.2">
      <c r="A60" t="s">
        <v>362</v>
      </c>
      <c r="B60" t="s">
        <v>38</v>
      </c>
      <c r="C60" t="s">
        <v>363</v>
      </c>
      <c r="D60" t="s">
        <v>364</v>
      </c>
      <c r="E60">
        <v>81488</v>
      </c>
      <c r="F60">
        <v>40033</v>
      </c>
      <c r="G60" t="s">
        <v>364</v>
      </c>
      <c r="H60" s="1">
        <v>227</v>
      </c>
      <c r="I60" s="1">
        <v>80.900000000000006</v>
      </c>
      <c r="J60" s="10">
        <v>1.919</v>
      </c>
      <c r="K60" s="10">
        <f t="shared" ca="1" si="0"/>
        <v>5.4717679044345442E-2</v>
      </c>
      <c r="L60" s="7">
        <v>0.18260000000000001</v>
      </c>
      <c r="M60" s="7">
        <f t="shared" ca="1" si="1"/>
        <v>5.1987598521185804E-3</v>
      </c>
      <c r="N60" s="7">
        <v>0.98714999999999997</v>
      </c>
      <c r="O60" s="8">
        <v>5.476451</v>
      </c>
      <c r="P60" s="8">
        <f t="shared" ca="1" si="2"/>
        <v>0.15591868524368849</v>
      </c>
      <c r="Q60" s="9">
        <v>7.6240000000000002E-2</v>
      </c>
      <c r="R60" s="9">
        <f t="shared" ca="1" si="3"/>
        <v>1.552132417031485E-3</v>
      </c>
      <c r="S60" s="8">
        <f t="shared" si="4"/>
        <v>0.40872449280838496</v>
      </c>
      <c r="T60" s="11">
        <v>5.0700000000000002E-2</v>
      </c>
      <c r="U60" s="11">
        <f t="shared" ca="1" si="5"/>
        <v>1.5710493308613831E-3</v>
      </c>
      <c r="V60" s="6" t="e">
        <f ca="1">IF(agePb6U8(1/O60)&lt;1400,age7corr(1/O60,Q60,$W$2),agePb76(Q60))</f>
        <v>#NAME?</v>
      </c>
      <c r="W60" s="6" t="e">
        <f ca="1">IF(agePb6U8(1/O60)&lt;1400,ageer7corr(V60,1/O60,P60/O60*(1/O60),Q60,R60,$W$2,0.05),ageerPb76(Q60,R60))</f>
        <v>#NAME?</v>
      </c>
      <c r="X60" s="4" t="e">
        <f ca="1">agePb6U8(L60)/agePb7u5(J60)</f>
        <v>#NAME?</v>
      </c>
      <c r="Y60" s="3"/>
      <c r="Z60" s="1">
        <v>1.919</v>
      </c>
      <c r="AA60" s="1">
        <v>3.9E-2</v>
      </c>
      <c r="AB60" s="1">
        <v>0.18260000000000001</v>
      </c>
      <c r="AC60" s="1">
        <v>3.7000000000000002E-3</v>
      </c>
      <c r="AD60" s="1">
        <v>0.98714999999999997</v>
      </c>
      <c r="AE60" s="1">
        <v>5.476451</v>
      </c>
      <c r="AF60" s="1">
        <v>0.1109686</v>
      </c>
      <c r="AG60" s="1">
        <v>7.6240000000000002E-2</v>
      </c>
      <c r="AH60" s="1">
        <v>2.9E-4</v>
      </c>
      <c r="AI60" s="1">
        <v>0.13915</v>
      </c>
      <c r="AJ60" s="1">
        <v>5.0700000000000002E-2</v>
      </c>
      <c r="AK60" s="1">
        <v>1.1999999999999999E-3</v>
      </c>
      <c r="AL60" s="1">
        <v>10.83</v>
      </c>
      <c r="AM60" s="1">
        <v>0.27</v>
      </c>
      <c r="AN60" s="1">
        <v>1087</v>
      </c>
      <c r="AO60" s="1">
        <v>14</v>
      </c>
      <c r="AP60" s="1">
        <v>1081</v>
      </c>
      <c r="AQ60" s="1">
        <v>20</v>
      </c>
      <c r="AR60" s="1">
        <v>1000</v>
      </c>
      <c r="AS60" s="1">
        <v>22</v>
      </c>
      <c r="AT60" s="1">
        <v>1101.3</v>
      </c>
      <c r="AU60" s="1">
        <v>7.6</v>
      </c>
      <c r="AV60" s="1">
        <v>49.6</v>
      </c>
      <c r="AW60" s="1">
        <v>2.2000000000000002</v>
      </c>
      <c r="AX60" s="1">
        <v>6.4</v>
      </c>
      <c r="AY60" s="1">
        <v>0.32</v>
      </c>
      <c r="AZ60" s="1">
        <v>26144.1</v>
      </c>
      <c r="BA60" s="1">
        <v>1428.3</v>
      </c>
      <c r="BB60" s="1">
        <v>26578.799999999999</v>
      </c>
      <c r="BC60" s="1">
        <v>869.4</v>
      </c>
      <c r="BD60" s="1">
        <v>349623</v>
      </c>
      <c r="BE60" s="1">
        <v>11178.000000000002</v>
      </c>
      <c r="BF60" s="1">
        <v>3.4155000000000002</v>
      </c>
      <c r="BG60" s="1">
        <v>4.4091000000000005</v>
      </c>
      <c r="BH60" s="1">
        <f t="shared" si="6"/>
        <v>102363.63636363635</v>
      </c>
      <c r="BI60" s="1">
        <f t="shared" si="7"/>
        <v>132182.66990342943</v>
      </c>
      <c r="BJ60" s="27">
        <v>1085.0999999999999</v>
      </c>
      <c r="BK60" s="27">
        <v>20.2</v>
      </c>
      <c r="BL60" s="27">
        <v>1080.5</v>
      </c>
      <c r="BM60" s="27">
        <v>29</v>
      </c>
      <c r="BN60" s="27">
        <v>1094.2</v>
      </c>
      <c r="BO60" s="27">
        <v>52.7</v>
      </c>
      <c r="BP60" s="27">
        <v>1084.5999999999999</v>
      </c>
      <c r="BQ60" s="27">
        <v>20.100000000000001</v>
      </c>
      <c r="BR60" s="27">
        <v>0.37</v>
      </c>
    </row>
    <row r="61" spans="1:70" x14ac:dyDescent="0.2">
      <c r="A61" t="s">
        <v>365</v>
      </c>
      <c r="B61" t="s">
        <v>38</v>
      </c>
      <c r="C61" t="s">
        <v>366</v>
      </c>
      <c r="D61" t="s">
        <v>367</v>
      </c>
      <c r="E61">
        <v>81405</v>
      </c>
      <c r="F61">
        <v>40296</v>
      </c>
      <c r="G61" t="s">
        <v>367</v>
      </c>
      <c r="H61" s="1">
        <v>176.9</v>
      </c>
      <c r="I61" s="1">
        <v>184.7</v>
      </c>
      <c r="J61" s="10">
        <v>3.194</v>
      </c>
      <c r="K61" s="10">
        <f t="shared" ca="1" si="0"/>
        <v>0.10159554320933573</v>
      </c>
      <c r="L61" s="7">
        <v>0.25009999999999999</v>
      </c>
      <c r="M61" s="7">
        <f t="shared" ca="1" si="1"/>
        <v>7.7349857142725211E-3</v>
      </c>
      <c r="N61" s="7">
        <v>0.98912</v>
      </c>
      <c r="O61" s="8">
        <v>3.9984009999999999</v>
      </c>
      <c r="P61" s="8">
        <f t="shared" ca="1" si="2"/>
        <v>0.12366083123787136</v>
      </c>
      <c r="Q61" s="9">
        <v>9.2480000000000007E-2</v>
      </c>
      <c r="R61" s="9">
        <f t="shared" ca="1" si="3"/>
        <v>1.8664190740559851E-3</v>
      </c>
      <c r="S61" s="8">
        <f t="shared" si="4"/>
        <v>0.47396535649012961</v>
      </c>
      <c r="T61" s="11">
        <v>7.0400000000000004E-2</v>
      </c>
      <c r="U61" s="11">
        <f t="shared" ca="1" si="5"/>
        <v>2.2073658509635416E-3</v>
      </c>
      <c r="V61" s="6" t="e">
        <f ca="1">IF(agePb6U8(1/O61)&lt;1400,age7corr(1/O61,Q61,$W$2),agePb76(Q61))</f>
        <v>#NAME?</v>
      </c>
      <c r="W61" s="6" t="e">
        <f ca="1">IF(agePb6U8(1/O61)&lt;1400,ageer7corr(V61,1/O61,P61/O61*(1/O61),Q61,R61,$W$2,0.05),ageerPb76(Q61,R61))</f>
        <v>#NAME?</v>
      </c>
      <c r="X61" s="4" t="e">
        <f ca="1">agePb6U8(L61)/agePb7u5(J61)</f>
        <v>#NAME?</v>
      </c>
      <c r="Y61" s="3"/>
      <c r="Z61" s="1">
        <v>3.194</v>
      </c>
      <c r="AA61" s="1">
        <v>7.9000000000000001E-2</v>
      </c>
      <c r="AB61" s="1">
        <v>0.25009999999999999</v>
      </c>
      <c r="AC61" s="1">
        <v>5.8999999999999999E-3</v>
      </c>
      <c r="AD61" s="1">
        <v>0.98912</v>
      </c>
      <c r="AE61" s="1">
        <v>3.9984009999999999</v>
      </c>
      <c r="AF61" s="1">
        <v>9.4324530000000004E-2</v>
      </c>
      <c r="AG61" s="1">
        <v>9.2480000000000007E-2</v>
      </c>
      <c r="AH61" s="1">
        <v>2.5000000000000001E-4</v>
      </c>
      <c r="AI61" s="1">
        <v>0.23724000000000001</v>
      </c>
      <c r="AJ61" s="1">
        <v>7.0400000000000004E-2</v>
      </c>
      <c r="AK61" s="1">
        <v>1.6999999999999999E-3</v>
      </c>
      <c r="AL61" s="1">
        <v>3.6469999999999998</v>
      </c>
      <c r="AM61" s="1">
        <v>1.2999999999999999E-2</v>
      </c>
      <c r="AN61" s="1">
        <v>1461</v>
      </c>
      <c r="AO61" s="1">
        <v>16</v>
      </c>
      <c r="AP61" s="1">
        <v>1439</v>
      </c>
      <c r="AQ61" s="1">
        <v>31</v>
      </c>
      <c r="AR61" s="1">
        <v>1375</v>
      </c>
      <c r="AS61" s="1">
        <v>33</v>
      </c>
      <c r="AT61" s="1">
        <v>1477.2</v>
      </c>
      <c r="AU61" s="1">
        <v>5.0999999999999996</v>
      </c>
      <c r="AV61" s="1">
        <v>38.71</v>
      </c>
      <c r="AW61" s="1">
        <v>0.48000000000000004</v>
      </c>
      <c r="AX61" s="1">
        <v>14.62</v>
      </c>
      <c r="AY61" s="1">
        <v>0.2</v>
      </c>
      <c r="AZ61" s="1">
        <v>83400.3</v>
      </c>
      <c r="BA61" s="1">
        <v>1117.8000000000002</v>
      </c>
      <c r="BB61" s="1">
        <v>34974.720000000001</v>
      </c>
      <c r="BC61" s="1">
        <v>509.21999999999991</v>
      </c>
      <c r="BD61" s="1">
        <v>378623.7</v>
      </c>
      <c r="BE61" s="1">
        <v>4843.8</v>
      </c>
      <c r="BF61" s="1">
        <v>18.63</v>
      </c>
      <c r="BG61" s="1">
        <v>8.0729999999999986</v>
      </c>
      <c r="BH61" s="1">
        <f t="shared" si="6"/>
        <v>20323.333333333336</v>
      </c>
      <c r="BI61" s="1">
        <f t="shared" si="7"/>
        <v>8810.6148949525923</v>
      </c>
      <c r="BJ61" s="27">
        <v>1449.8</v>
      </c>
      <c r="BK61" s="27">
        <v>21.3</v>
      </c>
      <c r="BL61" s="27">
        <v>1438.5</v>
      </c>
      <c r="BM61" s="27">
        <v>38.700000000000003</v>
      </c>
      <c r="BN61" s="27">
        <v>1466.5</v>
      </c>
      <c r="BO61" s="27">
        <v>41.3</v>
      </c>
      <c r="BP61" s="27">
        <v>1451.9</v>
      </c>
      <c r="BQ61" s="27">
        <v>20.7</v>
      </c>
      <c r="BR61" s="27">
        <v>0.76</v>
      </c>
    </row>
    <row r="62" spans="1:70" x14ac:dyDescent="0.2">
      <c r="A62" t="s">
        <v>368</v>
      </c>
      <c r="B62" t="s">
        <v>38</v>
      </c>
      <c r="C62" t="s">
        <v>369</v>
      </c>
      <c r="D62" t="s">
        <v>370</v>
      </c>
      <c r="E62">
        <v>81441</v>
      </c>
      <c r="F62">
        <v>40431</v>
      </c>
      <c r="G62" t="s">
        <v>370</v>
      </c>
      <c r="H62" s="1">
        <v>110.1</v>
      </c>
      <c r="I62" s="1">
        <v>67.2</v>
      </c>
      <c r="J62" s="10">
        <v>1.9630000000000001</v>
      </c>
      <c r="K62" s="10">
        <f t="shared" ca="1" si="0"/>
        <v>5.3266758865168441E-2</v>
      </c>
      <c r="L62" s="7">
        <v>0.18659999999999999</v>
      </c>
      <c r="M62" s="7">
        <f t="shared" ca="1" si="1"/>
        <v>5.2552663110445692E-3</v>
      </c>
      <c r="N62" s="7">
        <v>0.94713999999999998</v>
      </c>
      <c r="O62" s="8">
        <v>5.359057</v>
      </c>
      <c r="P62" s="8">
        <f t="shared" ca="1" si="2"/>
        <v>0.15092856147233896</v>
      </c>
      <c r="Q62" s="9">
        <v>7.6749999999999999E-2</v>
      </c>
      <c r="R62" s="9">
        <f t="shared" ca="1" si="3"/>
        <v>1.5968171467015252E-3</v>
      </c>
      <c r="S62" s="8">
        <f t="shared" si="4"/>
        <v>0.56783921468096155</v>
      </c>
      <c r="T62" s="11">
        <v>5.2699999999999997E-2</v>
      </c>
      <c r="U62" s="11">
        <f t="shared" ca="1" si="5"/>
        <v>1.5234552832295407E-3</v>
      </c>
      <c r="V62" s="6" t="e">
        <f ca="1">IF(agePb6U8(1/O62)&lt;1400,age7corr(1/O62,Q62,$W$2),agePb76(Q62))</f>
        <v>#NAME?</v>
      </c>
      <c r="W62" s="6" t="e">
        <f ca="1">IF(agePb6U8(1/O62)&lt;1400,ageer7corr(V62,1/O62,P62/O62*(1/O62),Q62,R62,$W$2,0.05),ageerPb76(Q62,R62))</f>
        <v>#NAME?</v>
      </c>
      <c r="X62" s="4" t="e">
        <f ca="1">agePb6U8(L62)/agePb7u5(J62)</f>
        <v>#NAME?</v>
      </c>
      <c r="Y62" s="3"/>
      <c r="Z62" s="1">
        <v>1.9630000000000001</v>
      </c>
      <c r="AA62" s="1">
        <v>3.5999999999999997E-2</v>
      </c>
      <c r="AB62" s="1">
        <v>0.18659999999999999</v>
      </c>
      <c r="AC62" s="1">
        <v>3.7000000000000002E-3</v>
      </c>
      <c r="AD62" s="1">
        <v>0.94713999999999998</v>
      </c>
      <c r="AE62" s="1">
        <v>5.359057</v>
      </c>
      <c r="AF62" s="1">
        <v>0.1062621</v>
      </c>
      <c r="AG62" s="1">
        <v>7.6749999999999999E-2</v>
      </c>
      <c r="AH62" s="1">
        <v>4.4000000000000002E-4</v>
      </c>
      <c r="AI62" s="1">
        <v>0.21540000000000001</v>
      </c>
      <c r="AJ62" s="1">
        <v>5.2699999999999997E-2</v>
      </c>
      <c r="AK62" s="1">
        <v>1.1000000000000001E-3</v>
      </c>
      <c r="AL62" s="1">
        <v>6.2130000000000001</v>
      </c>
      <c r="AM62" s="1">
        <v>5.0999999999999997E-2</v>
      </c>
      <c r="AN62" s="1">
        <v>1103</v>
      </c>
      <c r="AO62" s="1">
        <v>12</v>
      </c>
      <c r="AP62" s="1">
        <v>1103</v>
      </c>
      <c r="AQ62" s="1">
        <v>20</v>
      </c>
      <c r="AR62" s="1">
        <v>1038</v>
      </c>
      <c r="AS62" s="1">
        <v>21</v>
      </c>
      <c r="AT62" s="1">
        <v>1115</v>
      </c>
      <c r="AU62" s="1">
        <v>12</v>
      </c>
      <c r="AV62" s="1">
        <v>24.080000000000002</v>
      </c>
      <c r="AW62" s="1">
        <v>0.27999999999999997</v>
      </c>
      <c r="AX62" s="1">
        <v>5.32</v>
      </c>
      <c r="AY62" s="1">
        <v>0.18000000000000002</v>
      </c>
      <c r="AZ62" s="1">
        <v>22647.87</v>
      </c>
      <c r="BA62" s="1">
        <v>596.16</v>
      </c>
      <c r="BB62" s="1">
        <v>13438.44</v>
      </c>
      <c r="BC62" s="1">
        <v>298.08</v>
      </c>
      <c r="BD62" s="1">
        <v>174873.59999999998</v>
      </c>
      <c r="BE62" s="1">
        <v>3415.5</v>
      </c>
      <c r="BF62" s="1">
        <v>37.26</v>
      </c>
      <c r="BG62" s="1">
        <v>6.2099999999999991</v>
      </c>
      <c r="BH62" s="1">
        <f t="shared" si="6"/>
        <v>4693.333333333333</v>
      </c>
      <c r="BI62" s="1">
        <f t="shared" si="7"/>
        <v>787.57500132752386</v>
      </c>
      <c r="BJ62" s="27">
        <v>1108.7</v>
      </c>
      <c r="BK62" s="27">
        <v>16.899999999999999</v>
      </c>
      <c r="BL62" s="27">
        <v>1102.8</v>
      </c>
      <c r="BM62" s="27">
        <v>28.4</v>
      </c>
      <c r="BN62" s="27">
        <v>1120.3</v>
      </c>
      <c r="BO62" s="27">
        <v>51.8</v>
      </c>
      <c r="BP62" s="27">
        <v>1108.3</v>
      </c>
      <c r="BQ62" s="27">
        <v>16.899999999999999</v>
      </c>
      <c r="BR62" s="27">
        <v>0.47</v>
      </c>
    </row>
    <row r="63" spans="1:70" x14ac:dyDescent="0.2">
      <c r="A63" t="s">
        <v>371</v>
      </c>
      <c r="B63" t="s">
        <v>38</v>
      </c>
      <c r="C63" t="s">
        <v>372</v>
      </c>
      <c r="D63" t="s">
        <v>373</v>
      </c>
      <c r="E63">
        <v>81466</v>
      </c>
      <c r="F63">
        <v>44048</v>
      </c>
      <c r="G63" t="s">
        <v>373</v>
      </c>
      <c r="H63" s="1">
        <v>394</v>
      </c>
      <c r="I63" s="1">
        <v>95.9</v>
      </c>
      <c r="J63" s="10">
        <v>1.9039999999999999</v>
      </c>
      <c r="K63" s="10">
        <f t="shared" ca="1" si="0"/>
        <v>6.6076367938923519E-2</v>
      </c>
      <c r="L63" s="7">
        <v>0.17879999999999999</v>
      </c>
      <c r="M63" s="7">
        <f t="shared" ca="1" si="1"/>
        <v>6.2287860775595751E-3</v>
      </c>
      <c r="N63" s="7">
        <v>0.99317999999999995</v>
      </c>
      <c r="O63" s="8">
        <v>5.592841</v>
      </c>
      <c r="P63" s="8">
        <f t="shared" ca="1" si="2"/>
        <v>0.1948355912706978</v>
      </c>
      <c r="Q63" s="9">
        <v>7.7249999999999999E-2</v>
      </c>
      <c r="R63" s="9">
        <f t="shared" ca="1" si="3"/>
        <v>1.5701671885503148E-3</v>
      </c>
      <c r="S63" s="8">
        <f t="shared" si="4"/>
        <v>0.41736256597573523</v>
      </c>
      <c r="T63" s="11">
        <v>5.6500000000000002E-2</v>
      </c>
      <c r="U63" s="11">
        <f t="shared" ca="1" si="5"/>
        <v>1.9588006534611937E-3</v>
      </c>
      <c r="V63" s="6" t="e">
        <f ca="1">IF(agePb6U8(1/O63)&lt;1400,age7corr(1/O63,Q63,$W$2),agePb76(Q63))</f>
        <v>#NAME?</v>
      </c>
      <c r="W63" s="6" t="e">
        <f ca="1">IF(agePb6U8(1/O63)&lt;1400,ageer7corr(V63,1/O63,P63/O63*(1/O63),Q63,R63,$W$2,0.05),ageerPb76(Q63,R63))</f>
        <v>#NAME?</v>
      </c>
      <c r="X63" s="4" t="e">
        <f ca="1">agePb6U8(L63)/agePb7u5(J63)</f>
        <v>#NAME?</v>
      </c>
      <c r="Y63" s="3"/>
      <c r="Z63" s="1">
        <v>1.9039999999999999</v>
      </c>
      <c r="AA63" s="1">
        <v>5.3999999999999999E-2</v>
      </c>
      <c r="AB63" s="1">
        <v>0.17879999999999999</v>
      </c>
      <c r="AC63" s="1">
        <v>5.1000000000000004E-3</v>
      </c>
      <c r="AD63" s="1">
        <v>0.99317999999999995</v>
      </c>
      <c r="AE63" s="1">
        <v>5.592841</v>
      </c>
      <c r="AF63" s="1">
        <v>0.15952730000000001</v>
      </c>
      <c r="AG63" s="1">
        <v>7.7249999999999999E-2</v>
      </c>
      <c r="AH63" s="1">
        <v>2.7999999999999998E-4</v>
      </c>
      <c r="AI63" s="1">
        <v>0.13539000000000001</v>
      </c>
      <c r="AJ63" s="1">
        <v>5.6500000000000002E-2</v>
      </c>
      <c r="AK63" s="1">
        <v>1.6000000000000001E-3</v>
      </c>
      <c r="AL63" s="1">
        <v>13.936999999999999</v>
      </c>
      <c r="AM63" s="1">
        <v>3.1E-2</v>
      </c>
      <c r="AN63" s="1">
        <v>1082</v>
      </c>
      <c r="AO63" s="1">
        <v>19</v>
      </c>
      <c r="AP63" s="1">
        <v>1060</v>
      </c>
      <c r="AQ63" s="1">
        <v>28</v>
      </c>
      <c r="AR63" s="1">
        <v>1111</v>
      </c>
      <c r="AS63" s="1">
        <v>30</v>
      </c>
      <c r="AT63" s="1">
        <v>1127.5</v>
      </c>
      <c r="AU63" s="1">
        <v>7.3</v>
      </c>
      <c r="AV63" s="1">
        <v>86.1</v>
      </c>
      <c r="AW63" s="1">
        <v>2.2000000000000002</v>
      </c>
      <c r="AX63" s="1">
        <v>7.5900000000000007</v>
      </c>
      <c r="AY63" s="1">
        <v>0.12999999999999998</v>
      </c>
      <c r="AZ63" s="1">
        <v>34471.71</v>
      </c>
      <c r="BA63" s="1">
        <v>583.74</v>
      </c>
      <c r="BB63" s="1">
        <v>45891.9</v>
      </c>
      <c r="BC63" s="1">
        <v>745.2</v>
      </c>
      <c r="BD63" s="1">
        <v>599265</v>
      </c>
      <c r="BE63" s="1">
        <v>10557</v>
      </c>
      <c r="BF63" s="1">
        <v>11.799000000000001</v>
      </c>
      <c r="BG63" s="1">
        <v>8.0729999999999986</v>
      </c>
      <c r="BH63" s="1">
        <f t="shared" si="6"/>
        <v>50789.473684210519</v>
      </c>
      <c r="BI63" s="1">
        <f t="shared" si="7"/>
        <v>34762.209145710374</v>
      </c>
      <c r="BJ63" s="27">
        <v>1080.5</v>
      </c>
      <c r="BK63" s="27">
        <v>21.9</v>
      </c>
      <c r="BL63" s="27">
        <v>1060.9000000000001</v>
      </c>
      <c r="BM63" s="27">
        <v>33.200000000000003</v>
      </c>
      <c r="BN63" s="27">
        <v>1120.3</v>
      </c>
      <c r="BO63" s="27">
        <v>51.8</v>
      </c>
      <c r="BP63" s="27">
        <v>1081.5</v>
      </c>
      <c r="BQ63" s="27">
        <v>22</v>
      </c>
      <c r="BR63" s="27">
        <v>1.6</v>
      </c>
    </row>
    <row r="64" spans="1:70" x14ac:dyDescent="0.2">
      <c r="A64" t="s">
        <v>380</v>
      </c>
      <c r="B64" t="s">
        <v>38</v>
      </c>
      <c r="C64" t="s">
        <v>381</v>
      </c>
      <c r="D64" t="s">
        <v>382</v>
      </c>
      <c r="E64">
        <v>81453</v>
      </c>
      <c r="F64">
        <v>44274</v>
      </c>
      <c r="G64" t="s">
        <v>382</v>
      </c>
      <c r="H64" s="1">
        <v>37.5</v>
      </c>
      <c r="I64" s="1">
        <v>25.21</v>
      </c>
      <c r="J64" s="10">
        <v>1.881</v>
      </c>
      <c r="K64" s="10">
        <f t="shared" ca="1" si="0"/>
        <v>8.7500082285675601E-2</v>
      </c>
      <c r="L64" s="7">
        <v>0.17610000000000001</v>
      </c>
      <c r="M64" s="7">
        <f t="shared" ca="1" si="1"/>
        <v>7.5693119898706781E-3</v>
      </c>
      <c r="N64" s="7">
        <v>0.97221000000000002</v>
      </c>
      <c r="O64" s="8">
        <v>5.6785920000000001</v>
      </c>
      <c r="P64" s="8">
        <f t="shared" ca="1" si="2"/>
        <v>0.24408308878698581</v>
      </c>
      <c r="Q64" s="9">
        <v>7.7799999999999994E-2</v>
      </c>
      <c r="R64" s="9">
        <f t="shared" ca="1" si="3"/>
        <v>1.6605830301433288E-3</v>
      </c>
      <c r="S64" s="8">
        <f t="shared" si="4"/>
        <v>0.47867931586555157</v>
      </c>
      <c r="T64" s="11">
        <v>6.0199999999999997E-2</v>
      </c>
      <c r="U64" s="11">
        <f t="shared" ca="1" si="5"/>
        <v>2.2493590198098658E-3</v>
      </c>
      <c r="V64" s="6" t="e">
        <f ca="1">IF(agePb6U8(1/O64)&lt;1400,age7corr(1/O64,Q64,$W$2),agePb76(Q64))</f>
        <v>#NAME?</v>
      </c>
      <c r="W64" s="6" t="e">
        <f ca="1">IF(agePb6U8(1/O64)&lt;1400,ageer7corr(V64,1/O64,P64/O64*(1/O64),Q64,R64,$W$2,0.05),ageerPb76(Q64,R64))</f>
        <v>#NAME?</v>
      </c>
      <c r="X64" s="4" t="e">
        <f ca="1">agePb6U8(L64)/agePb7u5(J64)</f>
        <v>#NAME?</v>
      </c>
      <c r="Y64" s="3"/>
      <c r="Z64" s="1">
        <v>1.881</v>
      </c>
      <c r="AA64" s="1">
        <v>7.9000000000000001E-2</v>
      </c>
      <c r="AB64" s="1">
        <v>0.17610000000000001</v>
      </c>
      <c r="AC64" s="1">
        <v>6.7000000000000002E-3</v>
      </c>
      <c r="AD64" s="1">
        <v>0.97221000000000002</v>
      </c>
      <c r="AE64" s="1">
        <v>5.6785920000000001</v>
      </c>
      <c r="AF64" s="1">
        <v>0.21605089999999999</v>
      </c>
      <c r="AG64" s="1">
        <v>7.7799999999999994E-2</v>
      </c>
      <c r="AH64" s="1">
        <v>5.8E-4</v>
      </c>
      <c r="AI64" s="1">
        <v>-0.11199000000000001</v>
      </c>
      <c r="AJ64" s="1">
        <v>6.0199999999999997E-2</v>
      </c>
      <c r="AK64" s="1">
        <v>1.9E-3</v>
      </c>
      <c r="AL64" s="1">
        <v>4.5599999999999996</v>
      </c>
      <c r="AM64" s="1">
        <v>0.36</v>
      </c>
      <c r="AN64" s="1">
        <v>1072</v>
      </c>
      <c r="AO64" s="1">
        <v>28</v>
      </c>
      <c r="AP64" s="1">
        <v>1045</v>
      </c>
      <c r="AQ64" s="1">
        <v>37</v>
      </c>
      <c r="AR64" s="1">
        <v>1181</v>
      </c>
      <c r="AS64" s="1">
        <v>37</v>
      </c>
      <c r="AT64" s="1">
        <v>1141</v>
      </c>
      <c r="AU64" s="1">
        <v>15</v>
      </c>
      <c r="AV64" s="1">
        <v>8.2100000000000009</v>
      </c>
      <c r="AW64" s="1">
        <v>0.8899999999999999</v>
      </c>
      <c r="AX64" s="1">
        <v>1.9940000000000002</v>
      </c>
      <c r="AY64" s="1">
        <v>3.9E-2</v>
      </c>
      <c r="AZ64" s="1">
        <v>9762.1200000000008</v>
      </c>
      <c r="BA64" s="1">
        <v>260.82</v>
      </c>
      <c r="BB64" s="1">
        <v>4340.79</v>
      </c>
      <c r="BC64" s="1">
        <v>428.49</v>
      </c>
      <c r="BD64" s="1">
        <v>56324.700000000004</v>
      </c>
      <c r="BE64" s="1">
        <v>5589.0000000000009</v>
      </c>
      <c r="BF64" s="1">
        <v>4.1607000000000003</v>
      </c>
      <c r="BG64" s="1">
        <v>5.4027000000000003</v>
      </c>
      <c r="BH64" s="1">
        <f t="shared" si="6"/>
        <v>13537.313432835821</v>
      </c>
      <c r="BI64" s="1">
        <f t="shared" si="7"/>
        <v>17629.55275015155</v>
      </c>
      <c r="BJ64" s="27">
        <v>1078.5</v>
      </c>
      <c r="BK64" s="27">
        <v>24.9</v>
      </c>
      <c r="BL64" s="27">
        <v>1045.4000000000001</v>
      </c>
      <c r="BM64" s="27">
        <v>40.799999999999997</v>
      </c>
      <c r="BN64" s="27">
        <v>1146</v>
      </c>
      <c r="BO64" s="27">
        <v>50.9</v>
      </c>
      <c r="BP64" s="27">
        <v>1088.2</v>
      </c>
      <c r="BQ64" s="27">
        <v>23.8</v>
      </c>
      <c r="BR64" s="27">
        <v>3.1</v>
      </c>
    </row>
    <row r="65" spans="1:70" x14ac:dyDescent="0.2">
      <c r="A65" t="s">
        <v>383</v>
      </c>
      <c r="B65" t="s">
        <v>38</v>
      </c>
      <c r="C65" t="s">
        <v>384</v>
      </c>
      <c r="D65" t="s">
        <v>385</v>
      </c>
      <c r="E65">
        <v>81468</v>
      </c>
      <c r="F65">
        <v>44656</v>
      </c>
      <c r="G65" t="s">
        <v>385</v>
      </c>
      <c r="H65" s="1">
        <v>181.8</v>
      </c>
      <c r="I65" s="1">
        <v>54.6</v>
      </c>
      <c r="J65" s="10">
        <v>2.6520000000000001</v>
      </c>
      <c r="K65" s="10">
        <f t="shared" ca="1" si="0"/>
        <v>8.0834655934196947E-2</v>
      </c>
      <c r="L65" s="7">
        <v>0.22289999999999999</v>
      </c>
      <c r="M65" s="7">
        <f t="shared" ca="1" si="1"/>
        <v>6.849362306083683E-3</v>
      </c>
      <c r="N65" s="7">
        <v>0.98958000000000002</v>
      </c>
      <c r="O65" s="8">
        <v>4.4863169999999997</v>
      </c>
      <c r="P65" s="8">
        <f t="shared" ca="1" si="2"/>
        <v>0.13785738022375008</v>
      </c>
      <c r="Q65" s="9">
        <v>8.6290000000000006E-2</v>
      </c>
      <c r="R65" s="9">
        <f t="shared" ca="1" si="3"/>
        <v>1.7589728934807383E-3</v>
      </c>
      <c r="S65" s="8">
        <f t="shared" si="4"/>
        <v>0.54002321993392333</v>
      </c>
      <c r="T65" s="11">
        <v>7.3700000000000002E-2</v>
      </c>
      <c r="U65" s="11">
        <f t="shared" ca="1" si="5"/>
        <v>2.1754714431589306E-3</v>
      </c>
      <c r="V65" s="6" t="e">
        <f ca="1">IF(agePb6U8(1/O65)&lt;1400,age7corr(1/O65,Q65,$W$2),agePb76(Q65))</f>
        <v>#NAME?</v>
      </c>
      <c r="W65" s="6" t="e">
        <f ca="1">IF(agePb6U8(1/O65)&lt;1400,ageer7corr(V65,1/O65,P65/O65*(1/O65),Q65,R65,$W$2,0.05),ageerPb76(Q65,R65))</f>
        <v>#NAME?</v>
      </c>
      <c r="X65" s="4" t="e">
        <f ca="1">agePb6U8(L65)/agePb7u5(J65)</f>
        <v>#NAME?</v>
      </c>
      <c r="Y65" s="3"/>
      <c r="Z65" s="1">
        <v>2.6520000000000001</v>
      </c>
      <c r="AA65" s="1">
        <v>6.0999999999999999E-2</v>
      </c>
      <c r="AB65" s="1">
        <v>0.22289999999999999</v>
      </c>
      <c r="AC65" s="1">
        <v>5.1999999999999998E-3</v>
      </c>
      <c r="AD65" s="1">
        <v>0.98958000000000002</v>
      </c>
      <c r="AE65" s="1">
        <v>4.4863169999999997</v>
      </c>
      <c r="AF65" s="1">
        <v>0.10466060000000001</v>
      </c>
      <c r="AG65" s="1">
        <v>8.6290000000000006E-2</v>
      </c>
      <c r="AH65" s="1">
        <v>3.4000000000000002E-4</v>
      </c>
      <c r="AI65" s="1">
        <v>0.11468</v>
      </c>
      <c r="AJ65" s="1">
        <v>7.3700000000000002E-2</v>
      </c>
      <c r="AK65" s="1">
        <v>1.6000000000000001E-3</v>
      </c>
      <c r="AL65" s="1">
        <v>10.702</v>
      </c>
      <c r="AM65" s="1">
        <v>3.7999999999999999E-2</v>
      </c>
      <c r="AN65" s="1">
        <v>1314</v>
      </c>
      <c r="AO65" s="1">
        <v>17</v>
      </c>
      <c r="AP65" s="1">
        <v>1297</v>
      </c>
      <c r="AQ65" s="1">
        <v>27</v>
      </c>
      <c r="AR65" s="1">
        <v>1438</v>
      </c>
      <c r="AS65" s="1">
        <v>31</v>
      </c>
      <c r="AT65" s="1">
        <v>1344.6</v>
      </c>
      <c r="AU65" s="1">
        <v>7.6</v>
      </c>
      <c r="AV65" s="1">
        <v>39.75</v>
      </c>
      <c r="AW65" s="1">
        <v>0.61</v>
      </c>
      <c r="AX65" s="1">
        <v>4.32</v>
      </c>
      <c r="AY65" s="1">
        <v>0.12000000000000001</v>
      </c>
      <c r="AZ65" s="1">
        <v>25932.960000000003</v>
      </c>
      <c r="BA65" s="1">
        <v>453.33</v>
      </c>
      <c r="BB65" s="1">
        <v>29733.48</v>
      </c>
      <c r="BC65" s="1">
        <v>509.21999999999991</v>
      </c>
      <c r="BD65" s="1">
        <v>345897</v>
      </c>
      <c r="BE65" s="1">
        <v>6085.8</v>
      </c>
      <c r="BF65" s="1">
        <v>-0.24840000000000004</v>
      </c>
      <c r="BG65" s="1">
        <v>6.2099999999999991</v>
      </c>
      <c r="BH65" s="1">
        <f t="shared" si="6"/>
        <v>-1392499.9999999998</v>
      </c>
      <c r="BI65" s="1">
        <f t="shared" si="7"/>
        <v>-34812508.621183835</v>
      </c>
      <c r="BJ65" s="27">
        <v>1311.8</v>
      </c>
      <c r="BK65" s="27">
        <v>19.899999999999999</v>
      </c>
      <c r="BL65" s="27">
        <v>1296.2</v>
      </c>
      <c r="BM65" s="27">
        <v>36.6</v>
      </c>
      <c r="BN65" s="27">
        <v>1337.3</v>
      </c>
      <c r="BO65" s="27">
        <v>45</v>
      </c>
      <c r="BP65" s="27">
        <v>1314</v>
      </c>
      <c r="BQ65" s="27">
        <v>19.5</v>
      </c>
      <c r="BR65" s="27">
        <v>1.1000000000000001</v>
      </c>
    </row>
    <row r="66" spans="1:70" x14ac:dyDescent="0.2">
      <c r="A66" t="s">
        <v>386</v>
      </c>
      <c r="B66" t="s">
        <v>38</v>
      </c>
      <c r="C66" t="s">
        <v>387</v>
      </c>
      <c r="D66" t="s">
        <v>388</v>
      </c>
      <c r="E66">
        <v>81546</v>
      </c>
      <c r="F66">
        <v>44816</v>
      </c>
      <c r="G66" t="s">
        <v>388</v>
      </c>
      <c r="H66" s="1">
        <v>135.5</v>
      </c>
      <c r="I66" s="1">
        <v>78.900000000000006</v>
      </c>
      <c r="J66" s="10">
        <v>3.0289999999999999</v>
      </c>
      <c r="K66" s="10">
        <f t="shared" ref="K66:K69" ca="1" si="8">SQRT(K$2^2+(AA66/Z66)^2)*J66</f>
        <v>0.11351623848595406</v>
      </c>
      <c r="L66" s="7">
        <v>0.2399</v>
      </c>
      <c r="M66" s="7">
        <f t="shared" ref="M66:M69" ca="1" si="9">SQRT(M$2^2+(AC66/AB66)^2)*L66</f>
        <v>8.9878141947861822E-3</v>
      </c>
      <c r="N66" s="7">
        <v>0.99131000000000002</v>
      </c>
      <c r="O66" s="8">
        <v>4.1684039999999998</v>
      </c>
      <c r="P66" s="8">
        <f t="shared" ref="P66:P69" ca="1" si="10">SQRT(P$2^2+(AF66/AE66)^2)*O66</f>
        <v>0.15616858753647098</v>
      </c>
      <c r="Q66" s="9">
        <v>9.1509999999999994E-2</v>
      </c>
      <c r="R66" s="9">
        <f t="shared" ref="R66:R69" ca="1" si="11">SQRT(R$2^2+(AH66/AG66)^2)*Q66</f>
        <v>1.8672257603193033E-3</v>
      </c>
      <c r="S66" s="8">
        <f t="shared" ref="S66:S69" si="12">(((BE66/BD66)^2+(AW66/AV66)^2)+((BE66/BD66)^2+(BC66/BB66)^2)-((BC66/BB66)^2+(AW66/AV66)^2))/(2*SQRT((BE66/BD66)^2+(AW66/AV66)^2)*SQRT((BE66/BD66)^2+(BC66/BB66)^2))</f>
        <v>0.37616082812968699</v>
      </c>
      <c r="T66" s="11">
        <v>8.2799999999999999E-2</v>
      </c>
      <c r="U66" s="11">
        <f t="shared" ref="U66:U69" ca="1" si="13">SQRT(U$2^2+(AK66/AJ66)^2)*T66</f>
        <v>2.9158765405963264E-3</v>
      </c>
      <c r="V66" s="6" t="e">
        <f ca="1">IF(agePb6U8(1/O66)&lt;1400,age7corr(1/O66,Q66,$W$2),agePb76(Q66))</f>
        <v>#NAME?</v>
      </c>
      <c r="W66" s="6" t="e">
        <f ca="1">IF(agePb6U8(1/O66)&lt;1400,ageer7corr(V66,1/O66,P66/O66*(1/O66),Q66,R66,$W$2,0.05),ageerPb76(Q66,R66))</f>
        <v>#NAME?</v>
      </c>
      <c r="X66" s="4" t="e">
        <f ca="1">agePb6U8(L66)/agePb7u5(J66)</f>
        <v>#NAME?</v>
      </c>
      <c r="Y66" s="3"/>
      <c r="Z66" s="1">
        <v>3.0289999999999999</v>
      </c>
      <c r="AA66" s="1">
        <v>9.6000000000000002E-2</v>
      </c>
      <c r="AB66" s="1">
        <v>0.2399</v>
      </c>
      <c r="AC66" s="1">
        <v>7.6E-3</v>
      </c>
      <c r="AD66" s="1">
        <v>0.99131000000000002</v>
      </c>
      <c r="AE66" s="1">
        <v>4.1684039999999998</v>
      </c>
      <c r="AF66" s="1">
        <v>0.13205449999999999</v>
      </c>
      <c r="AG66" s="1">
        <v>9.1509999999999994E-2</v>
      </c>
      <c r="AH66" s="1">
        <v>3.6999999999999999E-4</v>
      </c>
      <c r="AI66" s="1">
        <v>2.5198000000000002E-2</v>
      </c>
      <c r="AJ66" s="1">
        <v>8.2799999999999999E-2</v>
      </c>
      <c r="AK66" s="1">
        <v>2.3999999999999998E-3</v>
      </c>
      <c r="AL66" s="1">
        <v>5.3440000000000003</v>
      </c>
      <c r="AM66" s="1">
        <v>2.4E-2</v>
      </c>
      <c r="AN66" s="1">
        <v>1413</v>
      </c>
      <c r="AO66" s="1">
        <v>24</v>
      </c>
      <c r="AP66" s="1">
        <v>1386</v>
      </c>
      <c r="AQ66" s="1">
        <v>40</v>
      </c>
      <c r="AR66" s="1">
        <v>1608</v>
      </c>
      <c r="AS66" s="1">
        <v>45</v>
      </c>
      <c r="AT66" s="1">
        <v>1457.2</v>
      </c>
      <c r="AU66" s="1">
        <v>7.7</v>
      </c>
      <c r="AV66" s="1">
        <v>29.62</v>
      </c>
      <c r="AW66" s="1">
        <v>0.88</v>
      </c>
      <c r="AX66" s="1">
        <v>6.24</v>
      </c>
      <c r="AY66" s="1">
        <v>0.11</v>
      </c>
      <c r="AZ66" s="1">
        <v>41979.6</v>
      </c>
      <c r="BA66" s="1">
        <v>931.50000000000011</v>
      </c>
      <c r="BB66" s="1">
        <v>25516.89</v>
      </c>
      <c r="BC66" s="1">
        <v>503.01</v>
      </c>
      <c r="BD66" s="1">
        <v>279698.40000000002</v>
      </c>
      <c r="BE66" s="1">
        <v>5340.6</v>
      </c>
      <c r="BF66" s="1">
        <v>6.2100000000000009E-2</v>
      </c>
      <c r="BG66" s="1">
        <v>6.2099999999999991</v>
      </c>
      <c r="BH66" s="1">
        <f t="shared" ref="BH66:BH69" si="14">BD66/BF66</f>
        <v>4504000</v>
      </c>
      <c r="BI66" s="1">
        <f t="shared" ref="BI66:BI69" si="15">SQRT((BG66/BF66)^2+(BE66/BD66)^2)*BH66</f>
        <v>450400008.21047938</v>
      </c>
      <c r="BJ66" s="27">
        <v>1417.9</v>
      </c>
      <c r="BK66" s="27">
        <v>27.7</v>
      </c>
      <c r="BL66" s="27">
        <v>1385.7</v>
      </c>
      <c r="BM66" s="27">
        <v>47.8</v>
      </c>
      <c r="BN66" s="27">
        <v>1466.5</v>
      </c>
      <c r="BO66" s="27">
        <v>41.3</v>
      </c>
      <c r="BP66" s="27">
        <v>1430.6</v>
      </c>
      <c r="BQ66" s="27">
        <v>25</v>
      </c>
      <c r="BR66" s="27">
        <v>2.5</v>
      </c>
    </row>
    <row r="67" spans="1:70" x14ac:dyDescent="0.2">
      <c r="A67" t="s">
        <v>164</v>
      </c>
      <c r="B67" t="s">
        <v>38</v>
      </c>
      <c r="C67" t="s">
        <v>165</v>
      </c>
      <c r="D67" t="s">
        <v>166</v>
      </c>
      <c r="E67">
        <v>82985</v>
      </c>
      <c r="F67">
        <v>41971</v>
      </c>
      <c r="G67" t="s">
        <v>166</v>
      </c>
      <c r="H67" s="1">
        <v>51.3</v>
      </c>
      <c r="I67" s="1">
        <v>26.5</v>
      </c>
      <c r="J67" s="10">
        <v>3.0449999999999999</v>
      </c>
      <c r="K67" s="10">
        <f t="shared" ca="1" si="8"/>
        <v>9.4301696697355331E-2</v>
      </c>
      <c r="L67" s="7">
        <v>0.2417</v>
      </c>
      <c r="M67" s="7">
        <f t="shared" ca="1" si="9"/>
        <v>7.8617781703632407E-3</v>
      </c>
      <c r="N67" s="7">
        <v>0.97231999999999996</v>
      </c>
      <c r="O67" s="8">
        <v>4.1373600000000001</v>
      </c>
      <c r="P67" s="8">
        <f t="shared" ca="1" si="10"/>
        <v>0.13457599055496491</v>
      </c>
      <c r="Q67" s="9">
        <v>9.0969999999999995E-2</v>
      </c>
      <c r="R67" s="9">
        <f t="shared" ca="1" si="11"/>
        <v>1.8922516640235778E-3</v>
      </c>
      <c r="S67" s="8">
        <f t="shared" si="12"/>
        <v>0.43239764178830731</v>
      </c>
      <c r="T67" s="11">
        <v>7.17E-2</v>
      </c>
      <c r="U67" s="11">
        <f t="shared" ca="1" si="13"/>
        <v>3.0571810545010252E-3</v>
      </c>
      <c r="V67" s="6" t="e">
        <f ca="1">IF(agePb6U8(1/O67)&lt;1400,age7corr(1/O67,Q67,$W$2),agePb76(Q67))</f>
        <v>#NAME?</v>
      </c>
      <c r="W67" s="6" t="e">
        <f ca="1">IF(agePb6U8(1/O67)&lt;1400,ageer7corr(V67,1/O67,P67/O67*(1/O67),Q67,R67,$W$2,0.05),ageerPb76(Q67,R67))</f>
        <v>#NAME?</v>
      </c>
      <c r="X67" s="4" t="e">
        <f ca="1">agePb6U8(L67)/agePb7u5(J67)</f>
        <v>#NAME?</v>
      </c>
      <c r="Y67" s="3"/>
      <c r="Z67" s="1">
        <v>3.0449999999999999</v>
      </c>
      <c r="AA67" s="1">
        <v>7.1999999999999995E-2</v>
      </c>
      <c r="AB67" s="1">
        <v>0.2417</v>
      </c>
      <c r="AC67" s="1">
        <v>6.1999999999999998E-3</v>
      </c>
      <c r="AD67" s="1">
        <v>0.97231999999999996</v>
      </c>
      <c r="AE67" s="1">
        <v>4.1373600000000001</v>
      </c>
      <c r="AF67" s="1">
        <v>0.1061301</v>
      </c>
      <c r="AG67" s="1">
        <v>9.0969999999999995E-2</v>
      </c>
      <c r="AH67" s="1">
        <v>5.1999999999999995E-4</v>
      </c>
      <c r="AI67" s="1">
        <v>-0.1137</v>
      </c>
      <c r="AJ67" s="1">
        <v>7.17E-2</v>
      </c>
      <c r="AK67" s="1">
        <v>2.7000000000000001E-3</v>
      </c>
      <c r="AL67" s="1">
        <v>7.11</v>
      </c>
      <c r="AM67" s="1">
        <v>0.12</v>
      </c>
      <c r="AN67" s="1">
        <v>1418</v>
      </c>
      <c r="AO67" s="1">
        <v>18</v>
      </c>
      <c r="AP67" s="1">
        <v>1395</v>
      </c>
      <c r="AQ67" s="1">
        <v>32</v>
      </c>
      <c r="AR67" s="1">
        <v>1399</v>
      </c>
      <c r="AS67" s="1">
        <v>51</v>
      </c>
      <c r="AT67" s="1">
        <v>1446</v>
      </c>
      <c r="AU67" s="1">
        <v>11</v>
      </c>
      <c r="AV67" s="1">
        <v>11.299999999999999</v>
      </c>
      <c r="AW67" s="1">
        <v>0.97000000000000008</v>
      </c>
      <c r="AX67" s="1">
        <v>2.1</v>
      </c>
      <c r="AY67" s="1">
        <v>0.19</v>
      </c>
      <c r="AZ67" s="1">
        <v>12606.300000000001</v>
      </c>
      <c r="BA67" s="1">
        <v>1117.8000000000002</v>
      </c>
      <c r="BB67" s="1">
        <v>9811.7999999999993</v>
      </c>
      <c r="BC67" s="1">
        <v>745.2</v>
      </c>
      <c r="BD67" s="1">
        <v>105570</v>
      </c>
      <c r="BE67" s="1">
        <v>7452.0000000000009</v>
      </c>
      <c r="BF67" s="1">
        <v>5.5889999999999995</v>
      </c>
      <c r="BG67" s="1">
        <v>6.0236999999999998</v>
      </c>
      <c r="BH67" s="1">
        <f t="shared" si="14"/>
        <v>18888.888888888891</v>
      </c>
      <c r="BI67" s="1">
        <f t="shared" si="15"/>
        <v>20401.640794595933</v>
      </c>
      <c r="BJ67" s="27">
        <v>1415</v>
      </c>
      <c r="BK67" s="27">
        <v>22.6</v>
      </c>
      <c r="BL67" s="27">
        <v>1394.7</v>
      </c>
      <c r="BM67" s="27">
        <v>39.4</v>
      </c>
      <c r="BN67" s="27">
        <v>1445.7</v>
      </c>
      <c r="BO67" s="27">
        <v>41.9</v>
      </c>
      <c r="BP67" s="27">
        <v>1419.1</v>
      </c>
      <c r="BQ67" s="27">
        <v>21.9</v>
      </c>
      <c r="BR67" s="27">
        <v>1.4</v>
      </c>
    </row>
    <row r="68" spans="1:70" x14ac:dyDescent="0.2">
      <c r="A68" t="s">
        <v>167</v>
      </c>
      <c r="B68" t="s">
        <v>38</v>
      </c>
      <c r="C68" t="s">
        <v>168</v>
      </c>
      <c r="D68" t="s">
        <v>169</v>
      </c>
      <c r="E68">
        <v>83006</v>
      </c>
      <c r="F68">
        <v>42800</v>
      </c>
      <c r="G68" t="s">
        <v>169</v>
      </c>
      <c r="H68" s="1">
        <v>77.8</v>
      </c>
      <c r="I68" s="1">
        <v>41.5</v>
      </c>
      <c r="J68" s="10">
        <v>2.8220000000000001</v>
      </c>
      <c r="K68" s="10">
        <f t="shared" ca="1" si="8"/>
        <v>9.3067038203651892E-2</v>
      </c>
      <c r="L68" s="7">
        <v>0.2291</v>
      </c>
      <c r="M68" s="7">
        <f t="shared" ca="1" si="9"/>
        <v>7.0060491005987102E-3</v>
      </c>
      <c r="N68" s="7">
        <v>0.97116999999999998</v>
      </c>
      <c r="O68" s="8">
        <v>4.3649060000000004</v>
      </c>
      <c r="P68" s="8">
        <f t="shared" ca="1" si="10"/>
        <v>0.1334821255763273</v>
      </c>
      <c r="Q68" s="9">
        <v>8.8569999999999996E-2</v>
      </c>
      <c r="R68" s="9">
        <f t="shared" ca="1" si="11"/>
        <v>1.8578099902842595E-3</v>
      </c>
      <c r="S68" s="8">
        <f t="shared" si="12"/>
        <v>0.35603243509723403</v>
      </c>
      <c r="T68" s="11">
        <v>6.7599999999999993E-2</v>
      </c>
      <c r="U68" s="11">
        <f t="shared" ca="1" si="13"/>
        <v>3.9392770910409445E-3</v>
      </c>
      <c r="V68" s="6" t="e">
        <f ca="1">IF(agePb6U8(1/O68)&lt;1400,age7corr(1/O68,Q68,$W$2),agePb76(Q68))</f>
        <v>#NAME?</v>
      </c>
      <c r="W68" s="6" t="e">
        <f ca="1">IF(agePb6U8(1/O68)&lt;1400,ageer7corr(V68,1/O68,P68/O68*(1/O68),Q68,R68,$W$2,0.05),ageerPb76(Q68,R68))</f>
        <v>#NAME?</v>
      </c>
      <c r="X68" s="4" t="e">
        <f ca="1">agePb6U8(L68)/agePb7u5(J68)</f>
        <v>#NAME?</v>
      </c>
      <c r="Y68" s="3"/>
      <c r="Z68" s="1">
        <v>2.8220000000000001</v>
      </c>
      <c r="AA68" s="1">
        <v>7.3999999999999996E-2</v>
      </c>
      <c r="AB68" s="1">
        <v>0.2291</v>
      </c>
      <c r="AC68" s="1">
        <v>5.3E-3</v>
      </c>
      <c r="AD68" s="1">
        <v>0.97116999999999998</v>
      </c>
      <c r="AE68" s="1">
        <v>4.3649060000000004</v>
      </c>
      <c r="AF68" s="1">
        <v>0.10097780000000001</v>
      </c>
      <c r="AG68" s="1">
        <v>8.8569999999999996E-2</v>
      </c>
      <c r="AH68" s="1">
        <v>5.5999999999999995E-4</v>
      </c>
      <c r="AI68" s="1">
        <v>-0.2107</v>
      </c>
      <c r="AJ68" s="1">
        <v>6.7599999999999993E-2</v>
      </c>
      <c r="AK68" s="1">
        <v>3.7000000000000002E-3</v>
      </c>
      <c r="AL68" s="1">
        <v>7.0049999999999999</v>
      </c>
      <c r="AM68" s="1">
        <v>9.2999999999999999E-2</v>
      </c>
      <c r="AN68" s="1">
        <v>1361</v>
      </c>
      <c r="AO68" s="1">
        <v>20</v>
      </c>
      <c r="AP68" s="1">
        <v>1337</v>
      </c>
      <c r="AQ68" s="1">
        <v>30</v>
      </c>
      <c r="AR68" s="1">
        <v>1322</v>
      </c>
      <c r="AS68" s="1">
        <v>70</v>
      </c>
      <c r="AT68" s="1">
        <v>1395</v>
      </c>
      <c r="AU68" s="1">
        <v>12</v>
      </c>
      <c r="AV68" s="1">
        <v>17.13</v>
      </c>
      <c r="AW68" s="1">
        <v>0.35</v>
      </c>
      <c r="AX68" s="1">
        <v>3.3</v>
      </c>
      <c r="AY68" s="1">
        <v>0.15</v>
      </c>
      <c r="AZ68" s="1">
        <v>18331.920000000002</v>
      </c>
      <c r="BA68" s="1">
        <v>385.02</v>
      </c>
      <c r="BB68" s="1">
        <v>13599.9</v>
      </c>
      <c r="BC68" s="1">
        <v>235.98</v>
      </c>
      <c r="BD68" s="1">
        <v>154877.40000000002</v>
      </c>
      <c r="BE68" s="1">
        <v>2173.5</v>
      </c>
      <c r="BF68" s="1">
        <v>-18.63</v>
      </c>
      <c r="BG68" s="1">
        <v>6.8310000000000004</v>
      </c>
      <c r="BH68" s="1">
        <f t="shared" si="14"/>
        <v>-8313.3333333333358</v>
      </c>
      <c r="BI68" s="1">
        <f t="shared" si="15"/>
        <v>-3050.4540362314101</v>
      </c>
      <c r="BJ68" s="27">
        <v>1359.1</v>
      </c>
      <c r="BK68" s="27">
        <v>22.6</v>
      </c>
      <c r="BL68" s="27">
        <v>1331.1</v>
      </c>
      <c r="BM68" s="27">
        <v>35.9</v>
      </c>
      <c r="BN68" s="27">
        <v>1403.3</v>
      </c>
      <c r="BO68" s="27">
        <v>43</v>
      </c>
      <c r="BP68" s="27">
        <v>1362.2</v>
      </c>
      <c r="BQ68" s="27">
        <v>22.6</v>
      </c>
      <c r="BR68" s="27">
        <v>1.9</v>
      </c>
    </row>
    <row r="69" spans="1:70" x14ac:dyDescent="0.2">
      <c r="A69" t="s">
        <v>170</v>
      </c>
      <c r="B69" t="s">
        <v>38</v>
      </c>
      <c r="C69" t="s">
        <v>171</v>
      </c>
      <c r="D69" t="s">
        <v>172</v>
      </c>
      <c r="E69">
        <v>83087</v>
      </c>
      <c r="F69">
        <v>43210</v>
      </c>
      <c r="G69" t="s">
        <v>172</v>
      </c>
      <c r="H69" s="1">
        <v>85.2</v>
      </c>
      <c r="I69" s="1">
        <v>47.6</v>
      </c>
      <c r="J69" s="10">
        <v>4.03</v>
      </c>
      <c r="K69" s="10">
        <f t="shared" ca="1" si="8"/>
        <v>0.12458475027064911</v>
      </c>
      <c r="L69" s="7">
        <v>0.27960000000000002</v>
      </c>
      <c r="M69" s="7">
        <f t="shared" ca="1" si="9"/>
        <v>8.5744075013962327E-3</v>
      </c>
      <c r="N69" s="7">
        <v>0.98040000000000005</v>
      </c>
      <c r="O69" s="8">
        <v>3.5765380000000002</v>
      </c>
      <c r="P69" s="8">
        <f t="shared" ca="1" si="10"/>
        <v>0.10968059131396084</v>
      </c>
      <c r="Q69" s="9">
        <v>0.10396</v>
      </c>
      <c r="R69" s="9">
        <f t="shared" ca="1" si="11"/>
        <v>2.1316595975905722E-3</v>
      </c>
      <c r="S69" s="8">
        <f t="shared" si="12"/>
        <v>0.48867069986213357</v>
      </c>
      <c r="T69" s="11">
        <v>8.5199999999999998E-2</v>
      </c>
      <c r="U69" s="11">
        <f t="shared" ca="1" si="13"/>
        <v>3.2777455666967198E-3</v>
      </c>
      <c r="V69" s="6" t="e">
        <f ca="1">IF(agePb6U8(1/O69)&lt;1400,age7corr(1/O69,Q69,$W$2),agePb76(Q69))</f>
        <v>#NAME?</v>
      </c>
      <c r="W69" s="6" t="e">
        <f ca="1">IF(agePb6U8(1/O69)&lt;1400,ageer7corr(V69,1/O69,P69/O69*(1/O69),Q69,R69,$W$2,0.05),ageerPb76(Q69,R69))</f>
        <v>#NAME?</v>
      </c>
      <c r="X69" s="4" t="e">
        <f ca="1">agePb6U8(L69)/agePb7u5(J69)</f>
        <v>#NAME?</v>
      </c>
      <c r="Y69" s="3"/>
      <c r="Z69" s="1">
        <v>4.03</v>
      </c>
      <c r="AA69" s="1">
        <v>9.5000000000000001E-2</v>
      </c>
      <c r="AB69" s="1">
        <v>0.27960000000000002</v>
      </c>
      <c r="AC69" s="1">
        <v>6.4999999999999997E-3</v>
      </c>
      <c r="AD69" s="1">
        <v>0.98040000000000005</v>
      </c>
      <c r="AE69" s="1">
        <v>3.5765380000000002</v>
      </c>
      <c r="AF69" s="1">
        <v>8.3145549999999999E-2</v>
      </c>
      <c r="AG69" s="1">
        <v>0.10396</v>
      </c>
      <c r="AH69" s="1">
        <v>4.6999999999999999E-4</v>
      </c>
      <c r="AI69" s="1">
        <v>0.27351999999999999</v>
      </c>
      <c r="AJ69" s="1">
        <v>8.5199999999999998E-2</v>
      </c>
      <c r="AK69" s="1">
        <v>2.8E-3</v>
      </c>
      <c r="AL69" s="1">
        <v>6.3049999999999997</v>
      </c>
      <c r="AM69" s="1">
        <v>7.8E-2</v>
      </c>
      <c r="AN69" s="1">
        <v>1639</v>
      </c>
      <c r="AO69" s="1">
        <v>19</v>
      </c>
      <c r="AP69" s="1">
        <v>1589</v>
      </c>
      <c r="AQ69" s="1">
        <v>33</v>
      </c>
      <c r="AR69" s="1">
        <v>1653</v>
      </c>
      <c r="AS69" s="1">
        <v>52</v>
      </c>
      <c r="AT69" s="1">
        <v>1695.9</v>
      </c>
      <c r="AU69" s="1">
        <v>8.3000000000000007</v>
      </c>
      <c r="AV69" s="1">
        <v>18.8</v>
      </c>
      <c r="AW69" s="1">
        <v>1.3</v>
      </c>
      <c r="AX69" s="1">
        <v>3.78</v>
      </c>
      <c r="AY69" s="1">
        <v>0.16</v>
      </c>
      <c r="AZ69" s="1">
        <v>26454.6</v>
      </c>
      <c r="BA69" s="1">
        <v>1304.0999999999999</v>
      </c>
      <c r="BB69" s="1">
        <v>21362.400000000001</v>
      </c>
      <c r="BC69" s="1">
        <v>1304.0999999999999</v>
      </c>
      <c r="BD69" s="1">
        <v>204930</v>
      </c>
      <c r="BE69" s="1">
        <v>13041.000000000002</v>
      </c>
      <c r="BF69" s="1">
        <v>-24.839999999999996</v>
      </c>
      <c r="BG69" s="1">
        <v>6.8310000000000004</v>
      </c>
      <c r="BH69" s="1">
        <f t="shared" si="14"/>
        <v>-8250.0000000000018</v>
      </c>
      <c r="BI69" s="1">
        <f t="shared" si="15"/>
        <v>-2328.7016903201675</v>
      </c>
      <c r="BJ69" s="27">
        <v>1634.9</v>
      </c>
      <c r="BK69" s="27">
        <v>22</v>
      </c>
      <c r="BL69" s="27">
        <v>1588</v>
      </c>
      <c r="BM69" s="27">
        <v>43.2</v>
      </c>
      <c r="BN69" s="27">
        <v>1695.9</v>
      </c>
      <c r="BO69" s="27">
        <v>35.4</v>
      </c>
      <c r="BP69" s="27">
        <v>1649.4</v>
      </c>
      <c r="BQ69" s="27">
        <v>20</v>
      </c>
      <c r="BR69" s="27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385E3-704B-4F48-B521-4F710F41DFF2}">
  <dimension ref="A1:BR105"/>
  <sheetViews>
    <sheetView topLeftCell="BG1" workbookViewId="0">
      <selection activeCell="BJ2" sqref="BJ2:BR105"/>
    </sheetView>
  </sheetViews>
  <sheetFormatPr baseColWidth="10" defaultRowHeight="15" x14ac:dyDescent="0.2"/>
  <cols>
    <col min="4" max="4" width="18.33203125" customWidth="1"/>
  </cols>
  <sheetData>
    <row r="1" spans="1:70" ht="17" x14ac:dyDescent="0.2">
      <c r="B1" t="s">
        <v>0</v>
      </c>
      <c r="C1" t="s">
        <v>1</v>
      </c>
      <c r="D1" t="s">
        <v>1109</v>
      </c>
      <c r="E1" t="s">
        <v>1110</v>
      </c>
      <c r="F1" t="s">
        <v>1111</v>
      </c>
      <c r="G1" t="s">
        <v>2</v>
      </c>
      <c r="H1" s="1" t="s">
        <v>1104</v>
      </c>
      <c r="I1" s="1" t="s">
        <v>1105</v>
      </c>
      <c r="J1" s="12" t="s">
        <v>1097</v>
      </c>
      <c r="K1" s="13" t="s">
        <v>1102</v>
      </c>
      <c r="L1" s="14" t="s">
        <v>1098</v>
      </c>
      <c r="M1" s="15" t="s">
        <v>1102</v>
      </c>
      <c r="N1" s="15" t="s">
        <v>1108</v>
      </c>
      <c r="O1" s="16" t="s">
        <v>1099</v>
      </c>
      <c r="P1" s="17" t="s">
        <v>1102</v>
      </c>
      <c r="Q1" s="18" t="s">
        <v>1100</v>
      </c>
      <c r="R1" s="19" t="s">
        <v>1102</v>
      </c>
      <c r="S1" s="17" t="s">
        <v>1108</v>
      </c>
      <c r="T1" s="20" t="s">
        <v>1106</v>
      </c>
      <c r="U1" s="21" t="s">
        <v>1102</v>
      </c>
      <c r="V1" s="22" t="s">
        <v>1101</v>
      </c>
      <c r="W1" s="22" t="s">
        <v>1102</v>
      </c>
      <c r="X1" s="5" t="s">
        <v>1103</v>
      </c>
      <c r="Y1" s="3"/>
      <c r="Z1" s="1" t="s">
        <v>3</v>
      </c>
      <c r="AA1" s="1" t="s">
        <v>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14</v>
      </c>
      <c r="AL1" s="1" t="s">
        <v>15</v>
      </c>
      <c r="AM1" s="1" t="s">
        <v>16</v>
      </c>
      <c r="AN1" s="1" t="s">
        <v>17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23</v>
      </c>
      <c r="AU1" s="1" t="s">
        <v>24</v>
      </c>
      <c r="AV1" s="1" t="s">
        <v>35</v>
      </c>
      <c r="AW1" s="1" t="s">
        <v>36</v>
      </c>
      <c r="AX1" s="1" t="s">
        <v>25</v>
      </c>
      <c r="AY1" s="1" t="s">
        <v>26</v>
      </c>
      <c r="AZ1" s="1" t="s">
        <v>27</v>
      </c>
      <c r="BA1" s="1" t="s">
        <v>28</v>
      </c>
      <c r="BB1" s="1" t="s">
        <v>29</v>
      </c>
      <c r="BC1" s="1" t="s">
        <v>30</v>
      </c>
      <c r="BD1" s="1" t="s">
        <v>31</v>
      </c>
      <c r="BE1" s="1" t="s">
        <v>32</v>
      </c>
      <c r="BF1" s="1" t="s">
        <v>33</v>
      </c>
      <c r="BG1" s="1" t="s">
        <v>34</v>
      </c>
      <c r="BH1" s="2" t="s">
        <v>1107</v>
      </c>
      <c r="BI1" s="1" t="s">
        <v>1102</v>
      </c>
      <c r="BJ1" s="1" t="s">
        <v>1112</v>
      </c>
      <c r="BK1" s="1" t="s">
        <v>1113</v>
      </c>
      <c r="BL1" s="1" t="s">
        <v>1114</v>
      </c>
      <c r="BM1" s="1" t="s">
        <v>1115</v>
      </c>
      <c r="BN1" s="1" t="s">
        <v>1116</v>
      </c>
      <c r="BO1" s="1" t="s">
        <v>1117</v>
      </c>
      <c r="BP1" s="1" t="s">
        <v>1118</v>
      </c>
      <c r="BQ1" s="1" t="s">
        <v>1119</v>
      </c>
      <c r="BR1" s="1" t="s">
        <v>1120</v>
      </c>
    </row>
    <row r="2" spans="1:70" s="23" customFormat="1" x14ac:dyDescent="0.2">
      <c r="A2" s="23" t="s">
        <v>389</v>
      </c>
      <c r="B2" s="23" t="s">
        <v>38</v>
      </c>
      <c r="C2" s="23" t="s">
        <v>390</v>
      </c>
      <c r="D2" s="23" t="s">
        <v>391</v>
      </c>
      <c r="E2" s="23">
        <v>83808</v>
      </c>
      <c r="F2" s="23">
        <v>47868</v>
      </c>
      <c r="G2" s="23" t="s">
        <v>391</v>
      </c>
      <c r="H2" s="24">
        <v>237.3</v>
      </c>
      <c r="I2" s="24">
        <v>113.5</v>
      </c>
      <c r="J2" s="25">
        <v>1.9810000000000001</v>
      </c>
      <c r="K2" s="25">
        <f t="shared" ref="K2:K64" ca="1" si="0">SQRT(K$2^2+(AA2/Z2)^2)*J2</f>
        <v>5.3532647982329429E-2</v>
      </c>
      <c r="L2" s="26">
        <v>0.17810000000000001</v>
      </c>
      <c r="M2" s="26">
        <f t="shared" ref="M2:M64" ca="1" si="1">SQRT(M$2^2+(AC2/AB2)^2)*L2</f>
        <v>4.7220592965357818E-3</v>
      </c>
      <c r="N2" s="26">
        <v>0.98229999999999995</v>
      </c>
      <c r="O2" s="26">
        <v>5.6148230000000003</v>
      </c>
      <c r="P2" s="26">
        <f t="shared" ref="P2:P64" ca="1" si="2">SQRT(P$2^2+(AF2/AE2)^2)*O2</f>
        <v>0.14886876686104175</v>
      </c>
      <c r="Q2" s="25">
        <v>8.0689999999999998E-2</v>
      </c>
      <c r="R2" s="25">
        <f t="shared" ref="R2:R64" ca="1" si="3">SQRT(R$2^2+(AH2/AG2)^2)*Q2</f>
        <v>1.6315484792061804E-3</v>
      </c>
      <c r="S2" s="26">
        <f t="shared" ref="S2:S64" si="4">(((BE2/BD2)^2+(AW2/AV2)^2)+((BE2/BD2)^2+(BC2/BB2)^2)-((BC2/BB2)^2+(AW2/AV2)^2))/(2*SQRT((BE2/BD2)^2+(AW2/AV2)^2)*SQRT((BE2/BD2)^2+(BC2/BB2)^2))</f>
        <v>0.37865075523480407</v>
      </c>
      <c r="T2" s="25">
        <v>6.5500000000000003E-2</v>
      </c>
      <c r="U2" s="25">
        <f t="shared" ref="U2:U64" ca="1" si="5">SQRT(U$2^2+(AK2/AJ2)^2)*T2</f>
        <v>1.9173158320944415E-3</v>
      </c>
      <c r="V2" s="24" t="e">
        <f ca="1">IF(agePb6U8(1/O2)&lt;1400,age7corr(1/O2,Q2,$W$2),agePb76(Q2))</f>
        <v>#NAME?</v>
      </c>
      <c r="W2" s="24" t="e">
        <f ca="1">IF(agePb6U8(1/O2)&lt;1400,ageer7corr(V2,1/O2,P2/O2*(1/O2),Q2,R2,$W$2,0.05),ageerPb76(Q2,R2))</f>
        <v>#NAME?</v>
      </c>
      <c r="X2" s="26" t="e">
        <f ca="1">agePb6U8(L2)/agePb7u5(J2)</f>
        <v>#NAME?</v>
      </c>
      <c r="Y2" s="24"/>
      <c r="Z2" s="24">
        <v>1.9810000000000001</v>
      </c>
      <c r="AA2" s="24">
        <v>3.5999999999999997E-2</v>
      </c>
      <c r="AB2" s="24">
        <v>0.17810000000000001</v>
      </c>
      <c r="AC2" s="24">
        <v>3.0999999999999999E-3</v>
      </c>
      <c r="AD2" s="24">
        <v>0.98229999999999995</v>
      </c>
      <c r="AE2" s="24">
        <v>5.6148230000000003</v>
      </c>
      <c r="AF2" s="24">
        <v>9.773134E-2</v>
      </c>
      <c r="AG2" s="24">
        <v>8.0689999999999998E-2</v>
      </c>
      <c r="AH2" s="24">
        <v>2.4000000000000001E-4</v>
      </c>
      <c r="AI2" s="24">
        <v>-2.4417000000000001E-2</v>
      </c>
      <c r="AJ2" s="24">
        <v>6.5500000000000003E-2</v>
      </c>
      <c r="AK2" s="24">
        <v>1.4E-3</v>
      </c>
      <c r="AL2" s="24">
        <v>6.1</v>
      </c>
      <c r="AM2" s="24">
        <v>0.31</v>
      </c>
      <c r="AN2" s="24">
        <v>1109</v>
      </c>
      <c r="AO2" s="24">
        <v>12</v>
      </c>
      <c r="AP2" s="24">
        <v>1056</v>
      </c>
      <c r="AQ2" s="24">
        <v>17</v>
      </c>
      <c r="AR2" s="24">
        <v>1283</v>
      </c>
      <c r="AS2" s="24">
        <v>26</v>
      </c>
      <c r="AT2" s="24">
        <v>1213.9000000000001</v>
      </c>
      <c r="AU2" s="24">
        <v>5.9</v>
      </c>
      <c r="AV2" s="24">
        <v>51.9</v>
      </c>
      <c r="AW2" s="24">
        <v>1.6</v>
      </c>
      <c r="AX2" s="24">
        <v>8.98</v>
      </c>
      <c r="AY2" s="24">
        <v>0.51</v>
      </c>
      <c r="AZ2" s="24">
        <v>47630.700000000004</v>
      </c>
      <c r="BA2" s="24">
        <v>1863.0000000000002</v>
      </c>
      <c r="BB2" s="24">
        <v>28808.19</v>
      </c>
      <c r="BC2" s="24">
        <v>534.05999999999995</v>
      </c>
      <c r="BD2" s="24">
        <v>357075</v>
      </c>
      <c r="BE2" s="24">
        <v>6831</v>
      </c>
      <c r="BF2" s="24">
        <v>112.401</v>
      </c>
      <c r="BG2" s="24">
        <v>6.2099999999999991</v>
      </c>
      <c r="BH2" s="24">
        <f t="shared" ref="BH2:BH64" si="6">BD2/BF2</f>
        <v>3176.7955801104972</v>
      </c>
      <c r="BI2" s="24">
        <f t="shared" ref="BI2:BI64" si="7">SQRT((BG2/BF2)^2+(BE2/BD2)^2)*BH2</f>
        <v>185.73752580082618</v>
      </c>
      <c r="BJ2" s="27">
        <v>1112.0999999999999</v>
      </c>
      <c r="BK2" s="27">
        <v>19.399999999999999</v>
      </c>
      <c r="BL2" s="27">
        <v>1057.4000000000001</v>
      </c>
      <c r="BM2" s="27">
        <v>26.1</v>
      </c>
      <c r="BN2" s="27">
        <v>1220.5999999999999</v>
      </c>
      <c r="BO2" s="27">
        <v>48.5</v>
      </c>
      <c r="BP2" s="27">
        <v>1102.7</v>
      </c>
      <c r="BQ2" s="27">
        <v>19.600000000000001</v>
      </c>
      <c r="BR2" s="27">
        <v>4.4000000000000004</v>
      </c>
    </row>
    <row r="3" spans="1:70" x14ac:dyDescent="0.2">
      <c r="A3" t="s">
        <v>422</v>
      </c>
      <c r="B3" t="s">
        <v>38</v>
      </c>
      <c r="C3" t="s">
        <v>423</v>
      </c>
      <c r="D3" t="s">
        <v>424</v>
      </c>
      <c r="E3">
        <v>83861</v>
      </c>
      <c r="F3">
        <v>49476</v>
      </c>
      <c r="G3" t="s">
        <v>424</v>
      </c>
      <c r="H3" s="1">
        <v>18.670000000000002</v>
      </c>
      <c r="I3" s="1">
        <v>12.6</v>
      </c>
      <c r="J3" s="10">
        <v>1.839</v>
      </c>
      <c r="K3" s="10">
        <f t="shared" ca="1" si="0"/>
        <v>8.6236699844091907E-2</v>
      </c>
      <c r="L3" s="7">
        <v>0.17710000000000001</v>
      </c>
      <c r="M3" s="7">
        <f t="shared" ca="1" si="1"/>
        <v>7.6671874895557369E-3</v>
      </c>
      <c r="N3" s="7">
        <v>0.91432999999999998</v>
      </c>
      <c r="O3" s="8">
        <v>5.6465269999999999</v>
      </c>
      <c r="P3" s="8">
        <f t="shared" ca="1" si="2"/>
        <v>0.24445497586085582</v>
      </c>
      <c r="Q3" s="9">
        <v>7.5399999999999995E-2</v>
      </c>
      <c r="R3" s="9">
        <f t="shared" ca="1" si="3"/>
        <v>1.866564759123026E-3</v>
      </c>
      <c r="S3" s="8">
        <f t="shared" si="4"/>
        <v>0.38827178975482524</v>
      </c>
      <c r="T3" s="11">
        <v>6.2799999999999995E-2</v>
      </c>
      <c r="U3" s="11">
        <f t="shared" ca="1" si="5"/>
        <v>2.7087886591611386E-3</v>
      </c>
      <c r="V3" s="6" t="e">
        <f ca="1">IF(agePb6U8(1/O3)&lt;1400,age7corr(1/O3,Q3,$W$2),agePb76(Q3))</f>
        <v>#NAME?</v>
      </c>
      <c r="W3" s="6" t="e">
        <f ca="1">IF(agePb6U8(1/O3)&lt;1400,ageer7corr(V3,1/O3,P3/O3*(1/O3),Q3,R3,$W$2,0.05),ageerPb76(Q3,R3))</f>
        <v>#NAME?</v>
      </c>
      <c r="X3" s="4" t="e">
        <f ca="1">agePb6U8(L3)/agePb7u5(J3)</f>
        <v>#NAME?</v>
      </c>
      <c r="Y3" s="3"/>
      <c r="Z3" s="1">
        <v>1.839</v>
      </c>
      <c r="AA3" s="1">
        <v>7.8E-2</v>
      </c>
      <c r="AB3" s="1">
        <v>0.17710000000000001</v>
      </c>
      <c r="AC3" s="1">
        <v>6.7999999999999996E-3</v>
      </c>
      <c r="AD3" s="1">
        <v>0.91432999999999998</v>
      </c>
      <c r="AE3" s="1">
        <v>5.6465269999999999</v>
      </c>
      <c r="AF3" s="1">
        <v>0.2168062</v>
      </c>
      <c r="AG3" s="1">
        <v>7.5399999999999995E-2</v>
      </c>
      <c r="AH3" s="1">
        <v>1.1000000000000001E-3</v>
      </c>
      <c r="AI3" s="1">
        <v>-6.8178000000000002E-2</v>
      </c>
      <c r="AJ3" s="1">
        <v>6.2799999999999995E-2</v>
      </c>
      <c r="AK3" s="1">
        <v>2.3999999999999998E-3</v>
      </c>
      <c r="AL3" s="1">
        <v>4.4669999999999996</v>
      </c>
      <c r="AM3" s="1">
        <v>2.3E-2</v>
      </c>
      <c r="AN3" s="1">
        <v>1064</v>
      </c>
      <c r="AO3" s="1">
        <v>26</v>
      </c>
      <c r="AP3" s="1">
        <v>1051</v>
      </c>
      <c r="AQ3" s="1">
        <v>37</v>
      </c>
      <c r="AR3" s="1">
        <v>1232</v>
      </c>
      <c r="AS3" s="1">
        <v>47</v>
      </c>
      <c r="AT3" s="1">
        <v>1077</v>
      </c>
      <c r="AU3" s="1">
        <v>28</v>
      </c>
      <c r="AV3" s="1">
        <v>4.08</v>
      </c>
      <c r="AW3" s="1">
        <v>0.11</v>
      </c>
      <c r="AX3" s="1">
        <v>0.99599999999999989</v>
      </c>
      <c r="AY3" s="1">
        <v>2.5999999999999999E-2</v>
      </c>
      <c r="AZ3" s="1">
        <v>5117.04</v>
      </c>
      <c r="BA3" s="1">
        <v>111.78</v>
      </c>
      <c r="BB3" s="1">
        <v>2116.989</v>
      </c>
      <c r="BC3" s="1">
        <v>37.26</v>
      </c>
      <c r="BD3" s="1">
        <v>28472.85</v>
      </c>
      <c r="BE3" s="1">
        <v>503.01</v>
      </c>
      <c r="BF3" s="1">
        <v>1.1178000000000001</v>
      </c>
      <c r="BG3" s="1">
        <v>5.1543000000000001</v>
      </c>
      <c r="BH3" s="1">
        <f t="shared" si="6"/>
        <v>25472.222222222219</v>
      </c>
      <c r="BI3" s="1">
        <f t="shared" si="7"/>
        <v>117456.10894087244</v>
      </c>
      <c r="BJ3" s="27">
        <v>1056.0999999999999</v>
      </c>
      <c r="BK3" s="27">
        <v>26.5</v>
      </c>
      <c r="BL3" s="27">
        <v>1050.5</v>
      </c>
      <c r="BM3" s="27">
        <v>41.2</v>
      </c>
      <c r="BN3" s="27">
        <v>1067.5999999999999</v>
      </c>
      <c r="BO3" s="27">
        <v>53.6</v>
      </c>
      <c r="BP3" s="27">
        <v>1057.5</v>
      </c>
      <c r="BQ3" s="27">
        <v>25.8</v>
      </c>
      <c r="BR3" s="27">
        <v>0.52</v>
      </c>
    </row>
    <row r="4" spans="1:70" x14ac:dyDescent="0.2">
      <c r="A4" t="s">
        <v>743</v>
      </c>
      <c r="B4" t="s">
        <v>38</v>
      </c>
      <c r="C4" t="s">
        <v>744</v>
      </c>
      <c r="D4" t="s">
        <v>745</v>
      </c>
      <c r="E4">
        <v>82964</v>
      </c>
      <c r="F4">
        <v>53331</v>
      </c>
      <c r="G4" t="s">
        <v>745</v>
      </c>
      <c r="H4" s="1">
        <v>112.7</v>
      </c>
      <c r="I4" s="1">
        <v>50.8</v>
      </c>
      <c r="J4" s="10">
        <v>3.35</v>
      </c>
      <c r="K4" s="10">
        <f t="shared" ca="1" si="0"/>
        <v>9.4752308678997366E-2</v>
      </c>
      <c r="L4" s="7">
        <v>0.25869999999999999</v>
      </c>
      <c r="M4" s="7">
        <f t="shared" ca="1" si="1"/>
        <v>6.9231695053638548E-3</v>
      </c>
      <c r="N4" s="7">
        <v>0.97887000000000002</v>
      </c>
      <c r="O4" s="8">
        <v>3.8654809999999999</v>
      </c>
      <c r="P4" s="8">
        <f t="shared" ca="1" si="2"/>
        <v>0.10344561740473543</v>
      </c>
      <c r="Q4" s="9">
        <v>9.4219999999999998E-2</v>
      </c>
      <c r="R4" s="9">
        <f t="shared" ca="1" si="3"/>
        <v>1.9630240344937198E-3</v>
      </c>
      <c r="S4" s="8">
        <f t="shared" si="4"/>
        <v>0.46090651560537477</v>
      </c>
      <c r="T4" s="11">
        <v>8.7900000000000006E-2</v>
      </c>
      <c r="U4" s="11">
        <f t="shared" ca="1" si="5"/>
        <v>2.6628112963557899E-3</v>
      </c>
      <c r="V4" s="6" t="e">
        <f ca="1">IF(agePb6U8(1/O4)&lt;1400,age7corr(1/O4,Q4,$W$2),agePb76(Q4))</f>
        <v>#NAME?</v>
      </c>
      <c r="W4" s="6" t="e">
        <f ca="1">IF(agePb6U8(1/O4)&lt;1400,ageer7corr(V4,1/O4,P4/O4*(1/O4),Q4,R4,$W$2,0.05),ageerPb76(Q4,R4))</f>
        <v>#NAME?</v>
      </c>
      <c r="X4" s="4" t="e">
        <f ca="1">agePb6U8(L4)/agePb7u5(J4)</f>
        <v>#NAME?</v>
      </c>
      <c r="Y4" s="3"/>
      <c r="Z4" s="1">
        <v>3.35</v>
      </c>
      <c r="AA4" s="1">
        <v>6.7000000000000004E-2</v>
      </c>
      <c r="AB4" s="1">
        <v>0.25869999999999999</v>
      </c>
      <c r="AC4" s="1">
        <v>4.5999999999999999E-3</v>
      </c>
      <c r="AD4" s="1">
        <v>0.97887000000000002</v>
      </c>
      <c r="AE4" s="1">
        <v>3.8654809999999999</v>
      </c>
      <c r="AF4" s="1">
        <v>6.8732950000000001E-2</v>
      </c>
      <c r="AG4" s="1">
        <v>9.4219999999999998E-2</v>
      </c>
      <c r="AH4" s="1">
        <v>5.5000000000000003E-4</v>
      </c>
      <c r="AI4" s="1">
        <v>-0.17408999999999999</v>
      </c>
      <c r="AJ4" s="1">
        <v>8.7900000000000006E-2</v>
      </c>
      <c r="AK4" s="1">
        <v>2E-3</v>
      </c>
      <c r="AL4" s="1">
        <v>7.04</v>
      </c>
      <c r="AM4" s="1">
        <v>0.19</v>
      </c>
      <c r="AN4" s="1">
        <v>1492</v>
      </c>
      <c r="AO4" s="1">
        <v>15</v>
      </c>
      <c r="AP4" s="1">
        <v>1483</v>
      </c>
      <c r="AQ4" s="1">
        <v>23</v>
      </c>
      <c r="AR4" s="1">
        <v>1702</v>
      </c>
      <c r="AS4" s="1">
        <v>36</v>
      </c>
      <c r="AT4" s="1">
        <v>1512</v>
      </c>
      <c r="AU4" s="1">
        <v>11</v>
      </c>
      <c r="AV4" s="1">
        <v>24.330000000000002</v>
      </c>
      <c r="AW4" s="1">
        <v>0.8</v>
      </c>
      <c r="AX4" s="1">
        <v>4</v>
      </c>
      <c r="AY4" s="1">
        <v>0.11</v>
      </c>
      <c r="AZ4" s="1">
        <v>28547.37</v>
      </c>
      <c r="BA4" s="1">
        <v>385.02</v>
      </c>
      <c r="BB4" s="1">
        <v>23163.3</v>
      </c>
      <c r="BC4" s="1">
        <v>745.2</v>
      </c>
      <c r="BD4" s="1">
        <v>247779</v>
      </c>
      <c r="BE4" s="1">
        <v>7452.0000000000009</v>
      </c>
      <c r="BF4" s="1">
        <v>3.7259999999999995</v>
      </c>
      <c r="BG4" s="1">
        <v>5.4647999999999994</v>
      </c>
      <c r="BH4" s="1">
        <f t="shared" si="6"/>
        <v>66500.000000000015</v>
      </c>
      <c r="BI4" s="1">
        <f t="shared" si="7"/>
        <v>97553.836988152951</v>
      </c>
      <c r="BJ4" s="27">
        <v>1492.2</v>
      </c>
      <c r="BK4" s="27">
        <v>19.399999999999999</v>
      </c>
      <c r="BL4" s="27">
        <v>1481.6</v>
      </c>
      <c r="BM4" s="27">
        <v>34.200000000000003</v>
      </c>
      <c r="BN4" s="27">
        <v>1507.3</v>
      </c>
      <c r="BO4" s="27">
        <v>40.200000000000003</v>
      </c>
      <c r="BP4" s="27">
        <v>1493</v>
      </c>
      <c r="BQ4" s="27">
        <v>19.3</v>
      </c>
      <c r="BR4" s="27">
        <v>0.66</v>
      </c>
    </row>
    <row r="5" spans="1:70" x14ac:dyDescent="0.2">
      <c r="A5" t="s">
        <v>746</v>
      </c>
      <c r="B5" t="s">
        <v>38</v>
      </c>
      <c r="C5" t="s">
        <v>747</v>
      </c>
      <c r="D5" t="s">
        <v>748</v>
      </c>
      <c r="E5">
        <v>83037</v>
      </c>
      <c r="F5">
        <v>53578</v>
      </c>
      <c r="G5" t="s">
        <v>748</v>
      </c>
      <c r="H5" s="1">
        <v>164.5</v>
      </c>
      <c r="I5" s="1">
        <v>55.9</v>
      </c>
      <c r="J5" s="10">
        <v>2.4510000000000001</v>
      </c>
      <c r="K5" s="10">
        <f t="shared" ca="1" si="0"/>
        <v>8.7103159529376431E-2</v>
      </c>
      <c r="L5" s="7">
        <v>0.20749999999999999</v>
      </c>
      <c r="M5" s="7">
        <f t="shared" ca="1" si="1"/>
        <v>7.3778384368322963E-3</v>
      </c>
      <c r="N5" s="7">
        <v>0.99429000000000001</v>
      </c>
      <c r="O5" s="8">
        <v>4.8192769999999996</v>
      </c>
      <c r="P5" s="8">
        <f t="shared" ca="1" si="2"/>
        <v>0.17135345424327342</v>
      </c>
      <c r="Q5" s="9">
        <v>8.5919999999999996E-2</v>
      </c>
      <c r="R5" s="9">
        <f t="shared" ca="1" si="3"/>
        <v>1.7536814305910864E-3</v>
      </c>
      <c r="S5" s="8">
        <f t="shared" si="4"/>
        <v>0.4607872315035032</v>
      </c>
      <c r="T5" s="11">
        <v>7.6200000000000004E-2</v>
      </c>
      <c r="U5" s="11">
        <f t="shared" ca="1" si="5"/>
        <v>2.6762989369650018E-3</v>
      </c>
      <c r="V5" s="6" t="e">
        <f ca="1">IF(agePb6U8(1/O5)&lt;1400,age7corr(1/O5,Q5,$W$2),agePb76(Q5))</f>
        <v>#NAME?</v>
      </c>
      <c r="W5" s="6" t="e">
        <f ca="1">IF(agePb6U8(1/O5)&lt;1400,ageer7corr(V5,1/O5,P5/O5*(1/O5),Q5,R5,$W$2,0.05),ageerPb76(Q5,R5))</f>
        <v>#NAME?</v>
      </c>
      <c r="X5" s="4" t="e">
        <f ca="1">agePb6U8(L5)/agePb7u5(J5)</f>
        <v>#NAME?</v>
      </c>
      <c r="Y5" s="3"/>
      <c r="Z5" s="1">
        <v>2.4510000000000001</v>
      </c>
      <c r="AA5" s="1">
        <v>7.1999999999999995E-2</v>
      </c>
      <c r="AB5" s="1">
        <v>0.20749999999999999</v>
      </c>
      <c r="AC5" s="1">
        <v>6.1000000000000004E-3</v>
      </c>
      <c r="AD5" s="1">
        <v>0.99429000000000001</v>
      </c>
      <c r="AE5" s="1">
        <v>4.8192769999999996</v>
      </c>
      <c r="AF5" s="1">
        <v>0.1416751</v>
      </c>
      <c r="AG5" s="1">
        <v>8.5919999999999996E-2</v>
      </c>
      <c r="AH5" s="1">
        <v>3.5E-4</v>
      </c>
      <c r="AI5" s="1">
        <v>6.1268999999999997E-2</v>
      </c>
      <c r="AJ5" s="1">
        <v>7.6200000000000004E-2</v>
      </c>
      <c r="AK5" s="1">
        <v>2.2000000000000001E-3</v>
      </c>
      <c r="AL5" s="1">
        <v>8.3819999999999997</v>
      </c>
      <c r="AM5" s="1">
        <v>4.2000000000000003E-2</v>
      </c>
      <c r="AN5" s="1">
        <v>1262</v>
      </c>
      <c r="AO5" s="1">
        <v>23</v>
      </c>
      <c r="AP5" s="1">
        <v>1223</v>
      </c>
      <c r="AQ5" s="1">
        <v>35</v>
      </c>
      <c r="AR5" s="1">
        <v>1484</v>
      </c>
      <c r="AS5" s="1">
        <v>41</v>
      </c>
      <c r="AT5" s="1">
        <v>1336.3</v>
      </c>
      <c r="AU5" s="1">
        <v>7.8</v>
      </c>
      <c r="AV5" s="1">
        <v>35.5</v>
      </c>
      <c r="AW5" s="1">
        <v>1.6</v>
      </c>
      <c r="AX5" s="1">
        <v>4.4010000000000007</v>
      </c>
      <c r="AY5" s="1">
        <v>8.2000000000000003E-2</v>
      </c>
      <c r="AZ5" s="1">
        <v>27758.7</v>
      </c>
      <c r="BA5" s="1">
        <v>1242</v>
      </c>
      <c r="BB5" s="1">
        <v>24902.1</v>
      </c>
      <c r="BC5" s="1">
        <v>1055.7</v>
      </c>
      <c r="BD5" s="1">
        <v>291870</v>
      </c>
      <c r="BE5" s="1">
        <v>11799</v>
      </c>
      <c r="BF5" s="1">
        <v>31.05</v>
      </c>
      <c r="BG5" s="1">
        <v>7.4519999999999991</v>
      </c>
      <c r="BH5" s="1">
        <f t="shared" si="6"/>
        <v>9400</v>
      </c>
      <c r="BI5" s="1">
        <f t="shared" si="7"/>
        <v>2287.7797096748623</v>
      </c>
      <c r="BJ5" s="27">
        <v>1260.0999999999999</v>
      </c>
      <c r="BK5" s="27">
        <v>23.2</v>
      </c>
      <c r="BL5" s="27">
        <v>1215.3</v>
      </c>
      <c r="BM5" s="27">
        <v>39.1</v>
      </c>
      <c r="BN5" s="27">
        <v>1337.3</v>
      </c>
      <c r="BO5" s="27">
        <v>45</v>
      </c>
      <c r="BP5" s="27">
        <v>1270.4000000000001</v>
      </c>
      <c r="BQ5" s="27">
        <v>22.4</v>
      </c>
      <c r="BR5" s="27">
        <v>3.5</v>
      </c>
    </row>
    <row r="6" spans="1:70" x14ac:dyDescent="0.2">
      <c r="A6" t="s">
        <v>749</v>
      </c>
      <c r="B6" t="s">
        <v>38</v>
      </c>
      <c r="C6" t="s">
        <v>750</v>
      </c>
      <c r="D6" t="s">
        <v>751</v>
      </c>
      <c r="E6">
        <v>82946</v>
      </c>
      <c r="F6">
        <v>53871</v>
      </c>
      <c r="G6" t="s">
        <v>751</v>
      </c>
      <c r="H6" s="1">
        <v>69.06</v>
      </c>
      <c r="I6" s="1">
        <v>29.97</v>
      </c>
      <c r="J6" s="10">
        <v>2.2690000000000001</v>
      </c>
      <c r="K6" s="10">
        <f t="shared" ca="1" si="0"/>
        <v>6.9773522198610563E-2</v>
      </c>
      <c r="L6" s="7">
        <v>0.2049</v>
      </c>
      <c r="M6" s="7">
        <f t="shared" ca="1" si="1"/>
        <v>6.1606496410687083E-3</v>
      </c>
      <c r="N6" s="7">
        <v>0.95589999999999997</v>
      </c>
      <c r="O6" s="8">
        <v>4.8804290000000004</v>
      </c>
      <c r="P6" s="8">
        <f t="shared" ca="1" si="2"/>
        <v>0.14673797627017485</v>
      </c>
      <c r="Q6" s="9">
        <v>8.0100000000000005E-2</v>
      </c>
      <c r="R6" s="9">
        <f t="shared" ca="1" si="3"/>
        <v>1.7071918462785605E-3</v>
      </c>
      <c r="S6" s="8">
        <f t="shared" si="4"/>
        <v>0.52756015057936345</v>
      </c>
      <c r="T6" s="11">
        <v>7.2400000000000006E-2</v>
      </c>
      <c r="U6" s="11">
        <f t="shared" ca="1" si="5"/>
        <v>2.3101307322314036E-3</v>
      </c>
      <c r="V6" s="6" t="e">
        <f ca="1">IF(agePb6U8(1/O6)&lt;1400,age7corr(1/O6,Q6,$W$2),agePb76(Q6))</f>
        <v>#NAME?</v>
      </c>
      <c r="W6" s="6" t="e">
        <f ca="1">IF(agePb6U8(1/O6)&lt;1400,ageer7corr(V6,1/O6,P6/O6*(1/O6),Q6,R6,$W$2,0.05),ageerPb76(Q6,R6))</f>
        <v>#NAME?</v>
      </c>
      <c r="X6" s="4" t="e">
        <f ca="1">agePb6U8(L6)/agePb7u5(J6)</f>
        <v>#NAME?</v>
      </c>
      <c r="Y6" s="3"/>
      <c r="Z6" s="1">
        <v>2.2690000000000001</v>
      </c>
      <c r="AA6" s="1">
        <v>5.2999999999999999E-2</v>
      </c>
      <c r="AB6" s="1">
        <v>0.2049</v>
      </c>
      <c r="AC6" s="1">
        <v>4.5999999999999999E-3</v>
      </c>
      <c r="AD6" s="1">
        <v>0.95589999999999997</v>
      </c>
      <c r="AE6" s="1">
        <v>4.8804290000000004</v>
      </c>
      <c r="AF6" s="1">
        <v>0.1095655</v>
      </c>
      <c r="AG6" s="1">
        <v>8.0100000000000005E-2</v>
      </c>
      <c r="AH6" s="1">
        <v>5.9000000000000003E-4</v>
      </c>
      <c r="AI6" s="1">
        <v>9.2536999999999994E-2</v>
      </c>
      <c r="AJ6" s="1">
        <v>7.2400000000000006E-2</v>
      </c>
      <c r="AK6" s="1">
        <v>1.8E-3</v>
      </c>
      <c r="AL6" s="1">
        <v>6.859</v>
      </c>
      <c r="AM6" s="1">
        <v>3.5000000000000003E-2</v>
      </c>
      <c r="AN6" s="1">
        <v>1202</v>
      </c>
      <c r="AO6" s="1">
        <v>17</v>
      </c>
      <c r="AP6" s="1">
        <v>1202</v>
      </c>
      <c r="AQ6" s="1">
        <v>25</v>
      </c>
      <c r="AR6" s="1">
        <v>1414</v>
      </c>
      <c r="AS6" s="1">
        <v>33</v>
      </c>
      <c r="AT6" s="1">
        <v>1199</v>
      </c>
      <c r="AU6" s="1">
        <v>14</v>
      </c>
      <c r="AV6" s="1">
        <v>14.91</v>
      </c>
      <c r="AW6" s="1">
        <v>0.2</v>
      </c>
      <c r="AX6" s="1">
        <v>2.3579999999999997</v>
      </c>
      <c r="AY6" s="1">
        <v>7.5999999999999998E-2</v>
      </c>
      <c r="AZ6" s="1">
        <v>14065.65</v>
      </c>
      <c r="BA6" s="1">
        <v>198.71999999999997</v>
      </c>
      <c r="BB6" s="1">
        <v>9507.51</v>
      </c>
      <c r="BC6" s="1">
        <v>124.2</v>
      </c>
      <c r="BD6" s="1">
        <v>119853.00000000001</v>
      </c>
      <c r="BE6" s="1">
        <v>1676.7</v>
      </c>
      <c r="BF6" s="1">
        <v>6.0236999999999998</v>
      </c>
      <c r="BG6" s="1">
        <v>5.2784999999999993</v>
      </c>
      <c r="BH6" s="1">
        <f t="shared" si="6"/>
        <v>19896.907216494848</v>
      </c>
      <c r="BI6" s="1">
        <f t="shared" si="7"/>
        <v>17437.655900801459</v>
      </c>
      <c r="BJ6" s="27">
        <v>1199.7</v>
      </c>
      <c r="BK6" s="27">
        <v>19.3</v>
      </c>
      <c r="BL6" s="27">
        <v>1201.7</v>
      </c>
      <c r="BM6" s="27">
        <v>33.700000000000003</v>
      </c>
      <c r="BN6" s="27">
        <v>1196.0999999999999</v>
      </c>
      <c r="BO6" s="27">
        <v>49.3</v>
      </c>
      <c r="BP6" s="27">
        <v>1199.5999999999999</v>
      </c>
      <c r="BQ6" s="27">
        <v>19.3</v>
      </c>
      <c r="BR6" s="27">
        <v>-0.15</v>
      </c>
    </row>
    <row r="7" spans="1:70" x14ac:dyDescent="0.2">
      <c r="A7" t="s">
        <v>752</v>
      </c>
      <c r="B7" t="s">
        <v>38</v>
      </c>
      <c r="C7" t="s">
        <v>753</v>
      </c>
      <c r="D7" t="s">
        <v>754</v>
      </c>
      <c r="E7">
        <v>82980</v>
      </c>
      <c r="F7">
        <v>54090</v>
      </c>
      <c r="G7" t="s">
        <v>754</v>
      </c>
      <c r="H7" s="1">
        <v>157.80000000000001</v>
      </c>
      <c r="I7" s="1">
        <v>86.4</v>
      </c>
      <c r="J7" s="10">
        <v>2.64</v>
      </c>
      <c r="K7" s="10">
        <f t="shared" ca="1" si="0"/>
        <v>0.11308333210513387</v>
      </c>
      <c r="L7" s="7">
        <v>0.22090000000000001</v>
      </c>
      <c r="M7" s="7">
        <f t="shared" ca="1" si="1"/>
        <v>9.3144363221828955E-3</v>
      </c>
      <c r="N7" s="7">
        <v>0.99661</v>
      </c>
      <c r="O7" s="8">
        <v>4.5269349999999999</v>
      </c>
      <c r="P7" s="8">
        <f t="shared" ca="1" si="2"/>
        <v>0.19088209689787566</v>
      </c>
      <c r="Q7" s="9">
        <v>8.6760000000000004E-2</v>
      </c>
      <c r="R7" s="9">
        <f t="shared" ca="1" si="3"/>
        <v>1.7876853861907582E-3</v>
      </c>
      <c r="S7" s="8">
        <f t="shared" si="4"/>
        <v>0.54883818110119709</v>
      </c>
      <c r="T7" s="11">
        <v>8.2400000000000001E-2</v>
      </c>
      <c r="U7" s="11">
        <f t="shared" ca="1" si="5"/>
        <v>3.1632110267890757E-3</v>
      </c>
      <c r="V7" s="6" t="e">
        <f ca="1">IF(agePb6U8(1/O7)&lt;1400,age7corr(1/O7,Q7,$W$2),agePb76(Q7))</f>
        <v>#NAME?</v>
      </c>
      <c r="W7" s="6" t="e">
        <f ca="1">IF(agePb6U8(1/O7)&lt;1400,ageer7corr(V7,1/O7,P7/O7*(1/O7),Q7,R7,$W$2,0.05),ageerPb76(Q7,R7))</f>
        <v>#NAME?</v>
      </c>
      <c r="X7" s="4" t="e">
        <f ca="1">agePb6U8(L7)/agePb7u5(J7)</f>
        <v>#NAME?</v>
      </c>
      <c r="Y7" s="3"/>
      <c r="Z7" s="1">
        <v>2.64</v>
      </c>
      <c r="AA7" s="1">
        <v>0.1</v>
      </c>
      <c r="AB7" s="1">
        <v>0.22090000000000001</v>
      </c>
      <c r="AC7" s="1">
        <v>8.2000000000000007E-3</v>
      </c>
      <c r="AD7" s="1">
        <v>0.99661</v>
      </c>
      <c r="AE7" s="1">
        <v>4.5269349999999999</v>
      </c>
      <c r="AF7" s="1">
        <v>0.16804379999999999</v>
      </c>
      <c r="AG7" s="1">
        <v>8.6760000000000004E-2</v>
      </c>
      <c r="AH7" s="1">
        <v>4.2999999999999999E-4</v>
      </c>
      <c r="AI7" s="1">
        <v>-0.34445999999999999</v>
      </c>
      <c r="AJ7" s="1">
        <v>8.2400000000000001E-2</v>
      </c>
      <c r="AK7" s="1">
        <v>2.7000000000000001E-3</v>
      </c>
      <c r="AL7" s="1">
        <v>5.2919999999999998</v>
      </c>
      <c r="AM7" s="1">
        <v>3.4000000000000002E-2</v>
      </c>
      <c r="AN7" s="1">
        <v>1316</v>
      </c>
      <c r="AO7" s="1">
        <v>26</v>
      </c>
      <c r="AP7" s="1">
        <v>1286</v>
      </c>
      <c r="AQ7" s="1">
        <v>43</v>
      </c>
      <c r="AR7" s="1">
        <v>1601</v>
      </c>
      <c r="AS7" s="1">
        <v>51</v>
      </c>
      <c r="AT7" s="1">
        <v>1355</v>
      </c>
      <c r="AU7" s="1">
        <v>9.6</v>
      </c>
      <c r="AV7" s="1">
        <v>34.06</v>
      </c>
      <c r="AW7" s="1">
        <v>0.68</v>
      </c>
      <c r="AX7" s="1">
        <v>6.8</v>
      </c>
      <c r="AY7" s="1">
        <v>0.2</v>
      </c>
      <c r="AZ7" s="1">
        <v>45333</v>
      </c>
      <c r="BA7" s="1">
        <v>1366.1999999999998</v>
      </c>
      <c r="BB7" s="1">
        <v>25647.300000000003</v>
      </c>
      <c r="BC7" s="1">
        <v>745.2</v>
      </c>
      <c r="BD7" s="1">
        <v>298080</v>
      </c>
      <c r="BE7" s="1">
        <v>8072.9999999999982</v>
      </c>
      <c r="BF7" s="1">
        <v>1.8629999999999998</v>
      </c>
      <c r="BG7" s="1">
        <v>6.0236999999999998</v>
      </c>
      <c r="BH7" s="1">
        <f t="shared" si="6"/>
        <v>160000.00000000003</v>
      </c>
      <c r="BI7" s="1">
        <f t="shared" si="7"/>
        <v>517351.48164043733</v>
      </c>
      <c r="BJ7" s="27">
        <v>1313.8</v>
      </c>
      <c r="BK7" s="27">
        <v>25.8</v>
      </c>
      <c r="BL7" s="27">
        <v>1285.8</v>
      </c>
      <c r="BM7" s="27">
        <v>48.9</v>
      </c>
      <c r="BN7" s="27">
        <v>1359.6</v>
      </c>
      <c r="BO7" s="27">
        <v>44.3</v>
      </c>
      <c r="BP7" s="27">
        <v>1325.3</v>
      </c>
      <c r="BQ7" s="27">
        <v>22.3</v>
      </c>
      <c r="BR7" s="27">
        <v>2.4</v>
      </c>
    </row>
    <row r="8" spans="1:70" x14ac:dyDescent="0.2">
      <c r="A8" t="s">
        <v>755</v>
      </c>
      <c r="B8" t="s">
        <v>38</v>
      </c>
      <c r="C8" t="s">
        <v>756</v>
      </c>
      <c r="D8" t="s">
        <v>757</v>
      </c>
      <c r="E8">
        <v>82935</v>
      </c>
      <c r="F8">
        <v>54406</v>
      </c>
      <c r="G8" t="s">
        <v>757</v>
      </c>
      <c r="H8" s="1">
        <v>34.1</v>
      </c>
      <c r="I8" s="1">
        <v>15.58</v>
      </c>
      <c r="J8" s="10">
        <v>1.9330000000000001</v>
      </c>
      <c r="K8" s="10">
        <f t="shared" ca="1" si="0"/>
        <v>6.9703626878377001E-2</v>
      </c>
      <c r="L8" s="7">
        <v>0.18490000000000001</v>
      </c>
      <c r="M8" s="7">
        <f t="shared" ca="1" si="1"/>
        <v>6.4626004054095746E-3</v>
      </c>
      <c r="N8" s="7">
        <v>0.96245000000000003</v>
      </c>
      <c r="O8" s="8">
        <v>5.4083290000000002</v>
      </c>
      <c r="P8" s="8">
        <f t="shared" ca="1" si="2"/>
        <v>0.18903118964579999</v>
      </c>
      <c r="Q8" s="9">
        <v>7.5550000000000006E-2</v>
      </c>
      <c r="R8" s="9">
        <f t="shared" ca="1" si="3"/>
        <v>1.709713718726033E-3</v>
      </c>
      <c r="S8" s="8">
        <f t="shared" si="4"/>
        <v>0.43768597477323967</v>
      </c>
      <c r="T8" s="11">
        <v>7.1400000000000005E-2</v>
      </c>
      <c r="U8" s="11">
        <f t="shared" ca="1" si="5"/>
        <v>2.7927019174985353E-3</v>
      </c>
      <c r="V8" s="6" t="e">
        <f ca="1">IF(agePb6U8(1/O8)&lt;1400,age7corr(1/O8,Q8,$W$2),agePb76(Q8))</f>
        <v>#NAME?</v>
      </c>
      <c r="W8" s="6" t="e">
        <f ca="1">IF(agePb6U8(1/O8)&lt;1400,ageer7corr(V8,1/O8,P8/O8*(1/O8),Q8,R8,$W$2,0.05),ageerPb76(Q8,R8))</f>
        <v>#NAME?</v>
      </c>
      <c r="X8" s="4" t="e">
        <f ca="1">agePb6U8(L8)/agePb7u5(J8)</f>
        <v>#NAME?</v>
      </c>
      <c r="Y8" s="3"/>
      <c r="Z8" s="1">
        <v>1.9330000000000001</v>
      </c>
      <c r="AA8" s="1">
        <v>5.8000000000000003E-2</v>
      </c>
      <c r="AB8" s="1">
        <v>0.18490000000000001</v>
      </c>
      <c r="AC8" s="1">
        <v>5.3E-3</v>
      </c>
      <c r="AD8" s="1">
        <v>0.96245000000000003</v>
      </c>
      <c r="AE8" s="1">
        <v>5.4083290000000002</v>
      </c>
      <c r="AF8" s="1">
        <v>0.1550251</v>
      </c>
      <c r="AG8" s="1">
        <v>7.5550000000000006E-2</v>
      </c>
      <c r="AH8" s="1">
        <v>8.0000000000000004E-4</v>
      </c>
      <c r="AI8" s="1">
        <v>-0.11407</v>
      </c>
      <c r="AJ8" s="1">
        <v>7.1400000000000005E-2</v>
      </c>
      <c r="AK8" s="1">
        <v>2.3999999999999998E-3</v>
      </c>
      <c r="AL8" s="1">
        <v>6.0330000000000004</v>
      </c>
      <c r="AM8" s="1">
        <v>4.3999999999999997E-2</v>
      </c>
      <c r="AN8" s="1">
        <v>1092</v>
      </c>
      <c r="AO8" s="1">
        <v>20</v>
      </c>
      <c r="AP8" s="1">
        <v>1093</v>
      </c>
      <c r="AQ8" s="1">
        <v>29</v>
      </c>
      <c r="AR8" s="1">
        <v>1394</v>
      </c>
      <c r="AS8" s="1">
        <v>45</v>
      </c>
      <c r="AT8" s="1">
        <v>1082</v>
      </c>
      <c r="AU8" s="1">
        <v>21</v>
      </c>
      <c r="AV8" s="1">
        <v>7.36</v>
      </c>
      <c r="AW8" s="1">
        <v>0.13999999999999999</v>
      </c>
      <c r="AX8" s="1">
        <v>1.2260000000000002</v>
      </c>
      <c r="AY8" s="1">
        <v>0.05</v>
      </c>
      <c r="AZ8" s="1">
        <v>7135.29</v>
      </c>
      <c r="BA8" s="1">
        <v>155.25</v>
      </c>
      <c r="BB8" s="1">
        <v>3993.0300000000007</v>
      </c>
      <c r="BC8" s="1">
        <v>93.15</v>
      </c>
      <c r="BD8" s="1">
        <v>53219.7</v>
      </c>
      <c r="BE8" s="1">
        <v>993.6</v>
      </c>
      <c r="BF8" s="1">
        <v>-2.3598000000000003</v>
      </c>
      <c r="BG8" s="1">
        <v>4.0985999999999994</v>
      </c>
      <c r="BH8" s="1">
        <f t="shared" si="6"/>
        <v>-22552.631578947363</v>
      </c>
      <c r="BI8" s="1">
        <f t="shared" si="7"/>
        <v>-39172.623048866284</v>
      </c>
      <c r="BJ8" s="27">
        <v>1093.5999999999999</v>
      </c>
      <c r="BK8" s="27">
        <v>22.3</v>
      </c>
      <c r="BL8" s="27">
        <v>1093.4000000000001</v>
      </c>
      <c r="BM8" s="27">
        <v>35.299999999999997</v>
      </c>
      <c r="BN8" s="27">
        <v>1094.2</v>
      </c>
      <c r="BO8" s="27">
        <v>52.7</v>
      </c>
      <c r="BP8" s="27">
        <v>1093.7</v>
      </c>
      <c r="BQ8" s="27">
        <v>22.2</v>
      </c>
      <c r="BR8" s="27">
        <v>2.1999999999999999E-2</v>
      </c>
    </row>
    <row r="9" spans="1:70" s="23" customFormat="1" x14ac:dyDescent="0.2">
      <c r="A9" s="23" t="s">
        <v>758</v>
      </c>
      <c r="B9" s="23" t="s">
        <v>38</v>
      </c>
      <c r="C9" s="23" t="s">
        <v>759</v>
      </c>
      <c r="D9" s="23" t="s">
        <v>760</v>
      </c>
      <c r="E9" s="23">
        <v>82952</v>
      </c>
      <c r="F9" s="23">
        <v>54659</v>
      </c>
      <c r="G9" s="23" t="s">
        <v>760</v>
      </c>
      <c r="H9" s="24">
        <v>122.8</v>
      </c>
      <c r="I9" s="24">
        <v>41.2</v>
      </c>
      <c r="J9" s="25">
        <v>2.63</v>
      </c>
      <c r="K9" s="25">
        <f t="shared" ca="1" si="0"/>
        <v>0.15895521381823244</v>
      </c>
      <c r="L9" s="26">
        <v>0.19900000000000001</v>
      </c>
      <c r="M9" s="26">
        <f t="shared" ca="1" si="1"/>
        <v>9.0249875346174301E-3</v>
      </c>
      <c r="N9" s="26">
        <v>0.83708000000000005</v>
      </c>
      <c r="O9" s="26">
        <v>5.0251260000000002</v>
      </c>
      <c r="P9" s="26">
        <f t="shared" ca="1" si="2"/>
        <v>0.22789798342776182</v>
      </c>
      <c r="Q9" s="25">
        <v>9.6000000000000002E-2</v>
      </c>
      <c r="R9" s="25">
        <f t="shared" ca="1" si="3"/>
        <v>3.561797299117399E-3</v>
      </c>
      <c r="S9" s="26">
        <f t="shared" si="4"/>
        <v>0.31271276394605019</v>
      </c>
      <c r="T9" s="25">
        <v>0.10730000000000001</v>
      </c>
      <c r="U9" s="25">
        <f t="shared" ca="1" si="5"/>
        <v>6.5608929270336369E-3</v>
      </c>
      <c r="V9" s="24" t="e">
        <f ca="1">IF(agePb6U8(1/O9)&lt;1400,age7corr(1/O9,Q9,$W$2),agePb76(Q9))</f>
        <v>#NAME?</v>
      </c>
      <c r="W9" s="24" t="e">
        <f ca="1">IF(agePb6U8(1/O9)&lt;1400,ageer7corr(V9,1/O9,P9/O9*(1/O9),Q9,R9,$W$2,0.05),ageerPb76(Q9,R9))</f>
        <v>#NAME?</v>
      </c>
      <c r="X9" s="26" t="e">
        <f ca="1">agePb6U8(L9)/agePb7u5(J9)</f>
        <v>#NAME?</v>
      </c>
      <c r="Y9" s="24"/>
      <c r="Z9" s="24">
        <v>2.63</v>
      </c>
      <c r="AA9" s="24">
        <v>0.15</v>
      </c>
      <c r="AB9" s="24">
        <v>0.19900000000000001</v>
      </c>
      <c r="AC9" s="24">
        <v>8.0999999999999996E-3</v>
      </c>
      <c r="AD9" s="24">
        <v>0.83708000000000005</v>
      </c>
      <c r="AE9" s="24">
        <v>5.0251260000000002</v>
      </c>
      <c r="AF9" s="24">
        <v>0.20454030000000001</v>
      </c>
      <c r="AG9" s="24">
        <v>9.6000000000000002E-2</v>
      </c>
      <c r="AH9" s="24">
        <v>3.0000000000000001E-3</v>
      </c>
      <c r="AI9" s="24">
        <v>-0.24374000000000001</v>
      </c>
      <c r="AJ9" s="24">
        <v>0.10730000000000001</v>
      </c>
      <c r="AK9" s="24">
        <v>6.1999999999999998E-3</v>
      </c>
      <c r="AL9" s="24">
        <v>5.85</v>
      </c>
      <c r="AM9" s="24">
        <v>0.22</v>
      </c>
      <c r="AN9" s="24">
        <v>1314</v>
      </c>
      <c r="AO9" s="24">
        <v>40</v>
      </c>
      <c r="AP9" s="24">
        <v>1169</v>
      </c>
      <c r="AQ9" s="24">
        <v>44</v>
      </c>
      <c r="AR9" s="24">
        <v>2060</v>
      </c>
      <c r="AS9" s="24">
        <v>110</v>
      </c>
      <c r="AT9" s="24">
        <v>1542</v>
      </c>
      <c r="AU9" s="24">
        <v>59</v>
      </c>
      <c r="AV9" s="24">
        <v>26.509999999999998</v>
      </c>
      <c r="AW9" s="24">
        <v>0.74</v>
      </c>
      <c r="AX9" s="24">
        <v>3.2399999999999998</v>
      </c>
      <c r="AY9" s="24">
        <v>0.12000000000000001</v>
      </c>
      <c r="AZ9" s="24">
        <v>28131.3</v>
      </c>
      <c r="BA9" s="24">
        <v>1242</v>
      </c>
      <c r="BB9" s="24">
        <v>19188.900000000001</v>
      </c>
      <c r="BC9" s="24">
        <v>683.09999999999991</v>
      </c>
      <c r="BD9" s="24">
        <v>200583</v>
      </c>
      <c r="BE9" s="24">
        <v>4284.8999999999996</v>
      </c>
      <c r="BF9" s="24">
        <v>252.126</v>
      </c>
      <c r="BG9" s="24">
        <v>40.985999999999997</v>
      </c>
      <c r="BH9" s="24">
        <f t="shared" si="6"/>
        <v>795.56650246305412</v>
      </c>
      <c r="BI9" s="24">
        <f t="shared" si="7"/>
        <v>130.44042709203032</v>
      </c>
      <c r="BJ9" s="27">
        <v>1309.2</v>
      </c>
      <c r="BK9" s="27">
        <v>37.799999999999997</v>
      </c>
      <c r="BL9" s="27">
        <v>1168.9000000000001</v>
      </c>
      <c r="BM9" s="27">
        <v>48.9</v>
      </c>
      <c r="BN9" s="27">
        <v>1546.9</v>
      </c>
      <c r="BO9" s="27">
        <v>78.3</v>
      </c>
      <c r="BP9" s="27">
        <v>1278</v>
      </c>
      <c r="BQ9" s="27">
        <v>40.5</v>
      </c>
      <c r="BR9" s="27">
        <v>10</v>
      </c>
    </row>
    <row r="10" spans="1:70" x14ac:dyDescent="0.2">
      <c r="A10" t="s">
        <v>761</v>
      </c>
      <c r="B10" t="s">
        <v>38</v>
      </c>
      <c r="C10" t="s">
        <v>762</v>
      </c>
      <c r="D10" t="s">
        <v>763</v>
      </c>
      <c r="E10">
        <v>83016</v>
      </c>
      <c r="F10">
        <v>55425</v>
      </c>
      <c r="G10" t="s">
        <v>763</v>
      </c>
      <c r="H10" s="1">
        <v>210.7</v>
      </c>
      <c r="I10" s="1">
        <v>60.4</v>
      </c>
      <c r="J10" s="10">
        <v>1.9179999999999999</v>
      </c>
      <c r="K10" s="10">
        <f t="shared" ca="1" si="0"/>
        <v>8.3351602264143662E-2</v>
      </c>
      <c r="L10" s="7">
        <v>0.17899999999999999</v>
      </c>
      <c r="M10" s="7">
        <f t="shared" ca="1" si="1"/>
        <v>6.7310028970429068E-3</v>
      </c>
      <c r="N10" s="7">
        <v>0.97926000000000002</v>
      </c>
      <c r="O10" s="8">
        <v>5.5865919999999996</v>
      </c>
      <c r="P10" s="8">
        <f t="shared" ca="1" si="2"/>
        <v>0.21007470637417444</v>
      </c>
      <c r="Q10" s="9">
        <v>7.8579999999999997E-2</v>
      </c>
      <c r="R10" s="9">
        <f t="shared" ca="1" si="3"/>
        <v>1.7084573626520503E-3</v>
      </c>
      <c r="S10" s="8">
        <f t="shared" si="4"/>
        <v>0.41472282929672327</v>
      </c>
      <c r="T10" s="11">
        <v>7.6499999999999999E-2</v>
      </c>
      <c r="U10" s="11">
        <f t="shared" ca="1" si="5"/>
        <v>3.278856507991772E-3</v>
      </c>
      <c r="V10" s="6" t="e">
        <f ca="1">IF(agePb6U8(1/O10)&lt;1400,age7corr(1/O10,Q10,$W$2),agePb76(Q10))</f>
        <v>#NAME?</v>
      </c>
      <c r="W10" s="6" t="e">
        <f ca="1">IF(agePb6U8(1/O10)&lt;1400,ageer7corr(V10,1/O10,P10/O10*(1/O10),Q10,R10,$W$2,0.05),ageerPb76(Q10,R10))</f>
        <v>#NAME?</v>
      </c>
      <c r="X10" s="4" t="e">
        <f ca="1">agePb6U8(L10)/agePb7u5(J10)</f>
        <v>#NAME?</v>
      </c>
      <c r="Y10" s="3"/>
      <c r="Z10" s="1">
        <v>1.9179999999999999</v>
      </c>
      <c r="AA10" s="1">
        <v>7.3999999999999996E-2</v>
      </c>
      <c r="AB10" s="1">
        <v>0.17899999999999999</v>
      </c>
      <c r="AC10" s="1">
        <v>5.7000000000000002E-3</v>
      </c>
      <c r="AD10" s="1">
        <v>0.97926000000000002</v>
      </c>
      <c r="AE10" s="1">
        <v>5.5865919999999996</v>
      </c>
      <c r="AF10" s="1">
        <v>0.1778971</v>
      </c>
      <c r="AG10" s="1">
        <v>7.8579999999999997E-2</v>
      </c>
      <c r="AH10" s="1">
        <v>6.7000000000000002E-4</v>
      </c>
      <c r="AI10" s="1">
        <v>-0.18364</v>
      </c>
      <c r="AJ10" s="1">
        <v>7.6499999999999999E-2</v>
      </c>
      <c r="AK10" s="1">
        <v>2.8999999999999998E-3</v>
      </c>
      <c r="AL10" s="1">
        <v>8.5449999999999999</v>
      </c>
      <c r="AM10" s="1">
        <v>9.4E-2</v>
      </c>
      <c r="AN10" s="1">
        <v>1086</v>
      </c>
      <c r="AO10" s="1">
        <v>26</v>
      </c>
      <c r="AP10" s="1">
        <v>1061</v>
      </c>
      <c r="AQ10" s="1">
        <v>31</v>
      </c>
      <c r="AR10" s="1">
        <v>1489</v>
      </c>
      <c r="AS10" s="1">
        <v>54</v>
      </c>
      <c r="AT10" s="1">
        <v>1161</v>
      </c>
      <c r="AU10" s="1">
        <v>17</v>
      </c>
      <c r="AV10" s="1">
        <v>45.5</v>
      </c>
      <c r="AW10" s="1">
        <v>1.2</v>
      </c>
      <c r="AX10" s="1">
        <v>4.75</v>
      </c>
      <c r="AY10" s="1">
        <v>0.13999999999999999</v>
      </c>
      <c r="AZ10" s="1">
        <v>29559.600000000002</v>
      </c>
      <c r="BA10" s="1">
        <v>807.3</v>
      </c>
      <c r="BB10" s="1">
        <v>24467.399999999998</v>
      </c>
      <c r="BC10" s="1">
        <v>621</v>
      </c>
      <c r="BD10" s="1">
        <v>313605</v>
      </c>
      <c r="BE10" s="1">
        <v>6831</v>
      </c>
      <c r="BF10" s="1">
        <v>27.324000000000002</v>
      </c>
      <c r="BG10" s="1">
        <v>8.6940000000000008</v>
      </c>
      <c r="BH10" s="1">
        <f t="shared" si="6"/>
        <v>11477.272727272726</v>
      </c>
      <c r="BI10" s="1">
        <f t="shared" si="7"/>
        <v>3660.4067858533026</v>
      </c>
      <c r="BJ10" s="27">
        <v>1097.7</v>
      </c>
      <c r="BK10" s="27">
        <v>23.9</v>
      </c>
      <c r="BL10" s="27">
        <v>1060.9000000000001</v>
      </c>
      <c r="BM10" s="27">
        <v>36.700000000000003</v>
      </c>
      <c r="BN10" s="27">
        <v>1171.2</v>
      </c>
      <c r="BO10" s="27">
        <v>50.1</v>
      </c>
      <c r="BP10" s="27">
        <v>1103.8</v>
      </c>
      <c r="BQ10" s="27">
        <v>23.8</v>
      </c>
      <c r="BR10" s="27">
        <v>3.2</v>
      </c>
    </row>
    <row r="11" spans="1:70" x14ac:dyDescent="0.2">
      <c r="A11" t="s">
        <v>425</v>
      </c>
      <c r="B11" t="s">
        <v>38</v>
      </c>
      <c r="C11" t="s">
        <v>426</v>
      </c>
      <c r="D11" t="s">
        <v>427</v>
      </c>
      <c r="E11">
        <v>83801</v>
      </c>
      <c r="F11">
        <v>49675</v>
      </c>
      <c r="G11" t="s">
        <v>427</v>
      </c>
      <c r="H11" s="1">
        <v>523.5</v>
      </c>
      <c r="I11" s="1">
        <v>17.98</v>
      </c>
      <c r="J11" s="10">
        <v>2.0950000000000002</v>
      </c>
      <c r="K11" s="10">
        <f t="shared" ca="1" si="0"/>
        <v>7.2364424961440826E-2</v>
      </c>
      <c r="L11" s="7">
        <v>0.18709999999999999</v>
      </c>
      <c r="M11" s="7">
        <f t="shared" ca="1" si="1"/>
        <v>6.4064470652616798E-3</v>
      </c>
      <c r="N11" s="7">
        <v>0.99372000000000005</v>
      </c>
      <c r="O11" s="8">
        <v>5.344735</v>
      </c>
      <c r="P11" s="8">
        <f t="shared" ca="1" si="2"/>
        <v>0.18300780377276268</v>
      </c>
      <c r="Q11" s="9">
        <v>8.1170000000000006E-2</v>
      </c>
      <c r="R11" s="9">
        <f t="shared" ca="1" si="3"/>
        <v>1.6508869010322907E-3</v>
      </c>
      <c r="S11" s="8">
        <f t="shared" si="4"/>
        <v>0.50698969550290218</v>
      </c>
      <c r="T11" s="11">
        <v>5.4399999999999997E-2</v>
      </c>
      <c r="U11" s="11">
        <f t="shared" ca="1" si="5"/>
        <v>2.5443553210980577E-3</v>
      </c>
      <c r="V11" s="6" t="e">
        <f ca="1">IF(agePb6U8(1/O11)&lt;1400,age7corr(1/O11,Q11,$W$2),agePb76(Q11))</f>
        <v>#NAME?</v>
      </c>
      <c r="W11" s="6" t="e">
        <f ca="1">IF(agePb6U8(1/O11)&lt;1400,ageer7corr(V11,1/O11,P11/O11*(1/O11),Q11,R11,$W$2,0.05),ageerPb76(Q11,R11))</f>
        <v>#NAME?</v>
      </c>
      <c r="X11" s="4" t="e">
        <f ca="1">agePb6U8(L11)/agePb7u5(J11)</f>
        <v>#NAME?</v>
      </c>
      <c r="Y11" s="3"/>
      <c r="Z11" s="1">
        <v>2.0950000000000002</v>
      </c>
      <c r="AA11" s="1">
        <v>5.8999999999999997E-2</v>
      </c>
      <c r="AB11" s="1">
        <v>0.18709999999999999</v>
      </c>
      <c r="AC11" s="1">
        <v>5.1999999999999998E-3</v>
      </c>
      <c r="AD11" s="1">
        <v>0.99372000000000005</v>
      </c>
      <c r="AE11" s="1">
        <v>5.344735</v>
      </c>
      <c r="AF11" s="1">
        <v>0.14854419999999999</v>
      </c>
      <c r="AG11" s="1">
        <v>8.1170000000000006E-2</v>
      </c>
      <c r="AH11" s="1">
        <v>2.9999999999999997E-4</v>
      </c>
      <c r="AI11" s="1">
        <v>-7.5907000000000002E-2</v>
      </c>
      <c r="AJ11" s="1">
        <v>5.4399999999999997E-2</v>
      </c>
      <c r="AK11" s="1">
        <v>2.3E-3</v>
      </c>
      <c r="AL11" s="1">
        <v>107.5</v>
      </c>
      <c r="AM11" s="1">
        <v>1.2</v>
      </c>
      <c r="AN11" s="1">
        <v>1146</v>
      </c>
      <c r="AO11" s="1">
        <v>20</v>
      </c>
      <c r="AP11" s="1">
        <v>1105</v>
      </c>
      <c r="AQ11" s="1">
        <v>28</v>
      </c>
      <c r="AR11" s="1">
        <v>1071</v>
      </c>
      <c r="AS11" s="1">
        <v>45</v>
      </c>
      <c r="AT11" s="1">
        <v>1225.4000000000001</v>
      </c>
      <c r="AU11" s="1">
        <v>7.3</v>
      </c>
      <c r="AV11" s="1">
        <v>114.3</v>
      </c>
      <c r="AW11" s="1">
        <v>2.1</v>
      </c>
      <c r="AX11" s="1">
        <v>1.421</v>
      </c>
      <c r="AY11" s="1">
        <v>7.5999999999999998E-2</v>
      </c>
      <c r="AZ11" s="1">
        <v>6185.16</v>
      </c>
      <c r="BA11" s="1">
        <v>111.78</v>
      </c>
      <c r="BB11" s="1">
        <v>67316.399999999994</v>
      </c>
      <c r="BC11" s="1">
        <v>1242</v>
      </c>
      <c r="BD11" s="1">
        <v>831519</v>
      </c>
      <c r="BE11" s="1">
        <v>15525</v>
      </c>
      <c r="BF11" s="1">
        <v>22.355999999999998</v>
      </c>
      <c r="BG11" s="1">
        <v>6.2099999999999991</v>
      </c>
      <c r="BH11" s="1">
        <f t="shared" si="6"/>
        <v>37194.444444444445</v>
      </c>
      <c r="BI11" s="1">
        <f t="shared" si="7"/>
        <v>10355.102135738642</v>
      </c>
      <c r="BJ11" s="27">
        <v>1145.7</v>
      </c>
      <c r="BK11" s="27">
        <v>20.6</v>
      </c>
      <c r="BL11" s="27">
        <v>1106.5</v>
      </c>
      <c r="BM11" s="27">
        <v>34.299999999999997</v>
      </c>
      <c r="BN11" s="27">
        <v>1220.5999999999999</v>
      </c>
      <c r="BO11" s="27">
        <v>48.5</v>
      </c>
      <c r="BP11" s="27">
        <v>1150.4000000000001</v>
      </c>
      <c r="BQ11" s="27">
        <v>20.5</v>
      </c>
      <c r="BR11" s="27">
        <v>3.2</v>
      </c>
    </row>
    <row r="12" spans="1:70" x14ac:dyDescent="0.2">
      <c r="A12" t="s">
        <v>428</v>
      </c>
      <c r="B12" t="s">
        <v>38</v>
      </c>
      <c r="C12" t="s">
        <v>429</v>
      </c>
      <c r="D12" t="s">
        <v>430</v>
      </c>
      <c r="E12">
        <v>83883</v>
      </c>
      <c r="F12">
        <v>50048</v>
      </c>
      <c r="G12" t="s">
        <v>430</v>
      </c>
      <c r="H12" s="1">
        <v>450</v>
      </c>
      <c r="I12" s="1">
        <v>163.1</v>
      </c>
      <c r="J12" s="10">
        <v>1.8919999999999999</v>
      </c>
      <c r="K12" s="10">
        <f t="shared" ca="1" si="0"/>
        <v>5.5793060500388403E-2</v>
      </c>
      <c r="L12" s="7">
        <v>0.17749999999999999</v>
      </c>
      <c r="M12" s="7">
        <f t="shared" ca="1" si="1"/>
        <v>5.423329235810786E-3</v>
      </c>
      <c r="N12" s="7">
        <v>0.99138000000000004</v>
      </c>
      <c r="O12" s="8">
        <v>5.6338030000000003</v>
      </c>
      <c r="P12" s="8">
        <f t="shared" ca="1" si="2"/>
        <v>0.17213502304741357</v>
      </c>
      <c r="Q12" s="9">
        <v>7.7170000000000002E-2</v>
      </c>
      <c r="R12" s="9">
        <f t="shared" ca="1" si="3"/>
        <v>1.5742247488843518E-3</v>
      </c>
      <c r="S12" s="8">
        <f t="shared" si="4"/>
        <v>0.53425787183306639</v>
      </c>
      <c r="T12" s="11">
        <v>6.0999999999999999E-2</v>
      </c>
      <c r="U12" s="11">
        <f t="shared" ca="1" si="5"/>
        <v>2.0120636172845032E-3</v>
      </c>
      <c r="V12" s="6" t="e">
        <f ca="1">IF(agePb6U8(1/O12)&lt;1400,age7corr(1/O12,Q12,$W$2),agePb76(Q12))</f>
        <v>#NAME?</v>
      </c>
      <c r="W12" s="6" t="e">
        <f ca="1">IF(agePb6U8(1/O12)&lt;1400,ageer7corr(V12,1/O12,P12/O12*(1/O12),Q12,R12,$W$2,0.05),ageerPb76(Q12,R12))</f>
        <v>#NAME?</v>
      </c>
      <c r="X12" s="4" t="e">
        <f ca="1">agePb6U8(L12)/agePb7u5(J12)</f>
        <v>#NAME?</v>
      </c>
      <c r="Y12" s="3"/>
      <c r="Z12" s="1">
        <v>1.8919999999999999</v>
      </c>
      <c r="AA12" s="1">
        <v>4.1000000000000002E-2</v>
      </c>
      <c r="AB12" s="1">
        <v>0.17749999999999999</v>
      </c>
      <c r="AC12" s="1">
        <v>4.1000000000000003E-3</v>
      </c>
      <c r="AD12" s="1">
        <v>0.99138000000000004</v>
      </c>
      <c r="AE12" s="1">
        <v>5.6338030000000003</v>
      </c>
      <c r="AF12" s="1">
        <v>0.1301329</v>
      </c>
      <c r="AG12" s="1">
        <v>7.7170000000000002E-2</v>
      </c>
      <c r="AH12" s="1">
        <v>3.1E-4</v>
      </c>
      <c r="AI12" s="1">
        <v>0.13428000000000001</v>
      </c>
      <c r="AJ12" s="1">
        <v>6.0999999999999999E-2</v>
      </c>
      <c r="AK12" s="1">
        <v>1.6000000000000001E-3</v>
      </c>
      <c r="AL12" s="1">
        <v>8.66</v>
      </c>
      <c r="AM12" s="1">
        <v>5.5E-2</v>
      </c>
      <c r="AN12" s="1">
        <v>1078</v>
      </c>
      <c r="AO12" s="1">
        <v>15</v>
      </c>
      <c r="AP12" s="1">
        <v>1053</v>
      </c>
      <c r="AQ12" s="1">
        <v>22</v>
      </c>
      <c r="AR12" s="1">
        <v>1196</v>
      </c>
      <c r="AS12" s="1">
        <v>30</v>
      </c>
      <c r="AT12" s="1">
        <v>1125.5</v>
      </c>
      <c r="AU12" s="1">
        <v>7.9</v>
      </c>
      <c r="AV12" s="1">
        <v>98.199999999999989</v>
      </c>
      <c r="AW12" s="1">
        <v>1.9</v>
      </c>
      <c r="AX12" s="1">
        <v>12.89</v>
      </c>
      <c r="AY12" s="1">
        <v>0.34</v>
      </c>
      <c r="AZ12" s="1">
        <v>63466.19999999999</v>
      </c>
      <c r="BA12" s="1">
        <v>1117.8000000000002</v>
      </c>
      <c r="BB12" s="1">
        <v>52847.1</v>
      </c>
      <c r="BC12" s="1">
        <v>931.50000000000011</v>
      </c>
      <c r="BD12" s="1">
        <v>689931</v>
      </c>
      <c r="BE12" s="1">
        <v>13662</v>
      </c>
      <c r="BF12" s="1">
        <v>9.9359999999999999</v>
      </c>
      <c r="BG12" s="1">
        <v>7.4519999999999991</v>
      </c>
      <c r="BH12" s="1">
        <f t="shared" si="6"/>
        <v>69437.5</v>
      </c>
      <c r="BI12" s="1">
        <f t="shared" si="7"/>
        <v>52096.273652878706</v>
      </c>
      <c r="BJ12" s="27">
        <v>1075.8</v>
      </c>
      <c r="BK12" s="27">
        <v>18.2</v>
      </c>
      <c r="BL12" s="27">
        <v>1054</v>
      </c>
      <c r="BM12" s="27">
        <v>29.4</v>
      </c>
      <c r="BN12" s="27">
        <v>1120.3</v>
      </c>
      <c r="BO12" s="27">
        <v>51.8</v>
      </c>
      <c r="BP12" s="27">
        <v>1075.3</v>
      </c>
      <c r="BQ12" s="27">
        <v>18.3</v>
      </c>
      <c r="BR12" s="27">
        <v>1.8</v>
      </c>
    </row>
    <row r="13" spans="1:70" x14ac:dyDescent="0.2">
      <c r="A13" t="s">
        <v>431</v>
      </c>
      <c r="B13" t="s">
        <v>38</v>
      </c>
      <c r="C13" t="s">
        <v>432</v>
      </c>
      <c r="D13" t="s">
        <v>433</v>
      </c>
      <c r="E13">
        <v>83857</v>
      </c>
      <c r="F13">
        <v>50228</v>
      </c>
      <c r="G13" t="s">
        <v>433</v>
      </c>
      <c r="H13" s="1">
        <v>62.9</v>
      </c>
      <c r="I13" s="1">
        <v>39.700000000000003</v>
      </c>
      <c r="J13" s="10">
        <v>1.93</v>
      </c>
      <c r="K13" s="10">
        <f t="shared" ca="1" si="0"/>
        <v>7.1343955595411152E-2</v>
      </c>
      <c r="L13" s="7">
        <v>0.18479999999999999</v>
      </c>
      <c r="M13" s="7">
        <f t="shared" ca="1" si="1"/>
        <v>6.3796877666544155E-3</v>
      </c>
      <c r="N13" s="7">
        <v>0.96664000000000005</v>
      </c>
      <c r="O13" s="8">
        <v>5.4112549999999997</v>
      </c>
      <c r="P13" s="8">
        <f t="shared" ca="1" si="2"/>
        <v>0.1868080340591646</v>
      </c>
      <c r="Q13" s="9">
        <v>7.5649999999999995E-2</v>
      </c>
      <c r="R13" s="9">
        <f t="shared" ca="1" si="3"/>
        <v>1.6276267999759649E-3</v>
      </c>
      <c r="S13" s="8">
        <f t="shared" si="4"/>
        <v>0.51152196913399706</v>
      </c>
      <c r="T13" s="11">
        <v>6.2799999999999995E-2</v>
      </c>
      <c r="U13" s="11">
        <f t="shared" ca="1" si="5"/>
        <v>1.8808338576280469E-3</v>
      </c>
      <c r="V13" s="6" t="e">
        <f ca="1">IF(agePb6U8(1/O13)&lt;1400,age7corr(1/O13,Q13,$W$2),agePb76(Q13))</f>
        <v>#NAME?</v>
      </c>
      <c r="W13" s="6" t="e">
        <f ca="1">IF(agePb6U8(1/O13)&lt;1400,ageer7corr(V13,1/O13,P13/O13*(1/O13),Q13,R13,$W$2,0.05),ageerPb76(Q13,R13))</f>
        <v>#NAME?</v>
      </c>
      <c r="X13" s="4" t="e">
        <f ca="1">agePb6U8(L13)/agePb7u5(J13)</f>
        <v>#NAME?</v>
      </c>
      <c r="Y13" s="3"/>
      <c r="Z13" s="1">
        <v>1.93</v>
      </c>
      <c r="AA13" s="1">
        <v>0.06</v>
      </c>
      <c r="AB13" s="1">
        <v>0.18479999999999999</v>
      </c>
      <c r="AC13" s="1">
        <v>5.1999999999999998E-3</v>
      </c>
      <c r="AD13" s="1">
        <v>0.96664000000000005</v>
      </c>
      <c r="AE13" s="1">
        <v>5.4112549999999997</v>
      </c>
      <c r="AF13" s="1">
        <v>0.15226480000000001</v>
      </c>
      <c r="AG13" s="1">
        <v>7.5649999999999995E-2</v>
      </c>
      <c r="AH13" s="1">
        <v>5.9999999999999995E-4</v>
      </c>
      <c r="AI13" s="1">
        <v>-3.5438999999999998E-2</v>
      </c>
      <c r="AJ13" s="1">
        <v>6.2799999999999995E-2</v>
      </c>
      <c r="AK13" s="1">
        <v>1.4E-3</v>
      </c>
      <c r="AL13" s="1">
        <v>4.9089999999999998</v>
      </c>
      <c r="AM13" s="1">
        <v>2.8000000000000001E-2</v>
      </c>
      <c r="AN13" s="1">
        <v>1091</v>
      </c>
      <c r="AO13" s="1">
        <v>21</v>
      </c>
      <c r="AP13" s="1">
        <v>1093</v>
      </c>
      <c r="AQ13" s="1">
        <v>28</v>
      </c>
      <c r="AR13" s="1">
        <v>1231</v>
      </c>
      <c r="AS13" s="1">
        <v>27</v>
      </c>
      <c r="AT13" s="1">
        <v>1086</v>
      </c>
      <c r="AU13" s="1">
        <v>16</v>
      </c>
      <c r="AV13" s="1">
        <v>13.729999999999999</v>
      </c>
      <c r="AW13" s="1">
        <v>0.31</v>
      </c>
      <c r="AX13" s="1">
        <v>3.14</v>
      </c>
      <c r="AY13" s="1">
        <v>0.12999999999999998</v>
      </c>
      <c r="AZ13" s="1">
        <v>15847.920000000002</v>
      </c>
      <c r="BA13" s="1">
        <v>391.23</v>
      </c>
      <c r="BB13" s="1">
        <v>7327.7999999999993</v>
      </c>
      <c r="BC13" s="1">
        <v>155.25</v>
      </c>
      <c r="BD13" s="1">
        <v>97062.3</v>
      </c>
      <c r="BE13" s="1">
        <v>2173.5</v>
      </c>
      <c r="BF13" s="1">
        <v>-11.799000000000001</v>
      </c>
      <c r="BG13" s="1">
        <v>6.2099999999999991</v>
      </c>
      <c r="BH13" s="1">
        <f t="shared" si="6"/>
        <v>-8226.3157894736833</v>
      </c>
      <c r="BI13" s="1">
        <f t="shared" si="7"/>
        <v>-4333.5568633777648</v>
      </c>
      <c r="BJ13" s="27">
        <v>1093.5999999999999</v>
      </c>
      <c r="BK13" s="27">
        <v>21</v>
      </c>
      <c r="BL13" s="27">
        <v>1093.4000000000001</v>
      </c>
      <c r="BM13" s="27">
        <v>35.299999999999997</v>
      </c>
      <c r="BN13" s="27">
        <v>1094.2</v>
      </c>
      <c r="BO13" s="27">
        <v>52.7</v>
      </c>
      <c r="BP13" s="27">
        <v>1093.7</v>
      </c>
      <c r="BQ13" s="27">
        <v>20.8</v>
      </c>
      <c r="BR13" s="27">
        <v>2.1999999999999999E-2</v>
      </c>
    </row>
    <row r="14" spans="1:70" x14ac:dyDescent="0.2">
      <c r="A14" t="s">
        <v>434</v>
      </c>
      <c r="B14" t="s">
        <v>38</v>
      </c>
      <c r="C14" t="s">
        <v>435</v>
      </c>
      <c r="D14" t="s">
        <v>436</v>
      </c>
      <c r="E14">
        <v>83946</v>
      </c>
      <c r="F14">
        <v>50378</v>
      </c>
      <c r="G14" t="s">
        <v>436</v>
      </c>
      <c r="H14" s="1">
        <v>127.1</v>
      </c>
      <c r="I14" s="1">
        <v>37.79</v>
      </c>
      <c r="J14" s="10">
        <v>2.109</v>
      </c>
      <c r="K14" s="10">
        <f t="shared" ca="1" si="0"/>
        <v>6.6182719799053283E-2</v>
      </c>
      <c r="L14" s="7">
        <v>0.1928</v>
      </c>
      <c r="M14" s="7">
        <f t="shared" ca="1" si="1"/>
        <v>6.3936480979171822E-3</v>
      </c>
      <c r="N14" s="7">
        <v>0.98480000000000001</v>
      </c>
      <c r="O14" s="8">
        <v>5.1867219999999996</v>
      </c>
      <c r="P14" s="8">
        <f t="shared" ca="1" si="2"/>
        <v>0.1720024380131677</v>
      </c>
      <c r="Q14" s="9">
        <v>7.8820000000000001E-2</v>
      </c>
      <c r="R14" s="9">
        <f t="shared" ca="1" si="3"/>
        <v>1.6215538720622267E-3</v>
      </c>
      <c r="S14" s="8">
        <f t="shared" si="4"/>
        <v>0.53171986903894752</v>
      </c>
      <c r="T14" s="11">
        <v>6.6600000000000006E-2</v>
      </c>
      <c r="U14" s="11">
        <f t="shared" ca="1" si="5"/>
        <v>2.2392463017720942E-3</v>
      </c>
      <c r="V14" s="6" t="e">
        <f ca="1">IF(agePb6U8(1/O14)&lt;1400,age7corr(1/O14,Q14,$W$2),agePb76(Q14))</f>
        <v>#NAME?</v>
      </c>
      <c r="W14" s="6" t="e">
        <f ca="1">IF(agePb6U8(1/O14)&lt;1400,ageer7corr(V14,1/O14,P14/O14*(1/O14),Q14,R14,$W$2,0.05),ageerPb76(Q14,R14))</f>
        <v>#NAME?</v>
      </c>
      <c r="X14" s="4" t="e">
        <f ca="1">agePb6U8(L14)/agePb7u5(J14)</f>
        <v>#NAME?</v>
      </c>
      <c r="Y14" s="3"/>
      <c r="Z14" s="1">
        <v>2.109</v>
      </c>
      <c r="AA14" s="1">
        <v>5.0999999999999997E-2</v>
      </c>
      <c r="AB14" s="1">
        <v>0.1928</v>
      </c>
      <c r="AC14" s="1">
        <v>5.1000000000000004E-3</v>
      </c>
      <c r="AD14" s="1">
        <v>0.98480000000000001</v>
      </c>
      <c r="AE14" s="1">
        <v>5.1867219999999996</v>
      </c>
      <c r="AF14" s="1">
        <v>0.13720060000000001</v>
      </c>
      <c r="AG14" s="1">
        <v>7.8820000000000001E-2</v>
      </c>
      <c r="AH14" s="1">
        <v>3.8000000000000002E-4</v>
      </c>
      <c r="AI14" s="1">
        <v>-0.20524000000000001</v>
      </c>
      <c r="AJ14" s="1">
        <v>6.6600000000000006E-2</v>
      </c>
      <c r="AK14" s="1">
        <v>1.8E-3</v>
      </c>
      <c r="AL14" s="1">
        <v>10.439</v>
      </c>
      <c r="AM14" s="1">
        <v>9.8000000000000004E-2</v>
      </c>
      <c r="AN14" s="1">
        <v>1151</v>
      </c>
      <c r="AO14" s="1">
        <v>17</v>
      </c>
      <c r="AP14" s="1">
        <v>1136</v>
      </c>
      <c r="AQ14" s="1">
        <v>28</v>
      </c>
      <c r="AR14" s="1">
        <v>1304</v>
      </c>
      <c r="AS14" s="1">
        <v>33</v>
      </c>
      <c r="AT14" s="1">
        <v>1167.4000000000001</v>
      </c>
      <c r="AU14" s="1">
        <v>9.6999999999999993</v>
      </c>
      <c r="AV14" s="1">
        <v>27.740000000000002</v>
      </c>
      <c r="AW14" s="1">
        <v>0.39</v>
      </c>
      <c r="AX14" s="1">
        <v>2.9870000000000001</v>
      </c>
      <c r="AY14" s="1">
        <v>6.8999999999999992E-2</v>
      </c>
      <c r="AZ14" s="1">
        <v>16102.530000000002</v>
      </c>
      <c r="BA14" s="1">
        <v>279.45000000000005</v>
      </c>
      <c r="BB14" s="1">
        <v>16419.239999999998</v>
      </c>
      <c r="BC14" s="1">
        <v>291.87</v>
      </c>
      <c r="BD14" s="1">
        <v>208593.9</v>
      </c>
      <c r="BE14" s="1">
        <v>3539.7000000000003</v>
      </c>
      <c r="BF14" s="1">
        <v>4.4712000000000005</v>
      </c>
      <c r="BG14" s="1">
        <v>4.8437999999999999</v>
      </c>
      <c r="BH14" s="1">
        <f t="shared" si="6"/>
        <v>46652.777777777774</v>
      </c>
      <c r="BI14" s="1">
        <f t="shared" si="7"/>
        <v>50546.709213324473</v>
      </c>
      <c r="BJ14" s="27">
        <v>1148.0999999999999</v>
      </c>
      <c r="BK14" s="27">
        <v>19.899999999999999</v>
      </c>
      <c r="BL14" s="27">
        <v>1135.9000000000001</v>
      </c>
      <c r="BM14" s="27">
        <v>34.1</v>
      </c>
      <c r="BN14" s="27">
        <v>1171.2</v>
      </c>
      <c r="BO14" s="27">
        <v>50.1</v>
      </c>
      <c r="BP14" s="27">
        <v>1149.2</v>
      </c>
      <c r="BQ14" s="27">
        <v>19.8</v>
      </c>
      <c r="BR14" s="27">
        <v>0.98</v>
      </c>
    </row>
    <row r="15" spans="1:70" x14ac:dyDescent="0.2">
      <c r="A15" t="s">
        <v>437</v>
      </c>
      <c r="B15" t="s">
        <v>38</v>
      </c>
      <c r="C15" t="s">
        <v>438</v>
      </c>
      <c r="D15" t="s">
        <v>439</v>
      </c>
      <c r="E15">
        <v>83850</v>
      </c>
      <c r="F15">
        <v>50485</v>
      </c>
      <c r="G15" t="s">
        <v>439</v>
      </c>
      <c r="H15" s="1">
        <v>152.6</v>
      </c>
      <c r="I15" s="1">
        <v>0.44</v>
      </c>
      <c r="J15" s="10">
        <v>1.702</v>
      </c>
      <c r="K15" s="10">
        <f t="shared" ca="1" si="0"/>
        <v>5.3289038272425218E-2</v>
      </c>
      <c r="L15" s="7">
        <v>0.16739999999999999</v>
      </c>
      <c r="M15" s="7">
        <f t="shared" ca="1" si="1"/>
        <v>5.2162346572983079E-3</v>
      </c>
      <c r="N15" s="7">
        <v>0.97945000000000004</v>
      </c>
      <c r="O15" s="8">
        <v>5.9737159999999996</v>
      </c>
      <c r="P15" s="8">
        <f t="shared" ca="1" si="2"/>
        <v>0.1861427805977777</v>
      </c>
      <c r="Q15" s="9">
        <v>7.3789999999999994E-2</v>
      </c>
      <c r="R15" s="9">
        <f t="shared" ca="1" si="3"/>
        <v>1.5550194982700376E-3</v>
      </c>
      <c r="S15" s="8">
        <f t="shared" si="4"/>
        <v>0.50970303089165703</v>
      </c>
      <c r="T15" s="11">
        <v>-5.0000000000000001E-3</v>
      </c>
      <c r="U15" s="11">
        <f t="shared" ca="1" si="5"/>
        <v>-6.2000080645108854E-2</v>
      </c>
      <c r="V15" s="6" t="e">
        <f ca="1">IF(agePb6U8(1/O15)&lt;1400,age7corr(1/O15,Q15,$W$2),agePb76(Q15))</f>
        <v>#NAME?</v>
      </c>
      <c r="W15" s="6" t="e">
        <f ca="1">IF(agePb6U8(1/O15)&lt;1400,ageer7corr(V15,1/O15,P15/O15*(1/O15),Q15,R15,$W$2,0.05),ageerPb76(Q15,R15))</f>
        <v>#NAME?</v>
      </c>
      <c r="X15" s="4" t="e">
        <f ca="1">agePb6U8(L15)/agePb7u5(J15)</f>
        <v>#NAME?</v>
      </c>
      <c r="Y15" s="3"/>
      <c r="Z15" s="1">
        <v>1.702</v>
      </c>
      <c r="AA15" s="1">
        <v>4.1000000000000002E-2</v>
      </c>
      <c r="AB15" s="1">
        <v>0.16739999999999999</v>
      </c>
      <c r="AC15" s="1">
        <v>4.0000000000000001E-3</v>
      </c>
      <c r="AD15" s="1">
        <v>0.97945000000000004</v>
      </c>
      <c r="AE15" s="1">
        <v>5.9737159999999996</v>
      </c>
      <c r="AF15" s="1">
        <v>0.14274110000000001</v>
      </c>
      <c r="AG15" s="1">
        <v>7.3789999999999994E-2</v>
      </c>
      <c r="AH15" s="1">
        <v>4.8999999999999998E-4</v>
      </c>
      <c r="AI15" s="1">
        <v>-5.7949000000000001E-2</v>
      </c>
      <c r="AJ15" s="1">
        <v>-5.0000000000000001E-3</v>
      </c>
      <c r="AK15" s="1">
        <v>6.2E-2</v>
      </c>
      <c r="AL15" s="1">
        <v>975</v>
      </c>
      <c r="AM15" s="1">
        <v>53</v>
      </c>
      <c r="AN15" s="1">
        <v>1009</v>
      </c>
      <c r="AO15" s="1">
        <v>15</v>
      </c>
      <c r="AP15" s="1">
        <v>998</v>
      </c>
      <c r="AQ15" s="1">
        <v>22</v>
      </c>
      <c r="AR15" s="1">
        <v>250</v>
      </c>
      <c r="AS15" s="1">
        <v>920</v>
      </c>
      <c r="AT15" s="1">
        <v>1038</v>
      </c>
      <c r="AU15" s="1">
        <v>13</v>
      </c>
      <c r="AV15" s="1">
        <v>33.31</v>
      </c>
      <c r="AW15" s="1">
        <v>0.45</v>
      </c>
      <c r="AX15" s="1">
        <v>3.4999999999999996E-2</v>
      </c>
      <c r="AY15" s="1">
        <v>2.0999999999999998E-2</v>
      </c>
      <c r="AZ15" s="1">
        <v>179.46899999999999</v>
      </c>
      <c r="BA15" s="1">
        <v>9.3149999999999995</v>
      </c>
      <c r="BB15" s="1">
        <v>15990.75</v>
      </c>
      <c r="BC15" s="1">
        <v>267.02999999999997</v>
      </c>
      <c r="BD15" s="1">
        <v>217722.59999999998</v>
      </c>
      <c r="BE15" s="1">
        <v>3353.4</v>
      </c>
      <c r="BF15" s="1">
        <v>2.484</v>
      </c>
      <c r="BG15" s="1">
        <v>4.0985999999999994</v>
      </c>
      <c r="BH15" s="1">
        <f t="shared" si="6"/>
        <v>87649.999999999985</v>
      </c>
      <c r="BI15" s="1">
        <f t="shared" si="7"/>
        <v>144628.80074953946</v>
      </c>
      <c r="BJ15" s="27">
        <v>1011.6</v>
      </c>
      <c r="BK15" s="27">
        <v>18.8</v>
      </c>
      <c r="BL15" s="27">
        <v>998.3</v>
      </c>
      <c r="BM15" s="27">
        <v>29.4</v>
      </c>
      <c r="BN15" s="27">
        <v>1040.5999999999999</v>
      </c>
      <c r="BO15" s="27">
        <v>54.6</v>
      </c>
      <c r="BP15" s="27">
        <v>1011.3</v>
      </c>
      <c r="BQ15" s="27">
        <v>18.899999999999999</v>
      </c>
      <c r="BR15" s="27">
        <v>1.2</v>
      </c>
    </row>
    <row r="16" spans="1:70" x14ac:dyDescent="0.2">
      <c r="A16" t="s">
        <v>440</v>
      </c>
      <c r="B16" t="s">
        <v>38</v>
      </c>
      <c r="C16" t="s">
        <v>441</v>
      </c>
      <c r="D16" t="s">
        <v>442</v>
      </c>
      <c r="E16">
        <v>83848</v>
      </c>
      <c r="F16">
        <v>50687</v>
      </c>
      <c r="G16" t="s">
        <v>442</v>
      </c>
      <c r="H16" s="1">
        <v>340.3</v>
      </c>
      <c r="I16" s="1">
        <v>83.4</v>
      </c>
      <c r="J16" s="10">
        <v>2.3969999999999998</v>
      </c>
      <c r="K16" s="10">
        <f t="shared" ca="1" si="0"/>
        <v>7.1464981634364114E-2</v>
      </c>
      <c r="L16" s="7">
        <v>0.2074</v>
      </c>
      <c r="M16" s="7">
        <f t="shared" ca="1" si="1"/>
        <v>6.046974780830495E-3</v>
      </c>
      <c r="N16" s="7">
        <v>0.99278</v>
      </c>
      <c r="O16" s="8">
        <v>4.8216010000000002</v>
      </c>
      <c r="P16" s="8">
        <f t="shared" ca="1" si="2"/>
        <v>0.14057909116056486</v>
      </c>
      <c r="Q16" s="9">
        <v>8.3750000000000005E-2</v>
      </c>
      <c r="R16" s="9">
        <f t="shared" ca="1" si="3"/>
        <v>1.692106675124237E-3</v>
      </c>
      <c r="S16" s="8">
        <f t="shared" si="4"/>
        <v>0.5402545620483864</v>
      </c>
      <c r="T16" s="11">
        <v>6.8099999999999994E-2</v>
      </c>
      <c r="U16" s="11">
        <f t="shared" ca="1" si="5"/>
        <v>2.1012006091756207E-3</v>
      </c>
      <c r="V16" s="6" t="e">
        <f ca="1">IF(agePb6U8(1/O16)&lt;1400,age7corr(1/O16,Q16,$W$2),agePb76(Q16))</f>
        <v>#NAME?</v>
      </c>
      <c r="W16" s="6" t="e">
        <f ca="1">IF(agePb6U8(1/O16)&lt;1400,ageer7corr(V16,1/O16,P16/O16*(1/O16),Q16,R16,$W$2,0.05),ageerPb76(Q16,R16))</f>
        <v>#NAME?</v>
      </c>
      <c r="X16" s="4" t="e">
        <f ca="1">agePb6U8(L16)/agePb7u5(J16)</f>
        <v>#NAME?</v>
      </c>
      <c r="Y16" s="3"/>
      <c r="Z16" s="1">
        <v>2.3969999999999998</v>
      </c>
      <c r="AA16" s="1">
        <v>5.2999999999999999E-2</v>
      </c>
      <c r="AB16" s="1">
        <v>0.2074</v>
      </c>
      <c r="AC16" s="1">
        <v>4.4000000000000003E-3</v>
      </c>
      <c r="AD16" s="1">
        <v>0.99278</v>
      </c>
      <c r="AE16" s="1">
        <v>4.8216010000000002</v>
      </c>
      <c r="AF16" s="1">
        <v>0.10229050000000001</v>
      </c>
      <c r="AG16" s="1">
        <v>8.3750000000000005E-2</v>
      </c>
      <c r="AH16" s="1">
        <v>2.4000000000000001E-4</v>
      </c>
      <c r="AI16" s="1">
        <v>-0.10077</v>
      </c>
      <c r="AJ16" s="1">
        <v>6.8099999999999994E-2</v>
      </c>
      <c r="AK16" s="1">
        <v>1.6000000000000001E-3</v>
      </c>
      <c r="AL16" s="1">
        <v>13.13</v>
      </c>
      <c r="AM16" s="1">
        <v>0.17</v>
      </c>
      <c r="AN16" s="1">
        <v>1241</v>
      </c>
      <c r="AO16" s="1">
        <v>16</v>
      </c>
      <c r="AP16" s="1">
        <v>1215</v>
      </c>
      <c r="AQ16" s="1">
        <v>24</v>
      </c>
      <c r="AR16" s="1">
        <v>1331</v>
      </c>
      <c r="AS16" s="1">
        <v>30</v>
      </c>
      <c r="AT16" s="1">
        <v>1286.7</v>
      </c>
      <c r="AU16" s="1">
        <v>5.7</v>
      </c>
      <c r="AV16" s="1">
        <v>74.300000000000011</v>
      </c>
      <c r="AW16" s="1">
        <v>1.8</v>
      </c>
      <c r="AX16" s="1">
        <v>6.5900000000000007</v>
      </c>
      <c r="AY16" s="1">
        <v>0.42000000000000004</v>
      </c>
      <c r="AZ16" s="1">
        <v>36514.799999999996</v>
      </c>
      <c r="BA16" s="1">
        <v>1490.4</v>
      </c>
      <c r="BB16" s="1">
        <v>50176.800000000003</v>
      </c>
      <c r="BC16" s="1">
        <v>1366.1999999999998</v>
      </c>
      <c r="BD16" s="1">
        <v>601128</v>
      </c>
      <c r="BE16" s="1">
        <v>16767</v>
      </c>
      <c r="BF16" s="1">
        <v>6.2099999999999991</v>
      </c>
      <c r="BG16" s="1">
        <v>8.0729999999999986</v>
      </c>
      <c r="BH16" s="1">
        <f t="shared" si="6"/>
        <v>96800.000000000015</v>
      </c>
      <c r="BI16" s="1">
        <f t="shared" si="7"/>
        <v>125868.962020031</v>
      </c>
      <c r="BJ16" s="27">
        <v>1243.0999999999999</v>
      </c>
      <c r="BK16" s="27">
        <v>18.5</v>
      </c>
      <c r="BL16" s="27">
        <v>1215.3</v>
      </c>
      <c r="BM16" s="27">
        <v>32.200000000000003</v>
      </c>
      <c r="BN16" s="27">
        <v>1291.7</v>
      </c>
      <c r="BO16" s="27">
        <v>46.3</v>
      </c>
      <c r="BP16" s="27">
        <v>1244.5</v>
      </c>
      <c r="BQ16" s="27">
        <v>18.5</v>
      </c>
      <c r="BR16" s="27">
        <v>2.1</v>
      </c>
    </row>
    <row r="17" spans="1:70" x14ac:dyDescent="0.2">
      <c r="A17" t="s">
        <v>443</v>
      </c>
      <c r="B17" t="s">
        <v>38</v>
      </c>
      <c r="C17" t="s">
        <v>444</v>
      </c>
      <c r="D17" t="s">
        <v>445</v>
      </c>
      <c r="E17">
        <v>83800</v>
      </c>
      <c r="F17">
        <v>50818</v>
      </c>
      <c r="G17" t="s">
        <v>445</v>
      </c>
      <c r="H17" s="1">
        <v>146.19999999999999</v>
      </c>
      <c r="I17" s="1">
        <v>28.8</v>
      </c>
      <c r="J17" s="10">
        <v>2.1589999999999998</v>
      </c>
      <c r="K17" s="10">
        <f t="shared" ca="1" si="0"/>
        <v>6.8363092381781565E-2</v>
      </c>
      <c r="L17" s="7">
        <v>0.1973</v>
      </c>
      <c r="M17" s="7">
        <f t="shared" ca="1" si="1"/>
        <v>6.1368490286139521E-3</v>
      </c>
      <c r="N17" s="7">
        <v>0.99373999999999996</v>
      </c>
      <c r="O17" s="8">
        <v>5.0684240000000003</v>
      </c>
      <c r="P17" s="8">
        <f t="shared" ca="1" si="2"/>
        <v>0.15764900644761576</v>
      </c>
      <c r="Q17" s="9">
        <v>7.9200000000000007E-2</v>
      </c>
      <c r="R17" s="9">
        <f t="shared" ca="1" si="3"/>
        <v>1.6180098887213267E-3</v>
      </c>
      <c r="S17" s="8">
        <f t="shared" si="4"/>
        <v>0.52967890369489468</v>
      </c>
      <c r="T17" s="11">
        <v>6.7000000000000004E-2</v>
      </c>
      <c r="U17" s="11">
        <f t="shared" ca="1" si="5"/>
        <v>2.49110417285187E-3</v>
      </c>
      <c r="V17" s="6" t="e">
        <f ca="1">IF(agePb6U8(1/O17)&lt;1400,age7corr(1/O17,Q17,$W$2),agePb76(Q17))</f>
        <v>#NAME?</v>
      </c>
      <c r="W17" s="6" t="e">
        <f ca="1">IF(agePb6U8(1/O17)&lt;1400,ageer7corr(V17,1/O17,P17/O17*(1/O17),Q17,R17,$W$2,0.05),ageerPb76(Q17,R17))</f>
        <v>#NAME?</v>
      </c>
      <c r="X17" s="4" t="e">
        <f ca="1">agePb6U8(L17)/agePb7u5(J17)</f>
        <v>#NAME?</v>
      </c>
      <c r="Y17" s="3"/>
      <c r="Z17" s="1">
        <v>2.1589999999999998</v>
      </c>
      <c r="AA17" s="1">
        <v>5.2999999999999999E-2</v>
      </c>
      <c r="AB17" s="1">
        <v>0.1973</v>
      </c>
      <c r="AC17" s="1">
        <v>4.7000000000000002E-3</v>
      </c>
      <c r="AD17" s="1">
        <v>0.99373999999999996</v>
      </c>
      <c r="AE17" s="1">
        <v>5.0684240000000003</v>
      </c>
      <c r="AF17" s="1">
        <v>0.1207379</v>
      </c>
      <c r="AG17" s="1">
        <v>7.9200000000000007E-2</v>
      </c>
      <c r="AH17" s="1">
        <v>3.3E-4</v>
      </c>
      <c r="AI17" s="1">
        <v>-0.27310000000000001</v>
      </c>
      <c r="AJ17" s="1">
        <v>6.7000000000000004E-2</v>
      </c>
      <c r="AK17" s="1">
        <v>2.0999999999999999E-3</v>
      </c>
      <c r="AL17" s="1">
        <v>15.76</v>
      </c>
      <c r="AM17" s="1">
        <v>0.18</v>
      </c>
      <c r="AN17" s="1">
        <v>1167</v>
      </c>
      <c r="AO17" s="1">
        <v>17</v>
      </c>
      <c r="AP17" s="1">
        <v>1161</v>
      </c>
      <c r="AQ17" s="1">
        <v>25</v>
      </c>
      <c r="AR17" s="1">
        <v>1310</v>
      </c>
      <c r="AS17" s="1">
        <v>40</v>
      </c>
      <c r="AT17" s="1">
        <v>1177.0999999999999</v>
      </c>
      <c r="AU17" s="1">
        <v>8.1999999999999993</v>
      </c>
      <c r="AV17" s="1">
        <v>31.91</v>
      </c>
      <c r="AW17" s="1">
        <v>0.65</v>
      </c>
      <c r="AX17" s="1">
        <v>2.2799999999999998</v>
      </c>
      <c r="AY17" s="1">
        <v>0.11</v>
      </c>
      <c r="AZ17" s="1">
        <v>12246.119999999999</v>
      </c>
      <c r="BA17" s="1">
        <v>372.6</v>
      </c>
      <c r="BB17" s="1">
        <v>19021.23</v>
      </c>
      <c r="BC17" s="1">
        <v>471.96</v>
      </c>
      <c r="BD17" s="1">
        <v>240823.80000000002</v>
      </c>
      <c r="BE17" s="1">
        <v>5775.3</v>
      </c>
      <c r="BF17" s="1">
        <v>12.419999999999998</v>
      </c>
      <c r="BG17" s="1">
        <v>8.6940000000000008</v>
      </c>
      <c r="BH17" s="1">
        <f t="shared" si="6"/>
        <v>19390.000000000004</v>
      </c>
      <c r="BI17" s="1">
        <f t="shared" si="7"/>
        <v>13580.962926096227</v>
      </c>
      <c r="BJ17" s="27">
        <v>1164.2</v>
      </c>
      <c r="BK17" s="27">
        <v>19.5</v>
      </c>
      <c r="BL17" s="27">
        <v>1160.5</v>
      </c>
      <c r="BM17" s="27">
        <v>33.5</v>
      </c>
      <c r="BN17" s="27">
        <v>1171.2</v>
      </c>
      <c r="BO17" s="27">
        <v>50.1</v>
      </c>
      <c r="BP17" s="27">
        <v>1164.5</v>
      </c>
      <c r="BQ17" s="27">
        <v>19.399999999999999</v>
      </c>
      <c r="BR17" s="27">
        <v>0.28999999999999998</v>
      </c>
    </row>
    <row r="18" spans="1:70" x14ac:dyDescent="0.2">
      <c r="A18" t="s">
        <v>452</v>
      </c>
      <c r="B18" t="s">
        <v>38</v>
      </c>
      <c r="C18" t="s">
        <v>453</v>
      </c>
      <c r="D18" t="s">
        <v>454</v>
      </c>
      <c r="E18">
        <v>83866</v>
      </c>
      <c r="F18">
        <v>51024</v>
      </c>
      <c r="G18" t="s">
        <v>454</v>
      </c>
      <c r="H18" s="1">
        <v>78.3</v>
      </c>
      <c r="I18" s="1">
        <v>26.18</v>
      </c>
      <c r="J18" s="10">
        <v>2.121</v>
      </c>
      <c r="K18" s="10">
        <f t="shared" ca="1" si="0"/>
        <v>8.703709783764621E-2</v>
      </c>
      <c r="L18" s="7">
        <v>0.19470000000000001</v>
      </c>
      <c r="M18" s="7">
        <f t="shared" ca="1" si="1"/>
        <v>8.0101957529139078E-3</v>
      </c>
      <c r="N18" s="7">
        <v>0.97958999999999996</v>
      </c>
      <c r="O18" s="8">
        <v>5.136107</v>
      </c>
      <c r="P18" s="8">
        <f t="shared" ca="1" si="2"/>
        <v>0.21130574899424673</v>
      </c>
      <c r="Q18" s="9">
        <v>7.9049999999999995E-2</v>
      </c>
      <c r="R18" s="9">
        <f t="shared" ca="1" si="3"/>
        <v>1.6643199812536049E-3</v>
      </c>
      <c r="S18" s="8">
        <f t="shared" si="4"/>
        <v>0.43834625448990577</v>
      </c>
      <c r="T18" s="11">
        <v>6.4199999999999993E-2</v>
      </c>
      <c r="U18" s="11">
        <f t="shared" ca="1" si="5"/>
        <v>2.4614337285411522E-3</v>
      </c>
      <c r="V18" s="6" t="e">
        <f ca="1">IF(agePb6U8(1/O18)&lt;1400,age7corr(1/O18,Q18,$W$2),agePb76(Q18))</f>
        <v>#NAME?</v>
      </c>
      <c r="W18" s="6" t="e">
        <f ca="1">IF(agePb6U8(1/O18)&lt;1400,ageer7corr(V18,1/O18,P18/O18*(1/O18),Q18,R18,$W$2,0.05),ageerPb76(Q18,R18))</f>
        <v>#NAME?</v>
      </c>
      <c r="X18" s="4" t="e">
        <f ca="1">agePb6U8(L18)/agePb7u5(J18)</f>
        <v>#NAME?</v>
      </c>
      <c r="Y18" s="3"/>
      <c r="Z18" s="1">
        <v>2.121</v>
      </c>
      <c r="AA18" s="1">
        <v>7.5999999999999998E-2</v>
      </c>
      <c r="AB18" s="1">
        <v>0.19470000000000001</v>
      </c>
      <c r="AC18" s="1">
        <v>7.0000000000000001E-3</v>
      </c>
      <c r="AD18" s="1">
        <v>0.97958999999999996</v>
      </c>
      <c r="AE18" s="1">
        <v>5.136107</v>
      </c>
      <c r="AF18" s="1">
        <v>0.18465719999999999</v>
      </c>
      <c r="AG18" s="1">
        <v>7.9049999999999995E-2</v>
      </c>
      <c r="AH18" s="1">
        <v>5.1999999999999995E-4</v>
      </c>
      <c r="AI18" s="1">
        <v>0.11623</v>
      </c>
      <c r="AJ18" s="1">
        <v>6.4199999999999993E-2</v>
      </c>
      <c r="AK18" s="1">
        <v>2.0999999999999999E-3</v>
      </c>
      <c r="AL18" s="1">
        <v>9.34</v>
      </c>
      <c r="AM18" s="1">
        <v>0.13</v>
      </c>
      <c r="AN18" s="1">
        <v>1154</v>
      </c>
      <c r="AO18" s="1">
        <v>25</v>
      </c>
      <c r="AP18" s="1">
        <v>1146</v>
      </c>
      <c r="AQ18" s="1">
        <v>38</v>
      </c>
      <c r="AR18" s="1">
        <v>1257</v>
      </c>
      <c r="AS18" s="1">
        <v>40</v>
      </c>
      <c r="AT18" s="1">
        <v>1173</v>
      </c>
      <c r="AU18" s="1">
        <v>13</v>
      </c>
      <c r="AV18" s="1">
        <v>17.069999999999997</v>
      </c>
      <c r="AW18" s="1">
        <v>0.36000000000000004</v>
      </c>
      <c r="AX18" s="1">
        <v>2.069</v>
      </c>
      <c r="AY18" s="1">
        <v>0.04</v>
      </c>
      <c r="AZ18" s="1">
        <v>10904.76</v>
      </c>
      <c r="BA18" s="1">
        <v>310.5</v>
      </c>
      <c r="BB18" s="1">
        <v>10035.359999999999</v>
      </c>
      <c r="BC18" s="1">
        <v>211.14000000000001</v>
      </c>
      <c r="BD18" s="1">
        <v>126808.19999999998</v>
      </c>
      <c r="BE18" s="1">
        <v>2359.7999999999997</v>
      </c>
      <c r="BF18" s="1">
        <v>6.5205000000000002</v>
      </c>
      <c r="BG18" s="1">
        <v>5.7131999999999996</v>
      </c>
      <c r="BH18" s="1">
        <f t="shared" si="6"/>
        <v>19447.619047619046</v>
      </c>
      <c r="BI18" s="1">
        <f t="shared" si="7"/>
        <v>17043.661366521927</v>
      </c>
      <c r="BJ18" s="27">
        <v>1154.8</v>
      </c>
      <c r="BK18" s="27">
        <v>25.8</v>
      </c>
      <c r="BL18" s="27">
        <v>1146</v>
      </c>
      <c r="BM18" s="27">
        <v>42.9</v>
      </c>
      <c r="BN18" s="27">
        <v>1171.2</v>
      </c>
      <c r="BO18" s="27">
        <v>50.1</v>
      </c>
      <c r="BP18" s="27">
        <v>1157.3</v>
      </c>
      <c r="BQ18" s="27">
        <v>24.6</v>
      </c>
      <c r="BR18" s="27">
        <v>0.77</v>
      </c>
    </row>
    <row r="19" spans="1:70" x14ac:dyDescent="0.2">
      <c r="A19" t="s">
        <v>455</v>
      </c>
      <c r="B19" t="s">
        <v>38</v>
      </c>
      <c r="C19" t="s">
        <v>456</v>
      </c>
      <c r="D19" t="s">
        <v>457</v>
      </c>
      <c r="E19">
        <v>83900</v>
      </c>
      <c r="F19">
        <v>51514</v>
      </c>
      <c r="G19" t="s">
        <v>457</v>
      </c>
      <c r="H19" s="1">
        <v>342.8</v>
      </c>
      <c r="I19" s="1">
        <v>161.1</v>
      </c>
      <c r="J19" s="10">
        <v>2.1560000000000001</v>
      </c>
      <c r="K19" s="10">
        <f t="shared" ca="1" si="0"/>
        <v>5.7474641364692311E-2</v>
      </c>
      <c r="L19" s="7">
        <v>0.19339999999999999</v>
      </c>
      <c r="M19" s="7">
        <f t="shared" ca="1" si="1"/>
        <v>5.2164570351916056E-3</v>
      </c>
      <c r="N19" s="7">
        <v>0.99111000000000005</v>
      </c>
      <c r="O19" s="8">
        <v>5.1706310000000002</v>
      </c>
      <c r="P19" s="8">
        <f t="shared" ca="1" si="2"/>
        <v>0.13946418790608867</v>
      </c>
      <c r="Q19" s="9">
        <v>8.1019999999999995E-2</v>
      </c>
      <c r="R19" s="9">
        <f t="shared" ca="1" si="3"/>
        <v>1.6516949355132138E-3</v>
      </c>
      <c r="S19" s="8">
        <f t="shared" si="4"/>
        <v>0.54618841479367386</v>
      </c>
      <c r="T19" s="11">
        <v>6.9500000000000006E-2</v>
      </c>
      <c r="U19" s="11">
        <f t="shared" ca="1" si="5"/>
        <v>1.772596964907703E-3</v>
      </c>
      <c r="V19" s="6" t="e">
        <f ca="1">IF(agePb6U8(1/O19)&lt;1400,age7corr(1/O19,Q19,$W$2),agePb76(Q19))</f>
        <v>#NAME?</v>
      </c>
      <c r="W19" s="6" t="e">
        <f ca="1">IF(agePb6U8(1/O19)&lt;1400,ageer7corr(V19,1/O19,P19/O19*(1/O19),Q19,R19,$W$2,0.05),ageerPb76(Q19,R19))</f>
        <v>#NAME?</v>
      </c>
      <c r="X19" s="4" t="e">
        <f ca="1">agePb6U8(L19)/agePb7u5(J19)</f>
        <v>#NAME?</v>
      </c>
      <c r="Y19" s="3"/>
      <c r="Z19" s="1">
        <v>2.1560000000000001</v>
      </c>
      <c r="AA19" s="1">
        <v>3.7999999999999999E-2</v>
      </c>
      <c r="AB19" s="1">
        <v>0.19339999999999999</v>
      </c>
      <c r="AC19" s="1">
        <v>3.5000000000000001E-3</v>
      </c>
      <c r="AD19" s="1">
        <v>0.99111000000000005</v>
      </c>
      <c r="AE19" s="1">
        <v>5.1706310000000002</v>
      </c>
      <c r="AF19" s="1">
        <v>9.3573980000000001E-2</v>
      </c>
      <c r="AG19" s="1">
        <v>8.1019999999999995E-2</v>
      </c>
      <c r="AH19" s="1">
        <v>3.2000000000000003E-4</v>
      </c>
      <c r="AI19" s="1">
        <v>-0.23124</v>
      </c>
      <c r="AJ19" s="1">
        <v>6.9500000000000006E-2</v>
      </c>
      <c r="AK19" s="1">
        <v>1.1000000000000001E-3</v>
      </c>
      <c r="AL19" s="1">
        <v>6.2830000000000004</v>
      </c>
      <c r="AM19" s="1">
        <v>3.5999999999999997E-2</v>
      </c>
      <c r="AN19" s="1">
        <v>1167</v>
      </c>
      <c r="AO19" s="1">
        <v>12</v>
      </c>
      <c r="AP19" s="1">
        <v>1140</v>
      </c>
      <c r="AQ19" s="1">
        <v>19</v>
      </c>
      <c r="AR19" s="1">
        <v>1357</v>
      </c>
      <c r="AS19" s="1">
        <v>20</v>
      </c>
      <c r="AT19" s="1">
        <v>1221.8</v>
      </c>
      <c r="AU19" s="1">
        <v>7.7</v>
      </c>
      <c r="AV19" s="1">
        <v>74.800000000000011</v>
      </c>
      <c r="AW19" s="1">
        <v>1.2</v>
      </c>
      <c r="AX19" s="1">
        <v>12.73</v>
      </c>
      <c r="AY19" s="1">
        <v>0.36000000000000004</v>
      </c>
      <c r="AZ19" s="1">
        <v>72905.399999999994</v>
      </c>
      <c r="BA19" s="1">
        <v>1304.0999999999999</v>
      </c>
      <c r="BB19" s="1">
        <v>45954</v>
      </c>
      <c r="BC19" s="1">
        <v>807.3</v>
      </c>
      <c r="BD19" s="1">
        <v>572562</v>
      </c>
      <c r="BE19" s="1">
        <v>10557</v>
      </c>
      <c r="BF19" s="1">
        <v>8.1971999999999987</v>
      </c>
      <c r="BG19" s="1">
        <v>5.3406000000000002</v>
      </c>
      <c r="BH19" s="1">
        <f t="shared" si="6"/>
        <v>69848.484848484863</v>
      </c>
      <c r="BI19" s="1">
        <f t="shared" si="7"/>
        <v>45525.566322152677</v>
      </c>
      <c r="BJ19" s="27">
        <v>1168</v>
      </c>
      <c r="BK19" s="27">
        <v>17.100000000000001</v>
      </c>
      <c r="BL19" s="27">
        <v>1139.9000000000001</v>
      </c>
      <c r="BM19" s="27">
        <v>28.3</v>
      </c>
      <c r="BN19" s="27">
        <v>1220.5999999999999</v>
      </c>
      <c r="BO19" s="27">
        <v>48.5</v>
      </c>
      <c r="BP19" s="27">
        <v>1166.5999999999999</v>
      </c>
      <c r="BQ19" s="27">
        <v>17.2</v>
      </c>
      <c r="BR19" s="27">
        <v>2.2000000000000002</v>
      </c>
    </row>
    <row r="20" spans="1:70" s="23" customFormat="1" x14ac:dyDescent="0.2">
      <c r="A20" s="23" t="s">
        <v>392</v>
      </c>
      <c r="B20" s="23" t="s">
        <v>38</v>
      </c>
      <c r="C20" s="23" t="s">
        <v>393</v>
      </c>
      <c r="D20" s="23" t="s">
        <v>394</v>
      </c>
      <c r="E20" s="23">
        <v>83758</v>
      </c>
      <c r="F20" s="23">
        <v>47975</v>
      </c>
      <c r="G20" s="23" t="s">
        <v>394</v>
      </c>
      <c r="H20" s="24">
        <v>447</v>
      </c>
      <c r="I20" s="24">
        <v>154</v>
      </c>
      <c r="J20" s="25">
        <v>2.1240000000000001</v>
      </c>
      <c r="K20" s="25">
        <f t="shared" ca="1" si="0"/>
        <v>8.1028084020295099E-2</v>
      </c>
      <c r="L20" s="26">
        <v>0.1731</v>
      </c>
      <c r="M20" s="26">
        <f t="shared" ca="1" si="1"/>
        <v>4.9945414203908653E-3</v>
      </c>
      <c r="N20" s="26">
        <v>0.68076000000000003</v>
      </c>
      <c r="O20" s="26">
        <v>5.7770080000000004</v>
      </c>
      <c r="P20" s="26">
        <f t="shared" ca="1" si="2"/>
        <v>0.16668688551087515</v>
      </c>
      <c r="Q20" s="25">
        <v>8.8900000000000007E-2</v>
      </c>
      <c r="R20" s="25">
        <f t="shared" ca="1" si="3"/>
        <v>2.326216670905787E-3</v>
      </c>
      <c r="S20" s="26">
        <f t="shared" si="4"/>
        <v>0.59789036516628247</v>
      </c>
      <c r="T20" s="25">
        <v>7.5399999999999995E-2</v>
      </c>
      <c r="U20" s="25">
        <f t="shared" ca="1" si="5"/>
        <v>3.0056719714566318E-3</v>
      </c>
      <c r="V20" s="24" t="e">
        <f ca="1">IF(agePb6U8(1/O20)&lt;1400,age7corr(1/O20,Q20,$W$2),agePb76(Q20))</f>
        <v>#NAME?</v>
      </c>
      <c r="W20" s="24" t="e">
        <f ca="1">IF(agePb6U8(1/O20)&lt;1400,ageer7corr(V20,1/O20,P20/O20*(1/O20),Q20,R20,$W$2,0.05),ageerPb76(Q20,R20))</f>
        <v>#NAME?</v>
      </c>
      <c r="X20" s="26" t="e">
        <f ca="1">agePb6U8(L20)/agePb7u5(J20)</f>
        <v>#NAME?</v>
      </c>
      <c r="Y20" s="24"/>
      <c r="Z20" s="24">
        <v>2.1240000000000001</v>
      </c>
      <c r="AA20" s="24">
        <v>6.9000000000000006E-2</v>
      </c>
      <c r="AB20" s="24">
        <v>0.1731</v>
      </c>
      <c r="AC20" s="24">
        <v>3.5999999999999999E-3</v>
      </c>
      <c r="AD20" s="24">
        <v>0.68076000000000003</v>
      </c>
      <c r="AE20" s="24">
        <v>5.7770080000000004</v>
      </c>
      <c r="AF20" s="24">
        <v>0.12014569999999999</v>
      </c>
      <c r="AG20" s="24">
        <v>8.8900000000000007E-2</v>
      </c>
      <c r="AH20" s="24">
        <v>1.5E-3</v>
      </c>
      <c r="AI20" s="24">
        <v>-6.9258E-2</v>
      </c>
      <c r="AJ20" s="24">
        <v>7.5399999999999995E-2</v>
      </c>
      <c r="AK20" s="24">
        <v>2.5999999999999999E-3</v>
      </c>
      <c r="AL20" s="24">
        <v>7.03</v>
      </c>
      <c r="AM20" s="24">
        <v>0.17</v>
      </c>
      <c r="AN20" s="24">
        <v>1155</v>
      </c>
      <c r="AO20" s="24">
        <v>22</v>
      </c>
      <c r="AP20" s="24">
        <v>1029</v>
      </c>
      <c r="AQ20" s="24">
        <v>20</v>
      </c>
      <c r="AR20" s="24">
        <v>1468</v>
      </c>
      <c r="AS20" s="24">
        <v>49</v>
      </c>
      <c r="AT20" s="24">
        <v>1400</v>
      </c>
      <c r="AU20" s="24">
        <v>32</v>
      </c>
      <c r="AV20" s="24">
        <v>97.699999999999989</v>
      </c>
      <c r="AW20" s="24">
        <v>3.3</v>
      </c>
      <c r="AX20" s="24">
        <v>12.18</v>
      </c>
      <c r="AY20" s="24">
        <v>0.38</v>
      </c>
      <c r="AZ20" s="24">
        <v>75637.8</v>
      </c>
      <c r="BA20" s="24">
        <v>1800.9</v>
      </c>
      <c r="BB20" s="24">
        <v>58125.599999999999</v>
      </c>
      <c r="BC20" s="24">
        <v>1304.0999999999999</v>
      </c>
      <c r="BD20" s="24">
        <v>649566</v>
      </c>
      <c r="BE20" s="24">
        <v>22356.000000000004</v>
      </c>
      <c r="BF20" s="24">
        <v>615.41100000000006</v>
      </c>
      <c r="BG20" s="24">
        <v>55.89</v>
      </c>
      <c r="BH20" s="24">
        <f t="shared" si="6"/>
        <v>1055.499495459132</v>
      </c>
      <c r="BI20" s="24">
        <f t="shared" si="7"/>
        <v>102.51019631486567</v>
      </c>
      <c r="BJ20" s="27">
        <v>1156</v>
      </c>
      <c r="BK20" s="27">
        <v>16.600000000000001</v>
      </c>
      <c r="BL20" s="27">
        <v>1028.7</v>
      </c>
      <c r="BM20" s="27">
        <v>28</v>
      </c>
      <c r="BN20" s="27">
        <v>1403.3</v>
      </c>
      <c r="BO20" s="27">
        <v>43</v>
      </c>
      <c r="BP20" s="27">
        <v>1164.5</v>
      </c>
      <c r="BQ20" s="27">
        <v>17</v>
      </c>
      <c r="BR20" s="27">
        <v>11</v>
      </c>
    </row>
    <row r="21" spans="1:70" x14ac:dyDescent="0.2">
      <c r="A21" t="s">
        <v>458</v>
      </c>
      <c r="B21" t="s">
        <v>38</v>
      </c>
      <c r="C21" t="s">
        <v>459</v>
      </c>
      <c r="D21" t="s">
        <v>460</v>
      </c>
      <c r="E21">
        <v>84020</v>
      </c>
      <c r="F21">
        <v>51660</v>
      </c>
      <c r="G21" t="s">
        <v>460</v>
      </c>
      <c r="H21" s="1">
        <v>53.6</v>
      </c>
      <c r="I21" s="1">
        <v>20.91</v>
      </c>
      <c r="J21" s="10">
        <v>2.081</v>
      </c>
      <c r="K21" s="10">
        <f t="shared" ca="1" si="0"/>
        <v>8.6650010963646149E-2</v>
      </c>
      <c r="L21" s="7">
        <v>0.19259999999999999</v>
      </c>
      <c r="M21" s="7">
        <f t="shared" ca="1" si="1"/>
        <v>7.2991714598302174E-3</v>
      </c>
      <c r="N21" s="7">
        <v>0.96862999999999999</v>
      </c>
      <c r="O21" s="8">
        <v>5.1921080000000002</v>
      </c>
      <c r="P21" s="8">
        <f t="shared" ca="1" si="2"/>
        <v>0.19677094972001224</v>
      </c>
      <c r="Q21" s="9">
        <v>7.8119999999999995E-2</v>
      </c>
      <c r="R21" s="9">
        <f t="shared" ca="1" si="3"/>
        <v>1.7161566828235702E-3</v>
      </c>
      <c r="S21" s="8">
        <f t="shared" si="4"/>
        <v>0.45759497379486941</v>
      </c>
      <c r="T21" s="11">
        <v>7.0000000000000007E-2</v>
      </c>
      <c r="U21" s="11">
        <f t="shared" ca="1" si="5"/>
        <v>2.7784887978899607E-3</v>
      </c>
      <c r="V21" s="6" t="e">
        <f ca="1">IF(agePb6U8(1/O21)&lt;1400,age7corr(1/O21,Q21,$W$2),agePb76(Q21))</f>
        <v>#NAME?</v>
      </c>
      <c r="W21" s="6" t="e">
        <f ca="1">IF(agePb6U8(1/O21)&lt;1400,ageer7corr(V21,1/O21,P21/O21*(1/O21),Q21,R21,$W$2,0.05),ageerPb76(Q21,R21))</f>
        <v>#NAME?</v>
      </c>
      <c r="X21" s="4" t="e">
        <f ca="1">agePb6U8(L21)/agePb7u5(J21)</f>
        <v>#NAME?</v>
      </c>
      <c r="Y21" s="3"/>
      <c r="Z21" s="1">
        <v>2.081</v>
      </c>
      <c r="AA21" s="1">
        <v>7.5999999999999998E-2</v>
      </c>
      <c r="AB21" s="1">
        <v>0.19259999999999999</v>
      </c>
      <c r="AC21" s="1">
        <v>6.1999999999999998E-3</v>
      </c>
      <c r="AD21" s="1">
        <v>0.96862999999999999</v>
      </c>
      <c r="AE21" s="1">
        <v>5.1921080000000002</v>
      </c>
      <c r="AF21" s="1">
        <v>0.1671395</v>
      </c>
      <c r="AG21" s="1">
        <v>7.8119999999999995E-2</v>
      </c>
      <c r="AH21" s="1">
        <v>7.1000000000000002E-4</v>
      </c>
      <c r="AI21" s="1">
        <v>-0.20313999999999999</v>
      </c>
      <c r="AJ21" s="1">
        <v>7.0000000000000007E-2</v>
      </c>
      <c r="AK21" s="1">
        <v>2.3999999999999998E-3</v>
      </c>
      <c r="AL21" s="1">
        <v>7.4370000000000003</v>
      </c>
      <c r="AM21" s="1">
        <v>3.5999999999999997E-2</v>
      </c>
      <c r="AN21" s="1">
        <v>1141</v>
      </c>
      <c r="AO21" s="1">
        <v>25</v>
      </c>
      <c r="AP21" s="1">
        <v>1135</v>
      </c>
      <c r="AQ21" s="1">
        <v>34</v>
      </c>
      <c r="AR21" s="1">
        <v>1367</v>
      </c>
      <c r="AS21" s="1">
        <v>45</v>
      </c>
      <c r="AT21" s="1">
        <v>1149</v>
      </c>
      <c r="AU21" s="1">
        <v>18</v>
      </c>
      <c r="AV21" s="1">
        <v>11.690000000000001</v>
      </c>
      <c r="AW21" s="1">
        <v>0.25999999999999995</v>
      </c>
      <c r="AX21" s="1">
        <v>1.653</v>
      </c>
      <c r="AY21" s="1">
        <v>6.8000000000000005E-2</v>
      </c>
      <c r="AZ21" s="1">
        <v>9519.9300000000021</v>
      </c>
      <c r="BA21" s="1">
        <v>217.35</v>
      </c>
      <c r="BB21" s="1">
        <v>6899.31</v>
      </c>
      <c r="BC21" s="1">
        <v>173.88</v>
      </c>
      <c r="BD21" s="1">
        <v>88368.3</v>
      </c>
      <c r="BE21" s="1">
        <v>1925.1</v>
      </c>
      <c r="BF21" s="1">
        <v>-5.3406000000000002</v>
      </c>
      <c r="BG21" s="1">
        <v>6.0858000000000008</v>
      </c>
      <c r="BH21" s="1">
        <f t="shared" si="6"/>
        <v>-16546.511627906977</v>
      </c>
      <c r="BI21" s="1">
        <f t="shared" si="7"/>
        <v>-18858.772469754203</v>
      </c>
      <c r="BJ21" s="27">
        <v>1139.3</v>
      </c>
      <c r="BK21" s="27">
        <v>24</v>
      </c>
      <c r="BL21" s="27">
        <v>1135.9000000000001</v>
      </c>
      <c r="BM21" s="27">
        <v>40.1</v>
      </c>
      <c r="BN21" s="27">
        <v>1146</v>
      </c>
      <c r="BO21" s="27">
        <v>50.9</v>
      </c>
      <c r="BP21" s="27">
        <v>1140.0999999999999</v>
      </c>
      <c r="BQ21" s="27">
        <v>23.3</v>
      </c>
      <c r="BR21" s="27">
        <v>0.3</v>
      </c>
    </row>
    <row r="22" spans="1:70" x14ac:dyDescent="0.2">
      <c r="A22" t="s">
        <v>461</v>
      </c>
      <c r="B22" t="s">
        <v>38</v>
      </c>
      <c r="C22" t="s">
        <v>462</v>
      </c>
      <c r="D22" t="s">
        <v>463</v>
      </c>
      <c r="E22">
        <v>83931</v>
      </c>
      <c r="F22">
        <v>51841</v>
      </c>
      <c r="G22" t="s">
        <v>463</v>
      </c>
      <c r="H22" s="1">
        <v>435</v>
      </c>
      <c r="I22" s="1">
        <v>58.6</v>
      </c>
      <c r="J22" s="10">
        <v>1.996</v>
      </c>
      <c r="K22" s="10">
        <f t="shared" ca="1" si="0"/>
        <v>8.8513311993168586E-2</v>
      </c>
      <c r="L22" s="7">
        <v>0.17860000000000001</v>
      </c>
      <c r="M22" s="7">
        <f t="shared" ca="1" si="1"/>
        <v>8.0373617561983624E-3</v>
      </c>
      <c r="N22" s="7">
        <v>0.98655999999999999</v>
      </c>
      <c r="O22" s="8">
        <v>5.5991039999999996</v>
      </c>
      <c r="P22" s="8">
        <f t="shared" ca="1" si="2"/>
        <v>0.25197105856261831</v>
      </c>
      <c r="Q22" s="9">
        <v>8.0960000000000004E-2</v>
      </c>
      <c r="R22" s="9">
        <f t="shared" ca="1" si="3"/>
        <v>1.6976185201628782E-3</v>
      </c>
      <c r="S22" s="8">
        <f t="shared" si="4"/>
        <v>0.4345895786063394</v>
      </c>
      <c r="T22" s="11">
        <v>6.8199999999999997E-2</v>
      </c>
      <c r="U22" s="11">
        <f t="shared" ca="1" si="5"/>
        <v>2.4208461330700059E-3</v>
      </c>
      <c r="V22" s="6" t="e">
        <f ca="1">IF(agePb6U8(1/O22)&lt;1400,age7corr(1/O22,Q22,$W$2),agePb76(Q22))</f>
        <v>#NAME?</v>
      </c>
      <c r="W22" s="6" t="e">
        <f ca="1">IF(agePb6U8(1/O22)&lt;1400,ageer7corr(V22,1/O22,P22/O22*(1/O22),Q22,R22,$W$2,0.05),ageerPb76(Q22,R22))</f>
        <v>#NAME?</v>
      </c>
      <c r="X22" s="4" t="e">
        <f ca="1">agePb6U8(L22)/agePb7u5(J22)</f>
        <v>#NAME?</v>
      </c>
      <c r="Y22" s="3"/>
      <c r="Z22" s="1">
        <v>1.996</v>
      </c>
      <c r="AA22" s="1">
        <v>7.9000000000000001E-2</v>
      </c>
      <c r="AB22" s="1">
        <v>0.17860000000000001</v>
      </c>
      <c r="AC22" s="1">
        <v>7.1999999999999998E-3</v>
      </c>
      <c r="AD22" s="1">
        <v>0.98655999999999999</v>
      </c>
      <c r="AE22" s="1">
        <v>5.5991039999999996</v>
      </c>
      <c r="AF22" s="1">
        <v>0.2257198</v>
      </c>
      <c r="AG22" s="1">
        <v>8.0960000000000004E-2</v>
      </c>
      <c r="AH22" s="1">
        <v>5.1000000000000004E-4</v>
      </c>
      <c r="AI22" s="1">
        <v>0.1201</v>
      </c>
      <c r="AJ22" s="1">
        <v>6.8199999999999997E-2</v>
      </c>
      <c r="AK22" s="1">
        <v>2E-3</v>
      </c>
      <c r="AL22" s="1">
        <v>19.8</v>
      </c>
      <c r="AM22" s="1">
        <v>2.7</v>
      </c>
      <c r="AN22" s="1">
        <v>1112</v>
      </c>
      <c r="AO22" s="1">
        <v>27</v>
      </c>
      <c r="AP22" s="1">
        <v>1059</v>
      </c>
      <c r="AQ22" s="1">
        <v>40</v>
      </c>
      <c r="AR22" s="1">
        <v>1333</v>
      </c>
      <c r="AS22" s="1">
        <v>38</v>
      </c>
      <c r="AT22" s="1">
        <v>1220</v>
      </c>
      <c r="AU22" s="1">
        <v>12</v>
      </c>
      <c r="AV22" s="1">
        <v>95</v>
      </c>
      <c r="AW22" s="1">
        <v>17</v>
      </c>
      <c r="AX22" s="1">
        <v>4.63</v>
      </c>
      <c r="AY22" s="1">
        <v>0.1</v>
      </c>
      <c r="AZ22" s="1">
        <v>25287.119999999995</v>
      </c>
      <c r="BA22" s="1">
        <v>459.54</v>
      </c>
      <c r="BB22" s="1">
        <v>51543</v>
      </c>
      <c r="BC22" s="1">
        <v>8072.9999999999982</v>
      </c>
      <c r="BD22" s="1">
        <v>633420.00000000012</v>
      </c>
      <c r="BE22" s="1">
        <v>93150</v>
      </c>
      <c r="BF22" s="1">
        <v>1.3661999999999999</v>
      </c>
      <c r="BG22" s="1">
        <v>3.8502000000000001</v>
      </c>
      <c r="BH22" s="1">
        <f t="shared" si="6"/>
        <v>463636.36363636376</v>
      </c>
      <c r="BI22" s="1">
        <f t="shared" si="7"/>
        <v>1308389.2982733964</v>
      </c>
      <c r="BJ22" s="27">
        <v>1113.3</v>
      </c>
      <c r="BK22" s="27">
        <v>27.5</v>
      </c>
      <c r="BL22" s="27">
        <v>1059.2</v>
      </c>
      <c r="BM22" s="27">
        <v>43.6</v>
      </c>
      <c r="BN22" s="27">
        <v>1220.5999999999999</v>
      </c>
      <c r="BO22" s="27">
        <v>48.5</v>
      </c>
      <c r="BP22" s="27">
        <v>1134.0999999999999</v>
      </c>
      <c r="BQ22" s="27">
        <v>25.7</v>
      </c>
      <c r="BR22" s="27">
        <v>5.3</v>
      </c>
    </row>
    <row r="23" spans="1:70" s="23" customFormat="1" x14ac:dyDescent="0.2">
      <c r="A23" s="23" t="s">
        <v>464</v>
      </c>
      <c r="B23" s="23" t="s">
        <v>38</v>
      </c>
      <c r="C23" s="23" t="s">
        <v>465</v>
      </c>
      <c r="D23" s="23" t="s">
        <v>466</v>
      </c>
      <c r="E23" s="23">
        <v>83919</v>
      </c>
      <c r="F23" s="23">
        <v>51950</v>
      </c>
      <c r="G23" s="23" t="s">
        <v>466</v>
      </c>
      <c r="H23" s="24">
        <v>94.9</v>
      </c>
      <c r="I23" s="24">
        <v>24.43</v>
      </c>
      <c r="J23" s="25">
        <v>4.1859999999999999</v>
      </c>
      <c r="K23" s="25">
        <f t="shared" ca="1" si="0"/>
        <v>0.12439066846029889</v>
      </c>
      <c r="L23" s="26">
        <v>0.2457</v>
      </c>
      <c r="M23" s="26">
        <f t="shared" ca="1" si="1"/>
        <v>6.9395530115418814E-3</v>
      </c>
      <c r="N23" s="26">
        <v>0.96457000000000004</v>
      </c>
      <c r="O23" s="26">
        <v>4.070004</v>
      </c>
      <c r="P23" s="26">
        <f t="shared" ca="1" si="2"/>
        <v>0.11495322894619055</v>
      </c>
      <c r="Q23" s="25">
        <v>0.12291000000000001</v>
      </c>
      <c r="R23" s="25">
        <f t="shared" ca="1" si="3"/>
        <v>2.516812913190013E-3</v>
      </c>
      <c r="S23" s="26">
        <f t="shared" si="4"/>
        <v>0.31396516492147941</v>
      </c>
      <c r="T23" s="25">
        <v>0.17749999999999999</v>
      </c>
      <c r="U23" s="25">
        <f t="shared" ca="1" si="5"/>
        <v>4.4601008957197369E-3</v>
      </c>
      <c r="V23" s="24" t="e">
        <f ca="1">IF(agePb6U8(1/O23)&lt;1400,age7corr(1/O23,Q23,$W$2),agePb76(Q23))</f>
        <v>#NAME?</v>
      </c>
      <c r="W23" s="24" t="e">
        <f ca="1">IF(agePb6U8(1/O23)&lt;1400,ageer7corr(V23,1/O23,P23/O23*(1/O23),Q23,R23,$W$2,0.05),ageerPb76(Q23,R23))</f>
        <v>#NAME?</v>
      </c>
      <c r="X23" s="26" t="e">
        <f ca="1">agePb6U8(L23)/agePb7u5(J23)</f>
        <v>#NAME?</v>
      </c>
      <c r="Y23" s="24"/>
      <c r="Z23" s="24">
        <v>4.1859999999999999</v>
      </c>
      <c r="AA23" s="24">
        <v>9.1999999999999998E-2</v>
      </c>
      <c r="AB23" s="24">
        <v>0.2457</v>
      </c>
      <c r="AC23" s="24">
        <v>4.8999999999999998E-3</v>
      </c>
      <c r="AD23" s="24">
        <v>0.96457000000000004</v>
      </c>
      <c r="AE23" s="24">
        <v>4.070004</v>
      </c>
      <c r="AF23" s="24">
        <v>8.1168169999999998E-2</v>
      </c>
      <c r="AG23" s="24">
        <v>0.12291000000000001</v>
      </c>
      <c r="AH23" s="24">
        <v>5.4000000000000001E-4</v>
      </c>
      <c r="AI23" s="24">
        <v>3.5078999999999999E-2</v>
      </c>
      <c r="AJ23" s="24">
        <v>0.17749999999999999</v>
      </c>
      <c r="AK23" s="24">
        <v>2.7000000000000001E-3</v>
      </c>
      <c r="AL23" s="24">
        <v>5.7489999999999997</v>
      </c>
      <c r="AM23" s="24">
        <v>0.05</v>
      </c>
      <c r="AN23" s="24">
        <v>1670</v>
      </c>
      <c r="AO23" s="24">
        <v>18</v>
      </c>
      <c r="AP23" s="24">
        <v>1416</v>
      </c>
      <c r="AQ23" s="24">
        <v>25</v>
      </c>
      <c r="AR23" s="24">
        <v>3302</v>
      </c>
      <c r="AS23" s="24">
        <v>46</v>
      </c>
      <c r="AT23" s="24">
        <v>1998.9</v>
      </c>
      <c r="AU23" s="24">
        <v>7.8</v>
      </c>
      <c r="AV23" s="24">
        <v>20.7</v>
      </c>
      <c r="AW23" s="24">
        <v>0.41</v>
      </c>
      <c r="AX23" s="24">
        <v>1.9300000000000002</v>
      </c>
      <c r="AY23" s="24">
        <v>4.5999999999999999E-2</v>
      </c>
      <c r="AZ23" s="24">
        <v>27584.82</v>
      </c>
      <c r="BA23" s="24">
        <v>391.23</v>
      </c>
      <c r="BB23" s="24">
        <v>24417.72</v>
      </c>
      <c r="BC23" s="24">
        <v>353.96999999999997</v>
      </c>
      <c r="BD23" s="24">
        <v>198906.30000000002</v>
      </c>
      <c r="BE23" s="24">
        <v>2297.6999999999998</v>
      </c>
      <c r="BF23" s="24">
        <v>519.77699999999993</v>
      </c>
      <c r="BG23" s="24">
        <v>16.766999999999999</v>
      </c>
      <c r="BH23" s="24">
        <f t="shared" si="6"/>
        <v>382.67622461170856</v>
      </c>
      <c r="BI23" s="24">
        <f t="shared" si="7"/>
        <v>13.1120299833412</v>
      </c>
      <c r="BJ23" s="27">
        <v>1667.2</v>
      </c>
      <c r="BK23" s="27">
        <v>24.8</v>
      </c>
      <c r="BL23" s="27">
        <v>1416.3</v>
      </c>
      <c r="BM23" s="27">
        <v>34.4</v>
      </c>
      <c r="BN23" s="27">
        <v>1999.4</v>
      </c>
      <c r="BO23" s="27">
        <v>43.3</v>
      </c>
      <c r="BP23" s="27">
        <v>1625.4</v>
      </c>
      <c r="BQ23" s="27">
        <v>28.4</v>
      </c>
      <c r="BR23" s="27">
        <v>15</v>
      </c>
    </row>
    <row r="24" spans="1:70" x14ac:dyDescent="0.2">
      <c r="A24" t="s">
        <v>467</v>
      </c>
      <c r="B24" t="s">
        <v>38</v>
      </c>
      <c r="C24" t="s">
        <v>468</v>
      </c>
      <c r="D24" t="s">
        <v>469</v>
      </c>
      <c r="E24">
        <v>83828</v>
      </c>
      <c r="F24">
        <v>52066</v>
      </c>
      <c r="G24" t="s">
        <v>469</v>
      </c>
      <c r="H24" s="1">
        <v>108.9</v>
      </c>
      <c r="I24" s="1">
        <v>38.6</v>
      </c>
      <c r="J24" s="10">
        <v>1.8540000000000001</v>
      </c>
      <c r="K24" s="10">
        <f t="shared" ca="1" si="0"/>
        <v>6.5505163155281126E-2</v>
      </c>
      <c r="L24" s="7">
        <v>0.17849999999999999</v>
      </c>
      <c r="M24" s="7">
        <f t="shared" ca="1" si="1"/>
        <v>6.1436878175896922E-3</v>
      </c>
      <c r="N24" s="7">
        <v>0.9798</v>
      </c>
      <c r="O24" s="8">
        <v>5.6022410000000002</v>
      </c>
      <c r="P24" s="8">
        <f t="shared" ca="1" si="2"/>
        <v>0.19282026407792932</v>
      </c>
      <c r="Q24" s="9">
        <v>7.5380000000000003E-2</v>
      </c>
      <c r="R24" s="9">
        <f t="shared" ca="1" si="3"/>
        <v>1.5704960235543419E-3</v>
      </c>
      <c r="S24" s="8">
        <f t="shared" si="4"/>
        <v>0.47089390622616567</v>
      </c>
      <c r="T24" s="11">
        <v>6.4799999999999996E-2</v>
      </c>
      <c r="U24" s="11">
        <f t="shared" ca="1" si="5"/>
        <v>1.9077777648353071E-3</v>
      </c>
      <c r="V24" s="6" t="e">
        <f ca="1">IF(agePb6U8(1/O24)&lt;1400,age7corr(1/O24,Q24,$W$2),agePb76(Q24))</f>
        <v>#NAME?</v>
      </c>
      <c r="W24" s="6" t="e">
        <f ca="1">IF(agePb6U8(1/O24)&lt;1400,ageer7corr(V24,1/O24,P24/O24*(1/O24),Q24,R24,$W$2,0.05),ageerPb76(Q24,R24))</f>
        <v>#NAME?</v>
      </c>
      <c r="X24" s="4" t="e">
        <f ca="1">agePb6U8(L24)/agePb7u5(J24)</f>
        <v>#NAME?</v>
      </c>
      <c r="Y24" s="3"/>
      <c r="Z24" s="1">
        <v>1.8540000000000001</v>
      </c>
      <c r="AA24" s="1">
        <v>5.3999999999999999E-2</v>
      </c>
      <c r="AB24" s="1">
        <v>0.17849999999999999</v>
      </c>
      <c r="AC24" s="1">
        <v>5.0000000000000001E-3</v>
      </c>
      <c r="AD24" s="1">
        <v>0.9798</v>
      </c>
      <c r="AE24" s="1">
        <v>5.6022410000000002</v>
      </c>
      <c r="AF24" s="1">
        <v>0.1569255</v>
      </c>
      <c r="AG24" s="1">
        <v>7.5380000000000003E-2</v>
      </c>
      <c r="AH24" s="1">
        <v>4.4000000000000002E-4</v>
      </c>
      <c r="AI24" s="1">
        <v>-0.12407</v>
      </c>
      <c r="AJ24" s="1">
        <v>6.4799999999999996E-2</v>
      </c>
      <c r="AK24" s="1">
        <v>1.4E-3</v>
      </c>
      <c r="AL24" s="1">
        <v>8.1489999999999991</v>
      </c>
      <c r="AM24" s="1">
        <v>2.9000000000000001E-2</v>
      </c>
      <c r="AN24" s="1">
        <v>1064</v>
      </c>
      <c r="AO24" s="1">
        <v>19</v>
      </c>
      <c r="AP24" s="1">
        <v>1058</v>
      </c>
      <c r="AQ24" s="1">
        <v>28</v>
      </c>
      <c r="AR24" s="1">
        <v>1269</v>
      </c>
      <c r="AS24" s="1">
        <v>26</v>
      </c>
      <c r="AT24" s="1">
        <v>1078</v>
      </c>
      <c r="AU24" s="1">
        <v>12</v>
      </c>
      <c r="AV24" s="1">
        <v>23.740000000000002</v>
      </c>
      <c r="AW24" s="1">
        <v>0.45</v>
      </c>
      <c r="AX24" s="1">
        <v>3.0509999999999997</v>
      </c>
      <c r="AY24" s="1">
        <v>9.0000000000000011E-2</v>
      </c>
      <c r="AZ24" s="1">
        <v>16158.42</v>
      </c>
      <c r="BA24" s="1">
        <v>279.45000000000005</v>
      </c>
      <c r="BB24" s="1">
        <v>12370.32</v>
      </c>
      <c r="BC24" s="1">
        <v>229.77</v>
      </c>
      <c r="BD24" s="1">
        <v>164875.5</v>
      </c>
      <c r="BE24" s="1">
        <v>2918.7</v>
      </c>
      <c r="BF24" s="1">
        <v>3.2292000000000001</v>
      </c>
      <c r="BG24" s="1">
        <v>5.0301</v>
      </c>
      <c r="BH24" s="1">
        <f t="shared" si="6"/>
        <v>51057.692307692305</v>
      </c>
      <c r="BI24" s="1">
        <f t="shared" si="7"/>
        <v>79537.310285863699</v>
      </c>
      <c r="BJ24" s="27">
        <v>1061.9000000000001</v>
      </c>
      <c r="BK24" s="27">
        <v>20.9</v>
      </c>
      <c r="BL24" s="27">
        <v>1059.2</v>
      </c>
      <c r="BM24" s="27">
        <v>33.1</v>
      </c>
      <c r="BN24" s="27">
        <v>1067.5999999999999</v>
      </c>
      <c r="BO24" s="27">
        <v>53.6</v>
      </c>
      <c r="BP24" s="27">
        <v>1062.0999999999999</v>
      </c>
      <c r="BQ24" s="27">
        <v>20.9</v>
      </c>
      <c r="BR24" s="27">
        <v>0.23</v>
      </c>
    </row>
    <row r="25" spans="1:70" x14ac:dyDescent="0.2">
      <c r="A25" t="s">
        <v>470</v>
      </c>
      <c r="B25" t="s">
        <v>38</v>
      </c>
      <c r="C25" t="s">
        <v>471</v>
      </c>
      <c r="D25" t="s">
        <v>472</v>
      </c>
      <c r="E25">
        <v>83831</v>
      </c>
      <c r="F25">
        <v>52192</v>
      </c>
      <c r="G25" t="s">
        <v>472</v>
      </c>
      <c r="H25" s="1">
        <v>403</v>
      </c>
      <c r="I25" s="1">
        <v>8.61</v>
      </c>
      <c r="J25" s="10">
        <v>1.8660000000000001</v>
      </c>
      <c r="K25" s="10">
        <f t="shared" ca="1" si="0"/>
        <v>8.8276737592641027E-2</v>
      </c>
      <c r="L25" s="7">
        <v>0.17469999999999999</v>
      </c>
      <c r="M25" s="7">
        <f t="shared" ca="1" si="1"/>
        <v>7.4677999437585364E-3</v>
      </c>
      <c r="N25" s="7">
        <v>0.97980999999999996</v>
      </c>
      <c r="O25" s="8">
        <v>5.7240979999999997</v>
      </c>
      <c r="P25" s="8">
        <f t="shared" ca="1" si="2"/>
        <v>0.24468472401529603</v>
      </c>
      <c r="Q25" s="9">
        <v>7.7280000000000001E-2</v>
      </c>
      <c r="R25" s="9">
        <f t="shared" ca="1" si="3"/>
        <v>1.665316594524897E-3</v>
      </c>
      <c r="S25" s="8">
        <f t="shared" si="4"/>
        <v>0.42649928904118689</v>
      </c>
      <c r="T25" s="11">
        <v>6.8099999999999994E-2</v>
      </c>
      <c r="U25" s="11">
        <f t="shared" ca="1" si="5"/>
        <v>7.3276902227100175E-3</v>
      </c>
      <c r="V25" s="6" t="e">
        <f ca="1">IF(agePb6U8(1/O25)&lt;1400,age7corr(1/O25,Q25,$W$2),agePb76(Q25))</f>
        <v>#NAME?</v>
      </c>
      <c r="W25" s="6" t="e">
        <f ca="1">IF(agePb6U8(1/O25)&lt;1400,ageer7corr(V25,1/O25,P25/O25*(1/O25),Q25,R25,$W$2,0.05),ageerPb76(Q25,R25))</f>
        <v>#NAME?</v>
      </c>
      <c r="X25" s="4" t="e">
        <f ca="1">agePb6U8(L25)/agePb7u5(J25)</f>
        <v>#NAME?</v>
      </c>
      <c r="Y25" s="3"/>
      <c r="Z25" s="1">
        <v>1.8660000000000001</v>
      </c>
      <c r="AA25" s="1">
        <v>0.08</v>
      </c>
      <c r="AB25" s="1">
        <v>0.17469999999999999</v>
      </c>
      <c r="AC25" s="1">
        <v>6.6E-3</v>
      </c>
      <c r="AD25" s="1">
        <v>0.97980999999999996</v>
      </c>
      <c r="AE25" s="1">
        <v>5.7240979999999997</v>
      </c>
      <c r="AF25" s="1">
        <v>0.216251</v>
      </c>
      <c r="AG25" s="1">
        <v>7.7280000000000001E-2</v>
      </c>
      <c r="AH25" s="1">
        <v>6.2E-4</v>
      </c>
      <c r="AI25" s="1">
        <v>-0.47070000000000001</v>
      </c>
      <c r="AJ25" s="1">
        <v>6.8099999999999994E-2</v>
      </c>
      <c r="AK25" s="1">
        <v>7.1999999999999998E-3</v>
      </c>
      <c r="AL25" s="1">
        <v>138</v>
      </c>
      <c r="AM25" s="1">
        <v>12</v>
      </c>
      <c r="AN25" s="1">
        <v>1067</v>
      </c>
      <c r="AO25" s="1">
        <v>28</v>
      </c>
      <c r="AP25" s="1">
        <v>1038</v>
      </c>
      <c r="AQ25" s="1">
        <v>36</v>
      </c>
      <c r="AR25" s="1">
        <v>1330</v>
      </c>
      <c r="AS25" s="1">
        <v>140</v>
      </c>
      <c r="AT25" s="1">
        <v>1128</v>
      </c>
      <c r="AU25" s="1">
        <v>16</v>
      </c>
      <c r="AV25" s="1">
        <v>88</v>
      </c>
      <c r="AW25" s="1">
        <v>4.4000000000000004</v>
      </c>
      <c r="AX25" s="1">
        <v>0.68099999999999994</v>
      </c>
      <c r="AY25" s="1">
        <v>4.3999999999999997E-2</v>
      </c>
      <c r="AZ25" s="1">
        <v>3620.43</v>
      </c>
      <c r="BA25" s="1">
        <v>409.86</v>
      </c>
      <c r="BB25" s="1">
        <v>45891.9</v>
      </c>
      <c r="BC25" s="1">
        <v>1925.1</v>
      </c>
      <c r="BD25" s="1">
        <v>595539</v>
      </c>
      <c r="BE25" s="1">
        <v>23598</v>
      </c>
      <c r="BF25" s="1">
        <v>6.2099999999999991</v>
      </c>
      <c r="BG25" s="1">
        <v>6.2099999999999991</v>
      </c>
      <c r="BH25" s="1">
        <f t="shared" si="6"/>
        <v>95900.000000000015</v>
      </c>
      <c r="BI25" s="1">
        <f t="shared" si="7"/>
        <v>95975.257228100221</v>
      </c>
      <c r="BJ25" s="27">
        <v>1065.3</v>
      </c>
      <c r="BK25" s="27">
        <v>25.5</v>
      </c>
      <c r="BL25" s="27">
        <v>1038.5999999999999</v>
      </c>
      <c r="BM25" s="27">
        <v>40.200000000000003</v>
      </c>
      <c r="BN25" s="27">
        <v>1120.3</v>
      </c>
      <c r="BO25" s="27">
        <v>51.8</v>
      </c>
      <c r="BP25" s="27">
        <v>1072.3</v>
      </c>
      <c r="BQ25" s="27">
        <v>24.8</v>
      </c>
      <c r="BR25" s="27">
        <v>2.5</v>
      </c>
    </row>
    <row r="26" spans="1:70" x14ac:dyDescent="0.2">
      <c r="A26" t="s">
        <v>473</v>
      </c>
      <c r="B26" t="s">
        <v>38</v>
      </c>
      <c r="C26" t="s">
        <v>474</v>
      </c>
      <c r="D26" t="s">
        <v>475</v>
      </c>
      <c r="E26">
        <v>83903</v>
      </c>
      <c r="F26">
        <v>52388</v>
      </c>
      <c r="G26" t="s">
        <v>475</v>
      </c>
      <c r="H26" s="1">
        <v>244.5</v>
      </c>
      <c r="I26" s="1">
        <v>105.5</v>
      </c>
      <c r="J26" s="10">
        <v>1.8180000000000001</v>
      </c>
      <c r="K26" s="10">
        <f t="shared" ca="1" si="0"/>
        <v>5.6312073305819596E-2</v>
      </c>
      <c r="L26" s="7">
        <v>0.1729</v>
      </c>
      <c r="M26" s="7">
        <f t="shared" ca="1" si="1"/>
        <v>5.1378754364036503E-3</v>
      </c>
      <c r="N26" s="7">
        <v>0.98811000000000004</v>
      </c>
      <c r="O26" s="8">
        <v>5.78369</v>
      </c>
      <c r="P26" s="8">
        <f t="shared" ca="1" si="2"/>
        <v>0.17186745598061898</v>
      </c>
      <c r="Q26" s="9">
        <v>7.6240000000000002E-2</v>
      </c>
      <c r="R26" s="9">
        <f t="shared" ca="1" si="3"/>
        <v>1.5622467922834728E-3</v>
      </c>
      <c r="S26" s="8">
        <f t="shared" si="4"/>
        <v>0.41572047205188323</v>
      </c>
      <c r="T26" s="11">
        <v>6.4100000000000004E-2</v>
      </c>
      <c r="U26" s="11">
        <f t="shared" ca="1" si="5"/>
        <v>1.8257940738210321E-3</v>
      </c>
      <c r="V26" s="6" t="e">
        <f ca="1">IF(agePb6U8(1/O26)&lt;1400,age7corr(1/O26,Q26,$W$2),agePb76(Q26))</f>
        <v>#NAME?</v>
      </c>
      <c r="W26" s="6" t="e">
        <f ca="1">IF(agePb6U8(1/O26)&lt;1400,ageer7corr(V26,1/O26,P26/O26*(1/O26),Q26,R26,$W$2,0.05),ageerPb76(Q26,R26))</f>
        <v>#NAME?</v>
      </c>
      <c r="X26" s="4" t="e">
        <f ca="1">agePb6U8(L26)/agePb7u5(J26)</f>
        <v>#NAME?</v>
      </c>
      <c r="Y26" s="3"/>
      <c r="Z26" s="1">
        <v>1.8180000000000001</v>
      </c>
      <c r="AA26" s="1">
        <v>4.2999999999999997E-2</v>
      </c>
      <c r="AB26" s="1">
        <v>0.1729</v>
      </c>
      <c r="AC26" s="1">
        <v>3.8E-3</v>
      </c>
      <c r="AD26" s="1">
        <v>0.98811000000000004</v>
      </c>
      <c r="AE26" s="1">
        <v>5.78369</v>
      </c>
      <c r="AF26" s="1">
        <v>0.12711410000000001</v>
      </c>
      <c r="AG26" s="1">
        <v>7.6240000000000002E-2</v>
      </c>
      <c r="AH26" s="1">
        <v>3.4000000000000002E-4</v>
      </c>
      <c r="AI26" s="1">
        <v>-0.37528</v>
      </c>
      <c r="AJ26" s="1">
        <v>6.4100000000000004E-2</v>
      </c>
      <c r="AK26" s="1">
        <v>1.2999999999999999E-3</v>
      </c>
      <c r="AL26" s="1">
        <v>6.6639999999999997</v>
      </c>
      <c r="AM26" s="1">
        <v>2.4E-2</v>
      </c>
      <c r="AN26" s="1">
        <v>1051</v>
      </c>
      <c r="AO26" s="1">
        <v>15</v>
      </c>
      <c r="AP26" s="1">
        <v>1028</v>
      </c>
      <c r="AQ26" s="1">
        <v>21</v>
      </c>
      <c r="AR26" s="1">
        <v>1256</v>
      </c>
      <c r="AS26" s="1">
        <v>25</v>
      </c>
      <c r="AT26" s="1">
        <v>1101.0999999999999</v>
      </c>
      <c r="AU26" s="1">
        <v>9</v>
      </c>
      <c r="AV26" s="1">
        <v>53.3</v>
      </c>
      <c r="AW26" s="1">
        <v>1.1000000000000001</v>
      </c>
      <c r="AX26" s="1">
        <v>8.33</v>
      </c>
      <c r="AY26" s="1">
        <v>0.13999999999999999</v>
      </c>
      <c r="AZ26" s="1">
        <v>43345.8</v>
      </c>
      <c r="BA26" s="1">
        <v>807.3</v>
      </c>
      <c r="BB26" s="1">
        <v>27398.52</v>
      </c>
      <c r="BC26" s="1">
        <v>552.68999999999994</v>
      </c>
      <c r="BD26" s="1">
        <v>360801.00000000006</v>
      </c>
      <c r="BE26" s="1">
        <v>6210</v>
      </c>
      <c r="BF26" s="1">
        <v>4.968</v>
      </c>
      <c r="BG26" s="1">
        <v>5.2784999999999993</v>
      </c>
      <c r="BH26" s="1">
        <f t="shared" si="6"/>
        <v>72625.000000000015</v>
      </c>
      <c r="BI26" s="1">
        <f t="shared" si="7"/>
        <v>77174.186367618444</v>
      </c>
      <c r="BJ26" s="27">
        <v>1049.9000000000001</v>
      </c>
      <c r="BK26" s="27">
        <v>19.7</v>
      </c>
      <c r="BL26" s="27">
        <v>1028.7</v>
      </c>
      <c r="BM26" s="27">
        <v>28</v>
      </c>
      <c r="BN26" s="27">
        <v>1094.2</v>
      </c>
      <c r="BO26" s="27">
        <v>52.7</v>
      </c>
      <c r="BP26" s="27">
        <v>1047.5</v>
      </c>
      <c r="BQ26" s="27">
        <v>19.7</v>
      </c>
      <c r="BR26" s="27">
        <v>1.8</v>
      </c>
    </row>
    <row r="27" spans="1:70" s="23" customFormat="1" x14ac:dyDescent="0.2">
      <c r="A27" s="23" t="s">
        <v>479</v>
      </c>
      <c r="B27" s="23" t="s">
        <v>38</v>
      </c>
      <c r="C27" s="23" t="s">
        <v>480</v>
      </c>
      <c r="D27" s="23" t="s">
        <v>481</v>
      </c>
      <c r="E27" s="23">
        <v>83786</v>
      </c>
      <c r="F27" s="23">
        <v>53190</v>
      </c>
      <c r="G27" s="23" t="s">
        <v>481</v>
      </c>
      <c r="H27" s="24">
        <v>88.9</v>
      </c>
      <c r="I27" s="24">
        <v>25.02</v>
      </c>
      <c r="J27" s="25">
        <v>2.97</v>
      </c>
      <c r="K27" s="25">
        <f t="shared" ca="1" si="0"/>
        <v>0.12501343927754327</v>
      </c>
      <c r="L27" s="26">
        <v>0.2077</v>
      </c>
      <c r="M27" s="26">
        <f t="shared" ca="1" si="1"/>
        <v>8.5735474571498119E-3</v>
      </c>
      <c r="N27" s="26">
        <v>0.98621000000000003</v>
      </c>
      <c r="O27" s="26">
        <v>4.8146360000000001</v>
      </c>
      <c r="P27" s="26">
        <f t="shared" ca="1" si="2"/>
        <v>0.19874100742966558</v>
      </c>
      <c r="Q27" s="25">
        <v>0.10363</v>
      </c>
      <c r="R27" s="25">
        <f t="shared" ca="1" si="3"/>
        <v>2.1071475411085956E-3</v>
      </c>
      <c r="S27" s="26">
        <f t="shared" si="4"/>
        <v>0.37773431583820027</v>
      </c>
      <c r="T27" s="25">
        <v>0.12540000000000001</v>
      </c>
      <c r="U27" s="25">
        <f t="shared" ca="1" si="5"/>
        <v>5.1517049604960872E-3</v>
      </c>
      <c r="V27" s="24" t="e">
        <f ca="1">IF(agePb6U8(1/O27)&lt;1400,age7corr(1/O27,Q27,$W$2),agePb76(Q27))</f>
        <v>#NAME?</v>
      </c>
      <c r="W27" s="24" t="e">
        <f ca="1">IF(agePb6U8(1/O27)&lt;1400,ageer7corr(V27,1/O27,P27/O27*(1/O27),Q27,R27,$W$2,0.05),ageerPb76(Q27,R27))</f>
        <v>#NAME?</v>
      </c>
      <c r="X27" s="26" t="e">
        <f ca="1">agePb6U8(L27)/agePb7u5(J27)</f>
        <v>#NAME?</v>
      </c>
      <c r="Y27" s="24"/>
      <c r="Z27" s="24">
        <v>2.97</v>
      </c>
      <c r="AA27" s="24">
        <v>0.11</v>
      </c>
      <c r="AB27" s="24">
        <v>0.2077</v>
      </c>
      <c r="AC27" s="24">
        <v>7.4999999999999997E-3</v>
      </c>
      <c r="AD27" s="24">
        <v>0.98621000000000003</v>
      </c>
      <c r="AE27" s="24">
        <v>4.8146360000000001</v>
      </c>
      <c r="AF27" s="24">
        <v>0.17385539999999999</v>
      </c>
      <c r="AG27" s="24">
        <v>0.10363</v>
      </c>
      <c r="AH27" s="24">
        <v>3.8000000000000002E-4</v>
      </c>
      <c r="AI27" s="24">
        <v>-9.7160999999999997E-2</v>
      </c>
      <c r="AJ27" s="24">
        <v>0.12540000000000001</v>
      </c>
      <c r="AK27" s="24">
        <v>4.4999999999999997E-3</v>
      </c>
      <c r="AL27" s="24">
        <v>6.2489999999999997</v>
      </c>
      <c r="AM27" s="24">
        <v>5.8999999999999997E-2</v>
      </c>
      <c r="AN27" s="24">
        <v>1398</v>
      </c>
      <c r="AO27" s="24">
        <v>28</v>
      </c>
      <c r="AP27" s="24">
        <v>1216</v>
      </c>
      <c r="AQ27" s="24">
        <v>40</v>
      </c>
      <c r="AR27" s="24">
        <v>2388</v>
      </c>
      <c r="AS27" s="24">
        <v>80</v>
      </c>
      <c r="AT27" s="24">
        <v>1695</v>
      </c>
      <c r="AU27" s="24">
        <v>9.1999999999999993</v>
      </c>
      <c r="AV27" s="24">
        <v>19.369999999999997</v>
      </c>
      <c r="AW27" s="24">
        <v>0.62</v>
      </c>
      <c r="AX27" s="24">
        <v>1.976</v>
      </c>
      <c r="AY27" s="24">
        <v>5.2999999999999999E-2</v>
      </c>
      <c r="AZ27" s="24">
        <v>19878.21</v>
      </c>
      <c r="BA27" s="24">
        <v>447.12</v>
      </c>
      <c r="BB27" s="24">
        <v>15978.330000000002</v>
      </c>
      <c r="BC27" s="24">
        <v>434.7</v>
      </c>
      <c r="BD27" s="24">
        <v>153573.29999999999</v>
      </c>
      <c r="BE27" s="24">
        <v>3539.7000000000003</v>
      </c>
      <c r="BF27" s="24">
        <v>287.52299999999997</v>
      </c>
      <c r="BG27" s="24">
        <v>15.525</v>
      </c>
      <c r="BH27" s="24">
        <f t="shared" si="6"/>
        <v>534.12526997840178</v>
      </c>
      <c r="BI27" s="24">
        <f t="shared" si="7"/>
        <v>31.358142052185077</v>
      </c>
      <c r="BJ27" s="27">
        <v>1402.5</v>
      </c>
      <c r="BK27" s="27">
        <v>29.4</v>
      </c>
      <c r="BL27" s="27">
        <v>1217.5999999999999</v>
      </c>
      <c r="BM27" s="27">
        <v>46.1</v>
      </c>
      <c r="BN27" s="27">
        <v>1695.9</v>
      </c>
      <c r="BO27" s="27">
        <v>35.4</v>
      </c>
      <c r="BP27" s="27">
        <v>1516.3</v>
      </c>
      <c r="BQ27" s="27">
        <v>23.8</v>
      </c>
      <c r="BR27" s="27">
        <v>17</v>
      </c>
    </row>
    <row r="28" spans="1:70" x14ac:dyDescent="0.2">
      <c r="A28" t="s">
        <v>488</v>
      </c>
      <c r="B28" t="s">
        <v>38</v>
      </c>
      <c r="C28" t="s">
        <v>489</v>
      </c>
      <c r="D28" t="s">
        <v>490</v>
      </c>
      <c r="E28">
        <v>83844</v>
      </c>
      <c r="F28">
        <v>53296</v>
      </c>
      <c r="G28" t="s">
        <v>490</v>
      </c>
      <c r="H28" s="1">
        <v>239</v>
      </c>
      <c r="I28" s="1">
        <v>26.2</v>
      </c>
      <c r="J28" s="10">
        <v>3.14</v>
      </c>
      <c r="K28" s="10">
        <f t="shared" ca="1" si="0"/>
        <v>0.12666428067928226</v>
      </c>
      <c r="L28" s="7">
        <v>0.2346</v>
      </c>
      <c r="M28" s="7">
        <f t="shared" ca="1" si="1"/>
        <v>9.2744198740406392E-3</v>
      </c>
      <c r="N28" s="7">
        <v>0.97921000000000002</v>
      </c>
      <c r="O28" s="8">
        <v>4.262575</v>
      </c>
      <c r="P28" s="8">
        <f t="shared" ca="1" si="2"/>
        <v>0.16851193489465363</v>
      </c>
      <c r="Q28" s="9">
        <v>9.7040000000000001E-2</v>
      </c>
      <c r="R28" s="9">
        <f t="shared" ca="1" si="3"/>
        <v>2.0256121642604737E-3</v>
      </c>
      <c r="S28" s="8">
        <f t="shared" si="4"/>
        <v>0.47107016013027708</v>
      </c>
      <c r="T28" s="11">
        <v>0.1186</v>
      </c>
      <c r="U28" s="11">
        <f t="shared" ca="1" si="5"/>
        <v>5.3540997375842742E-3</v>
      </c>
      <c r="V28" s="6" t="e">
        <f ca="1">IF(agePb6U8(1/O28)&lt;1400,age7corr(1/O28,Q28,$W$2),agePb76(Q28))</f>
        <v>#NAME?</v>
      </c>
      <c r="W28" s="6" t="e">
        <f ca="1">IF(agePb6U8(1/O28)&lt;1400,ageer7corr(V28,1/O28,P28/O28*(1/O28),Q28,R28,$W$2,0.05),ageerPb76(Q28,R28))</f>
        <v>#NAME?</v>
      </c>
      <c r="X28" s="4" t="e">
        <f ca="1">agePb6U8(L28)/agePb7u5(J28)</f>
        <v>#NAME?</v>
      </c>
      <c r="Y28" s="3"/>
      <c r="Z28" s="1">
        <v>3.14</v>
      </c>
      <c r="AA28" s="1">
        <v>0.11</v>
      </c>
      <c r="AB28" s="1">
        <v>0.2346</v>
      </c>
      <c r="AC28" s="1">
        <v>8.0000000000000002E-3</v>
      </c>
      <c r="AD28" s="1">
        <v>0.97921000000000002</v>
      </c>
      <c r="AE28" s="1">
        <v>4.262575</v>
      </c>
      <c r="AF28" s="1">
        <v>0.14535629999999999</v>
      </c>
      <c r="AG28" s="1">
        <v>9.7040000000000001E-2</v>
      </c>
      <c r="AH28" s="1">
        <v>5.8E-4</v>
      </c>
      <c r="AI28" s="1">
        <v>-2.2651999999999999E-2</v>
      </c>
      <c r="AJ28" s="1">
        <v>0.1186</v>
      </c>
      <c r="AK28" s="1">
        <v>4.7999999999999996E-3</v>
      </c>
      <c r="AL28" s="1">
        <v>21.1</v>
      </c>
      <c r="AM28" s="1">
        <v>4.5</v>
      </c>
      <c r="AN28" s="1">
        <v>1441</v>
      </c>
      <c r="AO28" s="1">
        <v>27</v>
      </c>
      <c r="AP28" s="1">
        <v>1358</v>
      </c>
      <c r="AQ28" s="1">
        <v>42</v>
      </c>
      <c r="AR28" s="1">
        <v>2265</v>
      </c>
      <c r="AS28" s="1">
        <v>87</v>
      </c>
      <c r="AT28" s="1">
        <v>1568</v>
      </c>
      <c r="AU28" s="1">
        <v>11</v>
      </c>
      <c r="AV28" s="1">
        <v>52.1</v>
      </c>
      <c r="AW28" s="1">
        <v>7.3</v>
      </c>
      <c r="AX28" s="1">
        <v>2.0699999999999998</v>
      </c>
      <c r="AY28" s="1">
        <v>0.24000000000000002</v>
      </c>
      <c r="AZ28" s="1">
        <v>19623.599999999999</v>
      </c>
      <c r="BA28" s="1">
        <v>1800.9</v>
      </c>
      <c r="BB28" s="1">
        <v>44028.899999999994</v>
      </c>
      <c r="BC28" s="1">
        <v>5464.7999999999993</v>
      </c>
      <c r="BD28" s="1">
        <v>468234</v>
      </c>
      <c r="BE28" s="1">
        <v>58374</v>
      </c>
      <c r="BF28" s="1">
        <v>6.7067999999999994</v>
      </c>
      <c r="BG28" s="1">
        <v>5.1543000000000001</v>
      </c>
      <c r="BH28" s="1">
        <f t="shared" si="6"/>
        <v>69814.814814814818</v>
      </c>
      <c r="BI28" s="1">
        <f t="shared" si="7"/>
        <v>54355.347657612372</v>
      </c>
      <c r="BJ28" s="27">
        <v>1442.1</v>
      </c>
      <c r="BK28" s="27">
        <v>27.2</v>
      </c>
      <c r="BL28" s="27">
        <v>1359.3</v>
      </c>
      <c r="BM28" s="27">
        <v>48.9</v>
      </c>
      <c r="BN28" s="27">
        <v>1566.4</v>
      </c>
      <c r="BO28" s="27">
        <v>38.6</v>
      </c>
      <c r="BP28" s="27">
        <v>1481.3</v>
      </c>
      <c r="BQ28" s="27">
        <v>22.8</v>
      </c>
      <c r="BR28" s="27">
        <v>6.7</v>
      </c>
    </row>
    <row r="29" spans="1:70" x14ac:dyDescent="0.2">
      <c r="A29" t="s">
        <v>491</v>
      </c>
      <c r="B29" t="s">
        <v>38</v>
      </c>
      <c r="C29" t="s">
        <v>492</v>
      </c>
      <c r="D29" t="s">
        <v>493</v>
      </c>
      <c r="E29">
        <v>83883</v>
      </c>
      <c r="F29">
        <v>53481</v>
      </c>
      <c r="G29" t="s">
        <v>493</v>
      </c>
      <c r="H29" s="1">
        <v>199</v>
      </c>
      <c r="I29" s="1">
        <v>80.3</v>
      </c>
      <c r="J29" s="10">
        <v>8.23</v>
      </c>
      <c r="K29" s="10">
        <f t="shared" ca="1" si="0"/>
        <v>0.55497131457400561</v>
      </c>
      <c r="L29" s="7">
        <v>0.38900000000000001</v>
      </c>
      <c r="M29" s="7">
        <f t="shared" ca="1" si="1"/>
        <v>2.3335132311602606E-2</v>
      </c>
      <c r="N29" s="7">
        <v>0.99495</v>
      </c>
      <c r="O29" s="8">
        <v>2.570694</v>
      </c>
      <c r="P29" s="8">
        <f t="shared" ca="1" si="2"/>
        <v>0.1542094785813907</v>
      </c>
      <c r="Q29" s="9">
        <v>0.1535</v>
      </c>
      <c r="R29" s="9">
        <f t="shared" ca="1" si="3"/>
        <v>3.4168552793467852E-3</v>
      </c>
      <c r="S29" s="8">
        <f t="shared" si="4"/>
        <v>0.32301700093396635</v>
      </c>
      <c r="T29" s="11">
        <v>0.16569999999999999</v>
      </c>
      <c r="U29" s="11">
        <f t="shared" ca="1" si="5"/>
        <v>4.5379065658076303E-3</v>
      </c>
      <c r="V29" s="6" t="e">
        <f ca="1">IF(agePb6U8(1/O29)&lt;1400,age7corr(1/O29,Q29,$W$2),agePb76(Q29))</f>
        <v>#NAME?</v>
      </c>
      <c r="W29" s="6" t="e">
        <f ca="1">IF(agePb6U8(1/O29)&lt;1400,ageer7corr(V29,1/O29,P29/O29*(1/O29),Q29,R29,$W$2,0.05),ageerPb76(Q29,R29))</f>
        <v>#NAME?</v>
      </c>
      <c r="X29" s="4" t="e">
        <f ca="1">agePb6U8(L29)/agePb7u5(J29)</f>
        <v>#NAME?</v>
      </c>
      <c r="Y29" s="3"/>
      <c r="Z29" s="1">
        <v>8.23</v>
      </c>
      <c r="AA29" s="1">
        <v>0.53</v>
      </c>
      <c r="AB29" s="1">
        <v>0.38900000000000001</v>
      </c>
      <c r="AC29" s="1">
        <v>2.1999999999999999E-2</v>
      </c>
      <c r="AD29" s="1">
        <v>0.99495</v>
      </c>
      <c r="AE29" s="1">
        <v>2.570694</v>
      </c>
      <c r="AF29" s="1">
        <v>0.1453863</v>
      </c>
      <c r="AG29" s="1">
        <v>0.1535</v>
      </c>
      <c r="AH29" s="1">
        <v>1.5E-3</v>
      </c>
      <c r="AI29" s="1">
        <v>-0.79366999999999999</v>
      </c>
      <c r="AJ29" s="1">
        <v>0.16569999999999999</v>
      </c>
      <c r="AK29" s="1">
        <v>3.0999999999999999E-3</v>
      </c>
      <c r="AL29" s="1">
        <v>6.17</v>
      </c>
      <c r="AM29" s="1">
        <v>0.56999999999999995</v>
      </c>
      <c r="AN29" s="1">
        <v>2262</v>
      </c>
      <c r="AO29" s="1">
        <v>56</v>
      </c>
      <c r="AP29" s="1">
        <v>2110</v>
      </c>
      <c r="AQ29" s="1">
        <v>100</v>
      </c>
      <c r="AR29" s="1">
        <v>3098</v>
      </c>
      <c r="AS29" s="1">
        <v>53</v>
      </c>
      <c r="AT29" s="1">
        <v>2385</v>
      </c>
      <c r="AU29" s="1">
        <v>17</v>
      </c>
      <c r="AV29" s="1">
        <v>43.3</v>
      </c>
      <c r="AW29" s="1">
        <v>3.6</v>
      </c>
      <c r="AX29" s="1">
        <v>6.34</v>
      </c>
      <c r="AY29" s="1">
        <v>0.63</v>
      </c>
      <c r="AZ29" s="1">
        <v>85077</v>
      </c>
      <c r="BA29" s="1">
        <v>6210</v>
      </c>
      <c r="BB29" s="1">
        <v>101036.7</v>
      </c>
      <c r="BC29" s="1">
        <v>2980.8</v>
      </c>
      <c r="BD29" s="1">
        <v>662607</v>
      </c>
      <c r="BE29" s="1">
        <v>24840</v>
      </c>
      <c r="BF29" s="1">
        <v>11.799000000000001</v>
      </c>
      <c r="BG29" s="1">
        <v>6.2099999999999991</v>
      </c>
      <c r="BH29" s="1">
        <f t="shared" si="6"/>
        <v>56157.8947368421</v>
      </c>
      <c r="BI29" s="1">
        <f t="shared" si="7"/>
        <v>29631.668417525183</v>
      </c>
      <c r="BJ29" s="27">
        <v>2259.8000000000002</v>
      </c>
      <c r="BK29" s="27">
        <v>50.1</v>
      </c>
      <c r="BL29" s="27">
        <v>2118.6999999999998</v>
      </c>
      <c r="BM29" s="27">
        <v>105.4</v>
      </c>
      <c r="BN29" s="27">
        <v>2390.1</v>
      </c>
      <c r="BO29" s="27">
        <v>33.200000000000003</v>
      </c>
      <c r="BP29" s="27">
        <v>2352.1</v>
      </c>
      <c r="BQ29" s="27">
        <v>25.9</v>
      </c>
      <c r="BR29" s="27">
        <v>9.3000000000000007</v>
      </c>
    </row>
    <row r="30" spans="1:70" x14ac:dyDescent="0.2">
      <c r="A30" t="s">
        <v>395</v>
      </c>
      <c r="B30" t="s">
        <v>38</v>
      </c>
      <c r="C30" t="s">
        <v>396</v>
      </c>
      <c r="D30" t="s">
        <v>397</v>
      </c>
      <c r="E30">
        <v>83794</v>
      </c>
      <c r="F30">
        <v>48219</v>
      </c>
      <c r="G30" t="s">
        <v>397</v>
      </c>
      <c r="H30" s="1">
        <v>150.6</v>
      </c>
      <c r="I30" s="1">
        <v>28.7</v>
      </c>
      <c r="J30" s="10">
        <v>2.17</v>
      </c>
      <c r="K30" s="10">
        <f t="shared" ca="1" si="0"/>
        <v>7.0061116177234858E-2</v>
      </c>
      <c r="L30" s="7">
        <v>0.1976</v>
      </c>
      <c r="M30" s="7">
        <f t="shared" ca="1" si="1"/>
        <v>6.0645118517486628E-3</v>
      </c>
      <c r="N30" s="7">
        <v>0.98453000000000002</v>
      </c>
      <c r="O30" s="8">
        <v>5.0607290000000003</v>
      </c>
      <c r="P30" s="8">
        <f t="shared" ca="1" si="2"/>
        <v>0.15531807723129462</v>
      </c>
      <c r="Q30" s="9">
        <v>7.9369999999999996E-2</v>
      </c>
      <c r="R30" s="9">
        <f t="shared" ca="1" si="3"/>
        <v>1.634606607107655E-3</v>
      </c>
      <c r="S30" s="8">
        <f t="shared" si="4"/>
        <v>0.4591993803389674</v>
      </c>
      <c r="T30" s="11">
        <v>6.8599999999999994E-2</v>
      </c>
      <c r="U30" s="11">
        <f t="shared" ca="1" si="5"/>
        <v>2.5927560625712558E-3</v>
      </c>
      <c r="V30" s="6" t="e">
        <f ca="1">IF(agePb6U8(1/O30)&lt;1400,age7corr(1/O30,Q30,$W$2),agePb76(Q30))</f>
        <v>#NAME?</v>
      </c>
      <c r="W30" s="6" t="e">
        <f ca="1">IF(agePb6U8(1/O30)&lt;1400,ageer7corr(V30,1/O30,P30/O30*(1/O30),Q30,R30,$W$2,0.05),ageerPb76(Q30,R30))</f>
        <v>#NAME?</v>
      </c>
      <c r="X30" s="4" t="e">
        <f ca="1">agePb6U8(L30)/agePb7u5(J30)</f>
        <v>#NAME?</v>
      </c>
      <c r="Y30" s="3"/>
      <c r="Z30" s="1">
        <v>2.17</v>
      </c>
      <c r="AA30" s="1">
        <v>5.5E-2</v>
      </c>
      <c r="AB30" s="1">
        <v>0.1976</v>
      </c>
      <c r="AC30" s="1">
        <v>4.5999999999999999E-3</v>
      </c>
      <c r="AD30" s="1">
        <v>0.98453000000000002</v>
      </c>
      <c r="AE30" s="1">
        <v>5.0607290000000003</v>
      </c>
      <c r="AF30" s="1">
        <v>0.1178105</v>
      </c>
      <c r="AG30" s="1">
        <v>7.9369999999999996E-2</v>
      </c>
      <c r="AH30" s="1">
        <v>3.8999999999999999E-4</v>
      </c>
      <c r="AI30" s="1">
        <v>-0.38145000000000001</v>
      </c>
      <c r="AJ30" s="1">
        <v>6.8599999999999994E-2</v>
      </c>
      <c r="AK30" s="1">
        <v>2.2000000000000001E-3</v>
      </c>
      <c r="AL30" s="1">
        <v>16.170000000000002</v>
      </c>
      <c r="AM30" s="1">
        <v>0.59</v>
      </c>
      <c r="AN30" s="1">
        <v>1171</v>
      </c>
      <c r="AO30" s="1">
        <v>17</v>
      </c>
      <c r="AP30" s="1">
        <v>1162</v>
      </c>
      <c r="AQ30" s="1">
        <v>25</v>
      </c>
      <c r="AR30" s="1">
        <v>1341</v>
      </c>
      <c r="AS30" s="1">
        <v>41</v>
      </c>
      <c r="AT30" s="1">
        <v>1181.2</v>
      </c>
      <c r="AU30" s="1">
        <v>9.6999999999999993</v>
      </c>
      <c r="AV30" s="1">
        <v>32.919999999999995</v>
      </c>
      <c r="AW30" s="1">
        <v>0.99</v>
      </c>
      <c r="AX30" s="1">
        <v>2.2690000000000001</v>
      </c>
      <c r="AY30" s="1">
        <v>9.4E-2</v>
      </c>
      <c r="AZ30" s="1">
        <v>12730.5</v>
      </c>
      <c r="BA30" s="1">
        <v>807.3</v>
      </c>
      <c r="BB30" s="1">
        <v>19983.780000000002</v>
      </c>
      <c r="BC30" s="1">
        <v>571.31999999999994</v>
      </c>
      <c r="BD30" s="1">
        <v>252746.99999999997</v>
      </c>
      <c r="BE30" s="1">
        <v>6831</v>
      </c>
      <c r="BF30" s="1">
        <v>-4.1607000000000003</v>
      </c>
      <c r="BG30" s="1">
        <v>5.6510999999999996</v>
      </c>
      <c r="BH30" s="1">
        <f t="shared" si="6"/>
        <v>-60746.268656716406</v>
      </c>
      <c r="BI30" s="1">
        <f t="shared" si="7"/>
        <v>-82522.459485594867</v>
      </c>
      <c r="BJ30" s="27">
        <v>1165.5999999999999</v>
      </c>
      <c r="BK30" s="27">
        <v>20.8</v>
      </c>
      <c r="BL30" s="27">
        <v>1162.5999999999999</v>
      </c>
      <c r="BM30" s="27">
        <v>33.6</v>
      </c>
      <c r="BN30" s="27">
        <v>1171.2</v>
      </c>
      <c r="BO30" s="27">
        <v>50.1</v>
      </c>
      <c r="BP30" s="27">
        <v>1165.8</v>
      </c>
      <c r="BQ30" s="27">
        <v>20.8</v>
      </c>
      <c r="BR30" s="27">
        <v>0.24</v>
      </c>
    </row>
    <row r="31" spans="1:70" s="23" customFormat="1" x14ac:dyDescent="0.2">
      <c r="A31" s="23" t="s">
        <v>494</v>
      </c>
      <c r="B31" s="23" t="s">
        <v>38</v>
      </c>
      <c r="C31" s="23" t="s">
        <v>495</v>
      </c>
      <c r="D31" s="23" t="s">
        <v>496</v>
      </c>
      <c r="E31" s="23">
        <v>83873</v>
      </c>
      <c r="F31" s="23">
        <v>53601</v>
      </c>
      <c r="G31" s="23" t="s">
        <v>496</v>
      </c>
      <c r="H31" s="24">
        <v>264</v>
      </c>
      <c r="I31" s="24">
        <v>127.3</v>
      </c>
      <c r="J31" s="25">
        <v>12.76</v>
      </c>
      <c r="K31" s="25">
        <f t="shared" ca="1" si="0"/>
        <v>0.46607621694310902</v>
      </c>
      <c r="L31" s="26">
        <v>0.44500000000000001</v>
      </c>
      <c r="M31" s="26">
        <f t="shared" ca="1" si="1"/>
        <v>1.6589454481688058E-2</v>
      </c>
      <c r="N31" s="26">
        <v>0.97280999999999995</v>
      </c>
      <c r="O31" s="26">
        <v>2.2471909999999999</v>
      </c>
      <c r="P31" s="26">
        <f t="shared" ca="1" si="2"/>
        <v>8.3774542407893809E-2</v>
      </c>
      <c r="Q31" s="25">
        <v>0.2074</v>
      </c>
      <c r="R31" s="25">
        <f t="shared" ca="1" si="3"/>
        <v>4.3778880753166816E-3</v>
      </c>
      <c r="S31" s="26">
        <f t="shared" si="4"/>
        <v>0.36290622457458416</v>
      </c>
      <c r="T31" s="25">
        <v>0.1961</v>
      </c>
      <c r="U31" s="25">
        <f t="shared" ca="1" si="5"/>
        <v>6.2763113370832716E-3</v>
      </c>
      <c r="V31" s="24" t="e">
        <f ca="1">IF(agePb6U8(1/O31)&lt;1400,age7corr(1/O31,Q31,$W$2),agePb76(Q31))</f>
        <v>#NAME?</v>
      </c>
      <c r="W31" s="24" t="e">
        <f ca="1">IF(agePb6U8(1/O31)&lt;1400,ageer7corr(V31,1/O31,P31/O31*(1/O31),Q31,R31,$W$2,0.05),ageerPb76(Q31,R31))</f>
        <v>#NAME?</v>
      </c>
      <c r="X31" s="26" t="e">
        <f ca="1">agePb6U8(L31)/agePb7u5(J31)</f>
        <v>#NAME?</v>
      </c>
      <c r="Y31" s="24"/>
      <c r="Z31" s="24">
        <v>12.76</v>
      </c>
      <c r="AA31" s="24">
        <v>0.39</v>
      </c>
      <c r="AB31" s="24">
        <v>0.44500000000000001</v>
      </c>
      <c r="AC31" s="24">
        <v>1.4E-2</v>
      </c>
      <c r="AD31" s="24">
        <v>0.97280999999999995</v>
      </c>
      <c r="AE31" s="24">
        <v>2.2471909999999999</v>
      </c>
      <c r="AF31" s="24">
        <v>7.0698140000000007E-2</v>
      </c>
      <c r="AG31" s="24">
        <v>0.2074</v>
      </c>
      <c r="AH31" s="24">
        <v>1.4E-3</v>
      </c>
      <c r="AI31" s="24">
        <v>0.15634999999999999</v>
      </c>
      <c r="AJ31" s="24">
        <v>0.1961</v>
      </c>
      <c r="AK31" s="24">
        <v>4.8999999999999998E-3</v>
      </c>
      <c r="AL31" s="24">
        <v>4.9400000000000004</v>
      </c>
      <c r="AM31" s="24">
        <v>0.21</v>
      </c>
      <c r="AN31" s="24">
        <v>2660</v>
      </c>
      <c r="AO31" s="24">
        <v>29</v>
      </c>
      <c r="AP31" s="24">
        <v>2372</v>
      </c>
      <c r="AQ31" s="24">
        <v>63</v>
      </c>
      <c r="AR31" s="24">
        <v>3619</v>
      </c>
      <c r="AS31" s="24">
        <v>83</v>
      </c>
      <c r="AT31" s="24">
        <v>2885</v>
      </c>
      <c r="AU31" s="24">
        <v>11</v>
      </c>
      <c r="AV31" s="24">
        <v>57.6</v>
      </c>
      <c r="AW31" s="24">
        <v>4.3</v>
      </c>
      <c r="AX31" s="24">
        <v>10.059999999999999</v>
      </c>
      <c r="AY31" s="24">
        <v>0.25999999999999995</v>
      </c>
      <c r="AZ31" s="24">
        <v>159348.6</v>
      </c>
      <c r="BA31" s="24">
        <v>3167.1</v>
      </c>
      <c r="BB31" s="24">
        <v>203067</v>
      </c>
      <c r="BC31" s="24">
        <v>9936</v>
      </c>
      <c r="BD31" s="24">
        <v>991116</v>
      </c>
      <c r="BE31" s="24">
        <v>45954</v>
      </c>
      <c r="BF31" s="24">
        <v>621</v>
      </c>
      <c r="BG31" s="24">
        <v>25.460999999999999</v>
      </c>
      <c r="BH31" s="24">
        <f t="shared" si="6"/>
        <v>1596</v>
      </c>
      <c r="BI31" s="24">
        <f t="shared" si="7"/>
        <v>98.781932032128211</v>
      </c>
      <c r="BJ31" s="27">
        <v>2656.1</v>
      </c>
      <c r="BK31" s="27">
        <v>31.8</v>
      </c>
      <c r="BL31" s="27">
        <v>2370.5</v>
      </c>
      <c r="BM31" s="27">
        <v>70.5</v>
      </c>
      <c r="BN31" s="27">
        <v>2881.5</v>
      </c>
      <c r="BO31" s="27">
        <v>31.4</v>
      </c>
      <c r="BP31" s="27">
        <v>2771.5</v>
      </c>
      <c r="BQ31" s="27">
        <v>23</v>
      </c>
      <c r="BR31" s="27">
        <v>13</v>
      </c>
    </row>
    <row r="32" spans="1:70" x14ac:dyDescent="0.2">
      <c r="A32" t="s">
        <v>497</v>
      </c>
      <c r="B32" t="s">
        <v>38</v>
      </c>
      <c r="C32" t="s">
        <v>498</v>
      </c>
      <c r="D32" t="s">
        <v>499</v>
      </c>
      <c r="E32">
        <v>83771</v>
      </c>
      <c r="F32">
        <v>53773</v>
      </c>
      <c r="G32" t="s">
        <v>499</v>
      </c>
      <c r="H32" s="1">
        <v>57.8</v>
      </c>
      <c r="I32" s="1">
        <v>67</v>
      </c>
      <c r="J32" s="10">
        <v>5.28</v>
      </c>
      <c r="K32" s="10">
        <f t="shared" ca="1" si="0"/>
        <v>0.22616666421026774</v>
      </c>
      <c r="L32" s="7">
        <v>0.32900000000000001</v>
      </c>
      <c r="M32" s="7">
        <f t="shared" ca="1" si="1"/>
        <v>1.3685627497488013E-2</v>
      </c>
      <c r="N32" s="7">
        <v>0.99578999999999995</v>
      </c>
      <c r="O32" s="8">
        <v>3.039514</v>
      </c>
      <c r="P32" s="8">
        <f t="shared" ca="1" si="2"/>
        <v>0.12643661700697467</v>
      </c>
      <c r="Q32" s="9">
        <v>0.11655</v>
      </c>
      <c r="R32" s="9">
        <f t="shared" ca="1" si="3"/>
        <v>2.3721637801804494E-3</v>
      </c>
      <c r="S32" s="8">
        <f t="shared" si="4"/>
        <v>0.46555274308666716</v>
      </c>
      <c r="T32" s="11">
        <v>0.1229</v>
      </c>
      <c r="U32" s="11">
        <f t="shared" ca="1" si="5"/>
        <v>4.9529550775269503E-3</v>
      </c>
      <c r="V32" s="6" t="e">
        <f ca="1">IF(agePb6U8(1/O32)&lt;1400,age7corr(1/O32,Q32,$W$2),agePb76(Q32))</f>
        <v>#NAME?</v>
      </c>
      <c r="W32" s="6" t="e">
        <f ca="1">IF(agePb6U8(1/O32)&lt;1400,ageer7corr(V32,1/O32,P32/O32*(1/O32),Q32,R32,$W$2,0.05),ageerPb76(Q32,R32))</f>
        <v>#NAME?</v>
      </c>
      <c r="X32" s="4" t="e">
        <f ca="1">agePb6U8(L32)/agePb7u5(J32)</f>
        <v>#NAME?</v>
      </c>
      <c r="Y32" s="3"/>
      <c r="Z32" s="1">
        <v>5.28</v>
      </c>
      <c r="AA32" s="1">
        <v>0.2</v>
      </c>
      <c r="AB32" s="1">
        <v>0.32900000000000001</v>
      </c>
      <c r="AC32" s="1">
        <v>1.2E-2</v>
      </c>
      <c r="AD32" s="1">
        <v>0.99578999999999995</v>
      </c>
      <c r="AE32" s="1">
        <v>3.039514</v>
      </c>
      <c r="AF32" s="1">
        <v>0.1108637</v>
      </c>
      <c r="AG32" s="1">
        <v>0.11655</v>
      </c>
      <c r="AH32" s="1">
        <v>4.4000000000000002E-4</v>
      </c>
      <c r="AI32" s="1">
        <v>-0.13685</v>
      </c>
      <c r="AJ32" s="1">
        <v>0.1229</v>
      </c>
      <c r="AK32" s="1">
        <v>4.3E-3</v>
      </c>
      <c r="AL32" s="1">
        <v>2.4502999999999999</v>
      </c>
      <c r="AM32" s="1">
        <v>8.2000000000000007E-3</v>
      </c>
      <c r="AN32" s="1">
        <v>1862</v>
      </c>
      <c r="AO32" s="1">
        <v>33</v>
      </c>
      <c r="AP32" s="1">
        <v>1832</v>
      </c>
      <c r="AQ32" s="1">
        <v>60</v>
      </c>
      <c r="AR32" s="1">
        <v>2342</v>
      </c>
      <c r="AS32" s="1">
        <v>77</v>
      </c>
      <c r="AT32" s="1">
        <v>1904</v>
      </c>
      <c r="AU32" s="1">
        <v>6.8</v>
      </c>
      <c r="AV32" s="1">
        <v>12.59</v>
      </c>
      <c r="AW32" s="1">
        <v>0.31</v>
      </c>
      <c r="AX32" s="1">
        <v>5.29</v>
      </c>
      <c r="AY32" s="1">
        <v>0.16</v>
      </c>
      <c r="AZ32" s="1">
        <v>51853.500000000007</v>
      </c>
      <c r="BA32" s="1">
        <v>1304.0999999999999</v>
      </c>
      <c r="BB32" s="1">
        <v>18555.48</v>
      </c>
      <c r="BC32" s="1">
        <v>478.17000000000007</v>
      </c>
      <c r="BD32" s="1">
        <v>161087.4</v>
      </c>
      <c r="BE32" s="1">
        <v>3788.1</v>
      </c>
      <c r="BF32" s="1">
        <v>-2.4218999999999999</v>
      </c>
      <c r="BG32" s="1">
        <v>6.1478999999999999</v>
      </c>
      <c r="BH32" s="1">
        <f t="shared" si="6"/>
        <v>-66512.820512820515</v>
      </c>
      <c r="BI32" s="1">
        <f t="shared" si="7"/>
        <v>-168847.48129938866</v>
      </c>
      <c r="BJ32" s="27">
        <v>1869.5</v>
      </c>
      <c r="BK32" s="27">
        <v>32.299999999999997</v>
      </c>
      <c r="BL32" s="27">
        <v>1833.3</v>
      </c>
      <c r="BM32" s="27">
        <v>68.2</v>
      </c>
      <c r="BN32" s="27">
        <v>1910.1</v>
      </c>
      <c r="BO32" s="27">
        <v>30.7</v>
      </c>
      <c r="BP32" s="27">
        <v>1890.9</v>
      </c>
      <c r="BQ32" s="27">
        <v>21.1</v>
      </c>
      <c r="BR32" s="27">
        <v>2.6</v>
      </c>
    </row>
    <row r="33" spans="1:70" x14ac:dyDescent="0.2">
      <c r="A33" t="s">
        <v>500</v>
      </c>
      <c r="B33" t="s">
        <v>38</v>
      </c>
      <c r="C33" t="s">
        <v>501</v>
      </c>
      <c r="D33" t="s">
        <v>502</v>
      </c>
      <c r="E33">
        <v>83833</v>
      </c>
      <c r="F33">
        <v>53887</v>
      </c>
      <c r="G33" t="s">
        <v>502</v>
      </c>
      <c r="H33" s="1">
        <v>459</v>
      </c>
      <c r="I33" s="1">
        <v>90.3</v>
      </c>
      <c r="J33" s="10">
        <v>1.8180000000000001</v>
      </c>
      <c r="K33" s="10">
        <f t="shared" ca="1" si="0"/>
        <v>7.1014432335969574E-2</v>
      </c>
      <c r="L33" s="7">
        <v>0.16600000000000001</v>
      </c>
      <c r="M33" s="7">
        <f t="shared" ca="1" si="1"/>
        <v>6.5963929537285757E-3</v>
      </c>
      <c r="N33" s="7">
        <v>0.93991000000000002</v>
      </c>
      <c r="O33" s="8">
        <v>6.0240960000000001</v>
      </c>
      <c r="P33" s="8">
        <f t="shared" ca="1" si="2"/>
        <v>0.23938136121915674</v>
      </c>
      <c r="Q33" s="9">
        <v>7.9939999999999997E-2</v>
      </c>
      <c r="R33" s="9">
        <f t="shared" ca="1" si="3"/>
        <v>1.8752497007065484E-3</v>
      </c>
      <c r="S33" s="8">
        <f t="shared" si="4"/>
        <v>0.36469651716067186</v>
      </c>
      <c r="T33" s="11">
        <v>7.1099999999999997E-2</v>
      </c>
      <c r="U33" s="11">
        <f t="shared" ca="1" si="5"/>
        <v>2.6195579779802547E-3</v>
      </c>
      <c r="V33" s="6" t="e">
        <f ca="1">IF(agePb6U8(1/O33)&lt;1400,age7corr(1/O33,Q33,$W$2),agePb76(Q33))</f>
        <v>#NAME?</v>
      </c>
      <c r="W33" s="6" t="e">
        <f ca="1">IF(agePb6U8(1/O33)&lt;1400,ageer7corr(V33,1/O33,P33/O33*(1/O33),Q33,R33,$W$2,0.05),ageerPb76(Q33,R33))</f>
        <v>#NAME?</v>
      </c>
      <c r="X33" s="4" t="e">
        <f ca="1">agePb6U8(L33)/agePb7u5(J33)</f>
        <v>#NAME?</v>
      </c>
      <c r="Y33" s="3"/>
      <c r="Z33" s="1">
        <v>1.8180000000000001</v>
      </c>
      <c r="AA33" s="1">
        <v>6.0999999999999999E-2</v>
      </c>
      <c r="AB33" s="1">
        <v>0.16600000000000001</v>
      </c>
      <c r="AC33" s="1">
        <v>5.7000000000000002E-3</v>
      </c>
      <c r="AD33" s="1">
        <v>0.93991000000000002</v>
      </c>
      <c r="AE33" s="1">
        <v>6.0240960000000001</v>
      </c>
      <c r="AF33" s="1">
        <v>0.20685149999999999</v>
      </c>
      <c r="AG33" s="1">
        <v>7.9939999999999997E-2</v>
      </c>
      <c r="AH33" s="1">
        <v>9.7999999999999997E-4</v>
      </c>
      <c r="AI33" s="1">
        <v>-4.4255999999999997E-2</v>
      </c>
      <c r="AJ33" s="1">
        <v>7.1099999999999997E-2</v>
      </c>
      <c r="AK33" s="1">
        <v>2.2000000000000001E-3</v>
      </c>
      <c r="AL33" s="1">
        <v>12.526</v>
      </c>
      <c r="AM33" s="1">
        <v>7.6999999999999999E-2</v>
      </c>
      <c r="AN33" s="1">
        <v>1051</v>
      </c>
      <c r="AO33" s="1">
        <v>22</v>
      </c>
      <c r="AP33" s="1">
        <v>989</v>
      </c>
      <c r="AQ33" s="1">
        <v>31</v>
      </c>
      <c r="AR33" s="1">
        <v>1388</v>
      </c>
      <c r="AS33" s="1">
        <v>41</v>
      </c>
      <c r="AT33" s="1">
        <v>1195</v>
      </c>
      <c r="AU33" s="1">
        <v>24</v>
      </c>
      <c r="AV33" s="1">
        <v>100</v>
      </c>
      <c r="AW33" s="1">
        <v>5.7</v>
      </c>
      <c r="AX33" s="1">
        <v>7.13</v>
      </c>
      <c r="AY33" s="1">
        <v>0.11</v>
      </c>
      <c r="AZ33" s="1">
        <v>41607</v>
      </c>
      <c r="BA33" s="1">
        <v>1676.7</v>
      </c>
      <c r="BB33" s="1">
        <v>52412.4</v>
      </c>
      <c r="BC33" s="1">
        <v>2794.5000000000005</v>
      </c>
      <c r="BD33" s="1">
        <v>653913</v>
      </c>
      <c r="BE33" s="1">
        <v>27324</v>
      </c>
      <c r="BF33" s="1">
        <v>1.0557000000000001</v>
      </c>
      <c r="BG33" s="1">
        <v>4.968</v>
      </c>
      <c r="BH33" s="1">
        <f t="shared" si="6"/>
        <v>619411.76470588229</v>
      </c>
      <c r="BI33" s="1">
        <f t="shared" si="7"/>
        <v>2914993.8002502541</v>
      </c>
      <c r="BJ33" s="27">
        <v>1056.8</v>
      </c>
      <c r="BK33" s="27">
        <v>25.4</v>
      </c>
      <c r="BL33" s="27">
        <v>990.7</v>
      </c>
      <c r="BM33" s="27">
        <v>36.6</v>
      </c>
      <c r="BN33" s="27">
        <v>1196.0999999999999</v>
      </c>
      <c r="BO33" s="27">
        <v>49.3</v>
      </c>
      <c r="BP33" s="27">
        <v>1069.5999999999999</v>
      </c>
      <c r="BQ33" s="27">
        <v>25.6</v>
      </c>
      <c r="BR33" s="27">
        <v>6.1</v>
      </c>
    </row>
    <row r="34" spans="1:70" x14ac:dyDescent="0.2">
      <c r="A34" t="s">
        <v>503</v>
      </c>
      <c r="B34" t="s">
        <v>38</v>
      </c>
      <c r="C34" t="s">
        <v>504</v>
      </c>
      <c r="D34" t="s">
        <v>505</v>
      </c>
      <c r="E34">
        <v>83776</v>
      </c>
      <c r="F34">
        <v>54026</v>
      </c>
      <c r="G34" t="s">
        <v>505</v>
      </c>
      <c r="H34" s="1">
        <v>137.30000000000001</v>
      </c>
      <c r="I34" s="1">
        <v>49.8</v>
      </c>
      <c r="J34" s="10">
        <v>5.47</v>
      </c>
      <c r="K34" s="10">
        <f t="shared" ca="1" si="0"/>
        <v>0.28207864151686496</v>
      </c>
      <c r="L34" s="7">
        <v>0.33400000000000002</v>
      </c>
      <c r="M34" s="7">
        <f t="shared" ca="1" si="1"/>
        <v>1.6420182703003033E-2</v>
      </c>
      <c r="N34" s="7">
        <v>0.99495</v>
      </c>
      <c r="O34" s="8">
        <v>2.9940120000000001</v>
      </c>
      <c r="P34" s="8">
        <f t="shared" ca="1" si="2"/>
        <v>0.14719227227343695</v>
      </c>
      <c r="Q34" s="9">
        <v>0.11903</v>
      </c>
      <c r="R34" s="9">
        <f t="shared" ca="1" si="3"/>
        <v>2.4870979795737842E-3</v>
      </c>
      <c r="S34" s="8">
        <f t="shared" si="4"/>
        <v>0.45248852631297493</v>
      </c>
      <c r="T34" s="11">
        <v>0.1293</v>
      </c>
      <c r="U34" s="11">
        <f t="shared" ca="1" si="5"/>
        <v>6.168257128233226E-3</v>
      </c>
      <c r="V34" s="6" t="e">
        <f ca="1">IF(agePb6U8(1/O34)&lt;1400,age7corr(1/O34,Q34,$W$2),agePb76(Q34))</f>
        <v>#NAME?</v>
      </c>
      <c r="W34" s="6" t="e">
        <f ca="1">IF(agePb6U8(1/O34)&lt;1400,ageer7corr(V34,1/O34,P34/O34*(1/O34),Q34,R34,$W$2,0.05),ageerPb76(Q34,R34))</f>
        <v>#NAME?</v>
      </c>
      <c r="X34" s="4" t="e">
        <f ca="1">agePb6U8(L34)/agePb7u5(J34)</f>
        <v>#NAME?</v>
      </c>
      <c r="Y34" s="3"/>
      <c r="Z34" s="1">
        <v>5.47</v>
      </c>
      <c r="AA34" s="1">
        <v>0.26</v>
      </c>
      <c r="AB34" s="1">
        <v>0.33400000000000002</v>
      </c>
      <c r="AC34" s="1">
        <v>1.4999999999999999E-2</v>
      </c>
      <c r="AD34" s="1">
        <v>0.99495</v>
      </c>
      <c r="AE34" s="1">
        <v>2.9940120000000001</v>
      </c>
      <c r="AF34" s="1">
        <v>0.13446159999999999</v>
      </c>
      <c r="AG34" s="1">
        <v>0.11903</v>
      </c>
      <c r="AH34" s="1">
        <v>7.2000000000000005E-4</v>
      </c>
      <c r="AI34" s="1">
        <v>-0.45495000000000002</v>
      </c>
      <c r="AJ34" s="1">
        <v>0.1293</v>
      </c>
      <c r="AK34" s="1">
        <v>5.5999999999999999E-3</v>
      </c>
      <c r="AL34" s="1">
        <v>7.4859999999999998</v>
      </c>
      <c r="AM34" s="1">
        <v>2.7E-2</v>
      </c>
      <c r="AN34" s="1">
        <v>1901</v>
      </c>
      <c r="AO34" s="1">
        <v>39</v>
      </c>
      <c r="AP34" s="1">
        <v>1853</v>
      </c>
      <c r="AQ34" s="1">
        <v>74</v>
      </c>
      <c r="AR34" s="1">
        <v>2460</v>
      </c>
      <c r="AS34" s="1">
        <v>100</v>
      </c>
      <c r="AT34" s="1">
        <v>1941</v>
      </c>
      <c r="AU34" s="1">
        <v>11</v>
      </c>
      <c r="AV34" s="1">
        <v>29.89</v>
      </c>
      <c r="AW34" s="1">
        <v>0.9</v>
      </c>
      <c r="AX34" s="1">
        <v>3.94</v>
      </c>
      <c r="AY34" s="1">
        <v>0.15</v>
      </c>
      <c r="AZ34" s="1">
        <v>41482.799999999996</v>
      </c>
      <c r="BA34" s="1">
        <v>1242</v>
      </c>
      <c r="BB34" s="1">
        <v>45954</v>
      </c>
      <c r="BC34" s="1">
        <v>1366.1999999999998</v>
      </c>
      <c r="BD34" s="1">
        <v>388125</v>
      </c>
      <c r="BE34" s="1">
        <v>10557</v>
      </c>
      <c r="BF34" s="1">
        <v>4.1607000000000003</v>
      </c>
      <c r="BG34" s="1">
        <v>5.8373999999999997</v>
      </c>
      <c r="BH34" s="1">
        <f t="shared" si="6"/>
        <v>93283.582089552234</v>
      </c>
      <c r="BI34" s="1">
        <f t="shared" si="7"/>
        <v>130900.06681331794</v>
      </c>
      <c r="BJ34" s="27">
        <v>1898.3</v>
      </c>
      <c r="BK34" s="27">
        <v>38.799999999999997</v>
      </c>
      <c r="BL34" s="27">
        <v>1859.9</v>
      </c>
      <c r="BM34" s="27">
        <v>81.099999999999994</v>
      </c>
      <c r="BN34" s="27">
        <v>1940.5</v>
      </c>
      <c r="BO34" s="27">
        <v>30.1</v>
      </c>
      <c r="BP34" s="27">
        <v>1924.2</v>
      </c>
      <c r="BQ34" s="27">
        <v>21.8</v>
      </c>
      <c r="BR34" s="27">
        <v>2.9</v>
      </c>
    </row>
    <row r="35" spans="1:70" x14ac:dyDescent="0.2">
      <c r="A35" t="s">
        <v>506</v>
      </c>
      <c r="B35" t="s">
        <v>38</v>
      </c>
      <c r="C35" t="s">
        <v>507</v>
      </c>
      <c r="D35" t="s">
        <v>508</v>
      </c>
      <c r="E35">
        <v>83716</v>
      </c>
      <c r="F35">
        <v>54222</v>
      </c>
      <c r="G35" t="s">
        <v>508</v>
      </c>
      <c r="H35" s="1">
        <v>47.17</v>
      </c>
      <c r="I35" s="1">
        <v>16.62</v>
      </c>
      <c r="J35" s="10">
        <v>6.57</v>
      </c>
      <c r="K35" s="10">
        <f t="shared" ca="1" si="0"/>
        <v>0.21486265380470382</v>
      </c>
      <c r="L35" s="7">
        <v>0.37209999999999999</v>
      </c>
      <c r="M35" s="7">
        <f t="shared" ca="1" si="1"/>
        <v>1.1601438014315294E-2</v>
      </c>
      <c r="N35" s="7">
        <v>0.99085000000000001</v>
      </c>
      <c r="O35" s="8">
        <v>2.6874500000000001</v>
      </c>
      <c r="P35" s="8">
        <f t="shared" ca="1" si="2"/>
        <v>8.3790061525176721E-2</v>
      </c>
      <c r="Q35" s="9">
        <v>0.12792000000000001</v>
      </c>
      <c r="R35" s="9">
        <f t="shared" ca="1" si="3"/>
        <v>2.6049012572456564E-3</v>
      </c>
      <c r="S35" s="8">
        <f t="shared" si="4"/>
        <v>0.40994390603779102</v>
      </c>
      <c r="T35" s="11">
        <v>0.1474</v>
      </c>
      <c r="U35" s="11">
        <f t="shared" ca="1" si="5"/>
        <v>5.5480360489095597E-3</v>
      </c>
      <c r="V35" s="6" t="e">
        <f ca="1">IF(agePb6U8(1/O35)&lt;1400,age7corr(1/O35,Q35,$W$2),agePb76(Q35))</f>
        <v>#NAME?</v>
      </c>
      <c r="W35" s="6" t="e">
        <f ca="1">IF(agePb6U8(1/O35)&lt;1400,ageer7corr(V35,1/O35,P35/O35*(1/O35),Q35,R35,$W$2,0.05),ageerPb76(Q35,R35))</f>
        <v>#NAME?</v>
      </c>
      <c r="X35" s="4" t="e">
        <f ca="1">agePb6U8(L35)/agePb7u5(J35)</f>
        <v>#NAME?</v>
      </c>
      <c r="Y35" s="3"/>
      <c r="Z35" s="1">
        <v>6.57</v>
      </c>
      <c r="AA35" s="1">
        <v>0.17</v>
      </c>
      <c r="AB35" s="1">
        <v>0.37209999999999999</v>
      </c>
      <c r="AC35" s="1">
        <v>8.8999999999999999E-3</v>
      </c>
      <c r="AD35" s="1">
        <v>0.99085000000000001</v>
      </c>
      <c r="AE35" s="1">
        <v>2.6874500000000001</v>
      </c>
      <c r="AF35" s="1">
        <v>6.4279230000000007E-2</v>
      </c>
      <c r="AG35" s="1">
        <v>0.12792000000000001</v>
      </c>
      <c r="AH35" s="1">
        <v>4.8999999999999998E-4</v>
      </c>
      <c r="AI35" s="1">
        <v>6.2974000000000002E-2</v>
      </c>
      <c r="AJ35" s="1">
        <v>0.1474</v>
      </c>
      <c r="AK35" s="1">
        <v>4.7000000000000002E-3</v>
      </c>
      <c r="AL35" s="1">
        <v>7.7030000000000003</v>
      </c>
      <c r="AM35" s="1">
        <v>3.5000000000000003E-2</v>
      </c>
      <c r="AN35" s="1">
        <v>2054</v>
      </c>
      <c r="AO35" s="1">
        <v>22</v>
      </c>
      <c r="AP35" s="1">
        <v>2039</v>
      </c>
      <c r="AQ35" s="1">
        <v>42</v>
      </c>
      <c r="AR35" s="1">
        <v>2778</v>
      </c>
      <c r="AS35" s="1">
        <v>83</v>
      </c>
      <c r="AT35" s="1">
        <v>2069.5</v>
      </c>
      <c r="AU35" s="1">
        <v>6.7</v>
      </c>
      <c r="AV35" s="1">
        <v>10.27</v>
      </c>
      <c r="AW35" s="1">
        <v>0.19</v>
      </c>
      <c r="AX35" s="1">
        <v>1.3129999999999999</v>
      </c>
      <c r="AY35" s="1">
        <v>5.8000000000000003E-2</v>
      </c>
      <c r="AZ35" s="1">
        <v>15587.1</v>
      </c>
      <c r="BA35" s="1">
        <v>273.24</v>
      </c>
      <c r="BB35" s="1">
        <v>19282.05</v>
      </c>
      <c r="BC35" s="1">
        <v>310.5</v>
      </c>
      <c r="BD35" s="1">
        <v>150778.79999999999</v>
      </c>
      <c r="BE35" s="1">
        <v>2173.5</v>
      </c>
      <c r="BF35" s="1">
        <v>5.2784999999999993</v>
      </c>
      <c r="BG35" s="1">
        <v>4.968</v>
      </c>
      <c r="BH35" s="1">
        <f t="shared" si="6"/>
        <v>28564.705882352944</v>
      </c>
      <c r="BI35" s="1">
        <f t="shared" si="7"/>
        <v>26887.582196323056</v>
      </c>
      <c r="BJ35" s="27">
        <v>2053.6999999999998</v>
      </c>
      <c r="BK35" s="27">
        <v>25.9</v>
      </c>
      <c r="BL35" s="27">
        <v>2037.6</v>
      </c>
      <c r="BM35" s="27">
        <v>52</v>
      </c>
      <c r="BN35" s="27">
        <v>2069.9</v>
      </c>
      <c r="BO35" s="27">
        <v>41.3</v>
      </c>
      <c r="BP35" s="27">
        <v>2056.4</v>
      </c>
      <c r="BQ35" s="27">
        <v>25.1</v>
      </c>
      <c r="BR35" s="27">
        <v>0.78</v>
      </c>
    </row>
    <row r="36" spans="1:70" x14ac:dyDescent="0.2">
      <c r="A36" t="s">
        <v>509</v>
      </c>
      <c r="B36" t="s">
        <v>38</v>
      </c>
      <c r="C36" t="s">
        <v>510</v>
      </c>
      <c r="D36" t="s">
        <v>511</v>
      </c>
      <c r="E36">
        <v>83735</v>
      </c>
      <c r="F36">
        <v>54386</v>
      </c>
      <c r="G36" t="s">
        <v>511</v>
      </c>
      <c r="H36" s="1">
        <v>164</v>
      </c>
      <c r="I36" s="1">
        <v>64.2</v>
      </c>
      <c r="J36" s="10">
        <v>1.8160000000000001</v>
      </c>
      <c r="K36" s="10">
        <f t="shared" ca="1" si="0"/>
        <v>8.513602292801796E-2</v>
      </c>
      <c r="L36" s="7">
        <v>0.17280000000000001</v>
      </c>
      <c r="M36" s="7">
        <f t="shared" ca="1" si="1"/>
        <v>7.627839536854455E-3</v>
      </c>
      <c r="N36" s="7">
        <v>0.99011000000000005</v>
      </c>
      <c r="O36" s="8">
        <v>5.7870369999999998</v>
      </c>
      <c r="P36" s="8">
        <f t="shared" ca="1" si="2"/>
        <v>0.25545478087541756</v>
      </c>
      <c r="Q36" s="9">
        <v>7.6109999999999997E-2</v>
      </c>
      <c r="R36" s="9">
        <f t="shared" ca="1" si="3"/>
        <v>1.5960867269669277E-3</v>
      </c>
      <c r="S36" s="8">
        <f t="shared" si="4"/>
        <v>0.53021683492723493</v>
      </c>
      <c r="T36" s="11">
        <v>7.5200000000000003E-2</v>
      </c>
      <c r="U36" s="11">
        <f t="shared" ca="1" si="5"/>
        <v>3.355892727725367E-3</v>
      </c>
      <c r="V36" s="6" t="e">
        <f ca="1">IF(agePb6U8(1/O36)&lt;1400,age7corr(1/O36,Q36,$W$2),agePb76(Q36))</f>
        <v>#NAME?</v>
      </c>
      <c r="W36" s="6" t="e">
        <f ca="1">IF(agePb6U8(1/O36)&lt;1400,ageer7corr(V36,1/O36,P36/O36*(1/O36),Q36,R36,$W$2,0.05),ageerPb76(Q36,R36))</f>
        <v>#NAME?</v>
      </c>
      <c r="X36" s="4" t="e">
        <f ca="1">agePb6U8(L36)/agePb7u5(J36)</f>
        <v>#NAME?</v>
      </c>
      <c r="Y36" s="3"/>
      <c r="Z36" s="1">
        <v>1.8160000000000001</v>
      </c>
      <c r="AA36" s="1">
        <v>7.6999999999999999E-2</v>
      </c>
      <c r="AB36" s="1">
        <v>0.17280000000000001</v>
      </c>
      <c r="AC36" s="1">
        <v>6.7999999999999996E-3</v>
      </c>
      <c r="AD36" s="1">
        <v>0.99011000000000005</v>
      </c>
      <c r="AE36" s="1">
        <v>5.7870369999999998</v>
      </c>
      <c r="AF36" s="1">
        <v>0.22773060000000001</v>
      </c>
      <c r="AG36" s="1">
        <v>7.6109999999999997E-2</v>
      </c>
      <c r="AH36" s="1">
        <v>4.8000000000000001E-4</v>
      </c>
      <c r="AI36" s="1">
        <v>-0.26245000000000002</v>
      </c>
      <c r="AJ36" s="1">
        <v>7.5200000000000003E-2</v>
      </c>
      <c r="AK36" s="1">
        <v>3.0000000000000001E-3</v>
      </c>
      <c r="AL36" s="1">
        <v>6.2229999999999999</v>
      </c>
      <c r="AM36" s="1">
        <v>3.3000000000000002E-2</v>
      </c>
      <c r="AN36" s="1">
        <v>1049</v>
      </c>
      <c r="AO36" s="1">
        <v>28</v>
      </c>
      <c r="AP36" s="1">
        <v>1027</v>
      </c>
      <c r="AQ36" s="1">
        <v>37</v>
      </c>
      <c r="AR36" s="1">
        <v>1464</v>
      </c>
      <c r="AS36" s="1">
        <v>56</v>
      </c>
      <c r="AT36" s="1">
        <v>1098</v>
      </c>
      <c r="AU36" s="1">
        <v>12</v>
      </c>
      <c r="AV36" s="1">
        <v>35.700000000000003</v>
      </c>
      <c r="AW36" s="1">
        <v>1.1000000000000001</v>
      </c>
      <c r="AX36" s="1">
        <v>5.0720000000000001</v>
      </c>
      <c r="AY36" s="1">
        <v>8.1000000000000003E-2</v>
      </c>
      <c r="AZ36" s="1">
        <v>30677.4</v>
      </c>
      <c r="BA36" s="1">
        <v>1117.8000000000002</v>
      </c>
      <c r="BB36" s="1">
        <v>18071.100000000002</v>
      </c>
      <c r="BC36" s="1">
        <v>683.09999999999991</v>
      </c>
      <c r="BD36" s="1">
        <v>238464.00000000003</v>
      </c>
      <c r="BE36" s="1">
        <v>8694</v>
      </c>
      <c r="BF36" s="1">
        <v>5.3406000000000002</v>
      </c>
      <c r="BG36" s="1">
        <v>5.3406000000000002</v>
      </c>
      <c r="BH36" s="1">
        <f t="shared" si="6"/>
        <v>44651.162790697679</v>
      </c>
      <c r="BI36" s="1">
        <f t="shared" si="7"/>
        <v>44680.828323636939</v>
      </c>
      <c r="BJ36" s="27">
        <v>1048.7</v>
      </c>
      <c r="BK36" s="27">
        <v>25</v>
      </c>
      <c r="BL36" s="27">
        <v>1027</v>
      </c>
      <c r="BM36" s="27">
        <v>42.6</v>
      </c>
      <c r="BN36" s="27">
        <v>1094.2</v>
      </c>
      <c r="BO36" s="27">
        <v>52.7</v>
      </c>
      <c r="BP36" s="27">
        <v>1056</v>
      </c>
      <c r="BQ36" s="27">
        <v>23.2</v>
      </c>
      <c r="BR36" s="27">
        <v>2.2000000000000002</v>
      </c>
    </row>
    <row r="37" spans="1:70" s="23" customFormat="1" x14ac:dyDescent="0.2">
      <c r="A37" s="23" t="s">
        <v>512</v>
      </c>
      <c r="B37" s="23" t="s">
        <v>38</v>
      </c>
      <c r="C37" s="23" t="s">
        <v>513</v>
      </c>
      <c r="D37" s="23" t="s">
        <v>514</v>
      </c>
      <c r="E37" s="23">
        <v>83788</v>
      </c>
      <c r="F37" s="23">
        <v>54545</v>
      </c>
      <c r="G37" s="23" t="s">
        <v>514</v>
      </c>
      <c r="H37" s="24">
        <v>237.3</v>
      </c>
      <c r="I37" s="24">
        <v>91.6</v>
      </c>
      <c r="J37" s="25">
        <v>1.6930000000000001</v>
      </c>
      <c r="K37" s="25">
        <f t="shared" ca="1" si="0"/>
        <v>5.6316068754841193E-2</v>
      </c>
      <c r="L37" s="26">
        <v>0.15290000000000001</v>
      </c>
      <c r="M37" s="26">
        <f t="shared" ca="1" si="1"/>
        <v>5.114818080831419E-3</v>
      </c>
      <c r="N37" s="26">
        <v>0.98636999999999997</v>
      </c>
      <c r="O37" s="26">
        <v>6.540222</v>
      </c>
      <c r="P37" s="26">
        <f t="shared" ca="1" si="2"/>
        <v>0.21878383743769464</v>
      </c>
      <c r="Q37" s="25">
        <v>8.0409999999999995E-2</v>
      </c>
      <c r="R37" s="25">
        <f t="shared" ca="1" si="3"/>
        <v>1.6699722273139754E-3</v>
      </c>
      <c r="S37" s="26">
        <f t="shared" si="4"/>
        <v>0.48136724816937676</v>
      </c>
      <c r="T37" s="25">
        <v>7.4700000000000003E-2</v>
      </c>
      <c r="U37" s="25">
        <f t="shared" ca="1" si="5"/>
        <v>2.6593299908059553E-3</v>
      </c>
      <c r="V37" s="24" t="e">
        <f ca="1">IF(agePb6U8(1/O37)&lt;1400,age7corr(1/O37,Q37,$W$2),agePb76(Q37))</f>
        <v>#NAME?</v>
      </c>
      <c r="W37" s="24" t="e">
        <f ca="1">IF(agePb6U8(1/O37)&lt;1400,ageer7corr(V37,1/O37,P37/O37*(1/O37),Q37,R37,$W$2,0.05),ageerPb76(Q37,R37))</f>
        <v>#NAME?</v>
      </c>
      <c r="X37" s="26" t="e">
        <f ca="1">agePb6U8(L37)/agePb7u5(J37)</f>
        <v>#NAME?</v>
      </c>
      <c r="Y37" s="24"/>
      <c r="Z37" s="24">
        <v>1.6930000000000001</v>
      </c>
      <c r="AA37" s="24">
        <v>4.4999999999999998E-2</v>
      </c>
      <c r="AB37" s="24">
        <v>0.15290000000000001</v>
      </c>
      <c r="AC37" s="24">
        <v>4.1000000000000003E-3</v>
      </c>
      <c r="AD37" s="24">
        <v>0.98636999999999997</v>
      </c>
      <c r="AE37" s="24">
        <v>6.540222</v>
      </c>
      <c r="AF37" s="24">
        <v>0.17537549999999999</v>
      </c>
      <c r="AG37" s="24">
        <v>8.0409999999999995E-2</v>
      </c>
      <c r="AH37" s="24">
        <v>4.4999999999999999E-4</v>
      </c>
      <c r="AI37" s="24">
        <v>6.2107000000000002E-2</v>
      </c>
      <c r="AJ37" s="24">
        <v>7.4700000000000003E-2</v>
      </c>
      <c r="AK37" s="24">
        <v>2.2000000000000001E-3</v>
      </c>
      <c r="AL37" s="24">
        <v>5.484</v>
      </c>
      <c r="AM37" s="24">
        <v>0.04</v>
      </c>
      <c r="AN37" s="24">
        <v>1005</v>
      </c>
      <c r="AO37" s="24">
        <v>17</v>
      </c>
      <c r="AP37" s="24">
        <v>917</v>
      </c>
      <c r="AQ37" s="24">
        <v>23</v>
      </c>
      <c r="AR37" s="24">
        <v>1456</v>
      </c>
      <c r="AS37" s="24">
        <v>41</v>
      </c>
      <c r="AT37" s="24">
        <v>1207</v>
      </c>
      <c r="AU37" s="24">
        <v>11</v>
      </c>
      <c r="AV37" s="24">
        <v>51.7</v>
      </c>
      <c r="AW37" s="24">
        <v>1.2</v>
      </c>
      <c r="AX37" s="24">
        <v>7.23</v>
      </c>
      <c r="AY37" s="24">
        <v>0.13999999999999999</v>
      </c>
      <c r="AZ37" s="24">
        <v>43966.799999999996</v>
      </c>
      <c r="BA37" s="24">
        <v>1055.7</v>
      </c>
      <c r="BB37" s="24">
        <v>24225.21</v>
      </c>
      <c r="BC37" s="24">
        <v>571.31999999999994</v>
      </c>
      <c r="BD37" s="24">
        <v>303048</v>
      </c>
      <c r="BE37" s="24">
        <v>6831</v>
      </c>
      <c r="BF37" s="24">
        <v>200.583</v>
      </c>
      <c r="BG37" s="24">
        <v>11.177999999999999</v>
      </c>
      <c r="BH37" s="24">
        <f t="shared" si="6"/>
        <v>1510.8359133126935</v>
      </c>
      <c r="BI37" s="24">
        <f t="shared" si="7"/>
        <v>90.82192815988985</v>
      </c>
      <c r="BJ37" s="27">
        <v>1003.2</v>
      </c>
      <c r="BK37" s="27">
        <v>19.600000000000001</v>
      </c>
      <c r="BL37" s="27">
        <v>917.2</v>
      </c>
      <c r="BM37" s="27">
        <v>28.8</v>
      </c>
      <c r="BN37" s="27">
        <v>1196.0999999999999</v>
      </c>
      <c r="BO37" s="27">
        <v>49.3</v>
      </c>
      <c r="BP37" s="27">
        <v>1004.5</v>
      </c>
      <c r="BQ37" s="27">
        <v>20.3</v>
      </c>
      <c r="BR37" s="27">
        <v>7.9</v>
      </c>
    </row>
    <row r="38" spans="1:70" s="23" customFormat="1" x14ac:dyDescent="0.2">
      <c r="A38" s="23" t="s">
        <v>521</v>
      </c>
      <c r="B38" s="23" t="s">
        <v>38</v>
      </c>
      <c r="C38" s="23" t="s">
        <v>522</v>
      </c>
      <c r="D38" s="23" t="s">
        <v>523</v>
      </c>
      <c r="E38" s="23">
        <v>83758</v>
      </c>
      <c r="F38" s="23">
        <v>54861</v>
      </c>
      <c r="G38" s="23" t="s">
        <v>523</v>
      </c>
      <c r="H38" s="24">
        <v>331</v>
      </c>
      <c r="I38" s="24">
        <v>155.9</v>
      </c>
      <c r="J38" s="25">
        <v>3.97</v>
      </c>
      <c r="K38" s="25">
        <f t="shared" ca="1" si="0"/>
        <v>0.17861791623462636</v>
      </c>
      <c r="L38" s="26">
        <v>0.24399999999999999</v>
      </c>
      <c r="M38" s="26">
        <f t="shared" ca="1" si="1"/>
        <v>1.1127191918898497E-2</v>
      </c>
      <c r="N38" s="26">
        <v>0.95794000000000001</v>
      </c>
      <c r="O38" s="26">
        <v>4.0983609999999997</v>
      </c>
      <c r="P38" s="26">
        <f t="shared" ca="1" si="2"/>
        <v>0.18689854985496382</v>
      </c>
      <c r="Q38" s="25">
        <v>0.11799999999999999</v>
      </c>
      <c r="R38" s="25">
        <f t="shared" ca="1" si="3"/>
        <v>2.9085391522205781E-3</v>
      </c>
      <c r="S38" s="26">
        <f t="shared" si="4"/>
        <v>0.35141262320440053</v>
      </c>
      <c r="T38" s="25">
        <v>0.1298</v>
      </c>
      <c r="U38" s="25">
        <f t="shared" ca="1" si="5"/>
        <v>5.6337568282630026E-3</v>
      </c>
      <c r="V38" s="24" t="e">
        <f ca="1">IF(agePb6U8(1/O38)&lt;1400,age7corr(1/O38,Q38,$W$2),agePb76(Q38))</f>
        <v>#NAME?</v>
      </c>
      <c r="W38" s="24" t="e">
        <f ca="1">IF(agePb6U8(1/O38)&lt;1400,ageer7corr(V38,1/O38,P38/O38*(1/O38),Q38,R38,$W$2,0.05),ageerPb76(Q38,R38))</f>
        <v>#NAME?</v>
      </c>
      <c r="X38" s="26" t="e">
        <f ca="1">agePb6U8(L38)/agePb7u5(J38)</f>
        <v>#NAME?</v>
      </c>
      <c r="Y38" s="24"/>
      <c r="Z38" s="24">
        <v>3.97</v>
      </c>
      <c r="AA38" s="24">
        <v>0.16</v>
      </c>
      <c r="AB38" s="24">
        <v>0.24399999999999999</v>
      </c>
      <c r="AC38" s="24">
        <v>0.01</v>
      </c>
      <c r="AD38" s="24">
        <v>0.95794000000000001</v>
      </c>
      <c r="AE38" s="24">
        <v>4.0983609999999997</v>
      </c>
      <c r="AF38" s="24">
        <v>0.16796559999999999</v>
      </c>
      <c r="AG38" s="24">
        <v>0.11799999999999999</v>
      </c>
      <c r="AH38" s="24">
        <v>1.6999999999999999E-3</v>
      </c>
      <c r="AI38" s="24">
        <v>8.4778999999999993E-2</v>
      </c>
      <c r="AJ38" s="24">
        <v>0.1298</v>
      </c>
      <c r="AK38" s="24">
        <v>5.0000000000000001E-3</v>
      </c>
      <c r="AL38" s="24">
        <v>4.3600000000000003</v>
      </c>
      <c r="AM38" s="24">
        <v>0.2</v>
      </c>
      <c r="AN38" s="24">
        <v>1626</v>
      </c>
      <c r="AO38" s="24">
        <v>34</v>
      </c>
      <c r="AP38" s="24">
        <v>1421</v>
      </c>
      <c r="AQ38" s="24">
        <v>48</v>
      </c>
      <c r="AR38" s="24">
        <v>2467</v>
      </c>
      <c r="AS38" s="24">
        <v>89</v>
      </c>
      <c r="AT38" s="24">
        <v>1924</v>
      </c>
      <c r="AU38" s="24">
        <v>26</v>
      </c>
      <c r="AV38" s="24">
        <v>72.099999999999994</v>
      </c>
      <c r="AW38" s="24">
        <v>3.5</v>
      </c>
      <c r="AX38" s="24">
        <v>12.31</v>
      </c>
      <c r="AY38" s="24">
        <v>0.73</v>
      </c>
      <c r="AZ38" s="24">
        <v>130223.7</v>
      </c>
      <c r="BA38" s="24">
        <v>3291.2999999999997</v>
      </c>
      <c r="BB38" s="24">
        <v>81661.5</v>
      </c>
      <c r="BC38" s="24">
        <v>3974.4</v>
      </c>
      <c r="BD38" s="24">
        <v>694278.00000000012</v>
      </c>
      <c r="BE38" s="24">
        <v>24840</v>
      </c>
      <c r="BF38" s="24">
        <v>912.87</v>
      </c>
      <c r="BG38" s="24">
        <v>62.1</v>
      </c>
      <c r="BH38" s="24">
        <f t="shared" si="6"/>
        <v>760.54421768707493</v>
      </c>
      <c r="BI38" s="24">
        <f t="shared" si="7"/>
        <v>58.457010045810364</v>
      </c>
      <c r="BJ38" s="27">
        <v>1627.4</v>
      </c>
      <c r="BK38" s="27">
        <v>36</v>
      </c>
      <c r="BL38" s="27">
        <v>1407</v>
      </c>
      <c r="BM38" s="27">
        <v>58.6</v>
      </c>
      <c r="BN38" s="27">
        <v>1925.3</v>
      </c>
      <c r="BO38" s="27">
        <v>45.6</v>
      </c>
      <c r="BP38" s="27">
        <v>1724.4</v>
      </c>
      <c r="BQ38" s="27">
        <v>31.8</v>
      </c>
      <c r="BR38" s="27">
        <v>16</v>
      </c>
    </row>
    <row r="39" spans="1:70" x14ac:dyDescent="0.2">
      <c r="A39" t="s">
        <v>524</v>
      </c>
      <c r="B39" t="s">
        <v>38</v>
      </c>
      <c r="C39" t="s">
        <v>525</v>
      </c>
      <c r="D39" t="s">
        <v>526</v>
      </c>
      <c r="E39">
        <v>83717</v>
      </c>
      <c r="F39">
        <v>54990</v>
      </c>
      <c r="G39" t="s">
        <v>526</v>
      </c>
      <c r="H39" s="1">
        <v>461</v>
      </c>
      <c r="I39" s="1">
        <v>13.09</v>
      </c>
      <c r="J39" s="10">
        <v>1.895</v>
      </c>
      <c r="K39" s="10">
        <f t="shared" ca="1" si="0"/>
        <v>9.6733706638379172E-2</v>
      </c>
      <c r="L39" s="7">
        <v>0.1661</v>
      </c>
      <c r="M39" s="7">
        <f t="shared" ca="1" si="1"/>
        <v>7.6580470095188105E-3</v>
      </c>
      <c r="N39" s="7">
        <v>0.96936</v>
      </c>
      <c r="O39" s="8">
        <v>6.0204700000000004</v>
      </c>
      <c r="P39" s="8">
        <f t="shared" ca="1" si="2"/>
        <v>0.27757401386513114</v>
      </c>
      <c r="Q39" s="9">
        <v>8.2600000000000007E-2</v>
      </c>
      <c r="R39" s="9">
        <f t="shared" ca="1" si="3"/>
        <v>1.9310888120436099E-3</v>
      </c>
      <c r="S39" s="8">
        <f t="shared" si="4"/>
        <v>0.36616068127415496</v>
      </c>
      <c r="T39" s="11">
        <v>7.7200000000000005E-2</v>
      </c>
      <c r="U39" s="11">
        <f t="shared" ca="1" si="5"/>
        <v>3.5530178721757087E-3</v>
      </c>
      <c r="V39" s="6" t="e">
        <f ca="1">IF(agePb6U8(1/O39)&lt;1400,age7corr(1/O39,Q39,$W$2),agePb76(Q39))</f>
        <v>#NAME?</v>
      </c>
      <c r="W39" s="6" t="e">
        <f ca="1">IF(agePb6U8(1/O39)&lt;1400,ageer7corr(V39,1/O39,P39/O39*(1/O39),Q39,R39,$W$2,0.05),ageerPb76(Q39,R39))</f>
        <v>#NAME?</v>
      </c>
      <c r="X39" s="4" t="e">
        <f ca="1">agePb6U8(L39)/agePb7u5(J39)</f>
        <v>#NAME?</v>
      </c>
      <c r="Y39" s="3"/>
      <c r="Z39" s="1">
        <v>1.895</v>
      </c>
      <c r="AA39" s="1">
        <v>8.8999999999999996E-2</v>
      </c>
      <c r="AB39" s="1">
        <v>0.1661</v>
      </c>
      <c r="AC39" s="1">
        <v>6.8999999999999999E-3</v>
      </c>
      <c r="AD39" s="1">
        <v>0.96936</v>
      </c>
      <c r="AE39" s="1">
        <v>6.0204700000000004</v>
      </c>
      <c r="AF39" s="1">
        <v>0.25009779999999998</v>
      </c>
      <c r="AG39" s="1">
        <v>8.2600000000000007E-2</v>
      </c>
      <c r="AH39" s="1">
        <v>1E-3</v>
      </c>
      <c r="AI39" s="1">
        <v>-0.26729000000000003</v>
      </c>
      <c r="AJ39" s="1">
        <v>7.7200000000000005E-2</v>
      </c>
      <c r="AK39" s="1">
        <v>3.2000000000000002E-3</v>
      </c>
      <c r="AL39" s="1">
        <v>77.599999999999994</v>
      </c>
      <c r="AM39" s="1">
        <v>1.5</v>
      </c>
      <c r="AN39" s="1">
        <v>1077</v>
      </c>
      <c r="AO39" s="1">
        <v>31</v>
      </c>
      <c r="AP39" s="1">
        <v>990</v>
      </c>
      <c r="AQ39" s="1">
        <v>38</v>
      </c>
      <c r="AR39" s="1">
        <v>1503</v>
      </c>
      <c r="AS39" s="1">
        <v>61</v>
      </c>
      <c r="AT39" s="1">
        <v>1258</v>
      </c>
      <c r="AU39" s="1">
        <v>24</v>
      </c>
      <c r="AV39" s="1">
        <v>100.3</v>
      </c>
      <c r="AW39" s="1">
        <v>2.9</v>
      </c>
      <c r="AX39" s="1">
        <v>1.0330000000000001</v>
      </c>
      <c r="AY39" s="1">
        <v>2.8000000000000001E-2</v>
      </c>
      <c r="AZ39" s="1">
        <v>6744.06</v>
      </c>
      <c r="BA39" s="1">
        <v>186.3</v>
      </c>
      <c r="BB39" s="1">
        <v>53530.2</v>
      </c>
      <c r="BC39" s="1">
        <v>1552.5</v>
      </c>
      <c r="BD39" s="1">
        <v>648945</v>
      </c>
      <c r="BE39" s="1">
        <v>14283</v>
      </c>
      <c r="BF39" s="1">
        <v>1.4282999999999999</v>
      </c>
      <c r="BG39" s="1">
        <v>3.7259999999999995</v>
      </c>
      <c r="BH39" s="1">
        <f t="shared" si="6"/>
        <v>454347.82608695654</v>
      </c>
      <c r="BI39" s="1">
        <f t="shared" si="7"/>
        <v>1185297.3827450001</v>
      </c>
      <c r="BJ39" s="27">
        <v>1081.0999999999999</v>
      </c>
      <c r="BK39" s="27">
        <v>29.1</v>
      </c>
      <c r="BL39" s="27">
        <v>990.7</v>
      </c>
      <c r="BM39" s="27">
        <v>42.7</v>
      </c>
      <c r="BN39" s="27">
        <v>1268.3</v>
      </c>
      <c r="BO39" s="27">
        <v>47</v>
      </c>
      <c r="BP39" s="27">
        <v>1120.3</v>
      </c>
      <c r="BQ39" s="27">
        <v>27.7</v>
      </c>
      <c r="BR39" s="27">
        <v>9.4</v>
      </c>
    </row>
    <row r="40" spans="1:70" x14ac:dyDescent="0.2">
      <c r="A40" t="s">
        <v>398</v>
      </c>
      <c r="B40" t="s">
        <v>38</v>
      </c>
      <c r="C40" t="s">
        <v>399</v>
      </c>
      <c r="D40" t="s">
        <v>400</v>
      </c>
      <c r="E40">
        <v>83913</v>
      </c>
      <c r="F40">
        <v>48394</v>
      </c>
      <c r="G40" t="s">
        <v>400</v>
      </c>
      <c r="H40" s="1">
        <v>265.60000000000002</v>
      </c>
      <c r="I40" s="1">
        <v>73.5</v>
      </c>
      <c r="J40" s="10">
        <v>2.1829999999999998</v>
      </c>
      <c r="K40" s="10">
        <f t="shared" ca="1" si="0"/>
        <v>5.2413696683214397E-2</v>
      </c>
      <c r="L40" s="7">
        <v>0.1976</v>
      </c>
      <c r="M40" s="7">
        <f t="shared" ca="1" si="1"/>
        <v>4.7862620070363883E-3</v>
      </c>
      <c r="N40" s="7">
        <v>0.98419999999999996</v>
      </c>
      <c r="O40" s="8">
        <v>5.0607290000000003</v>
      </c>
      <c r="P40" s="8">
        <f t="shared" ca="1" si="2"/>
        <v>0.12258084081010907</v>
      </c>
      <c r="Q40" s="9">
        <v>0.08</v>
      </c>
      <c r="R40" s="9">
        <f t="shared" ca="1" si="3"/>
        <v>1.6209873534361705E-3</v>
      </c>
      <c r="S40" s="8">
        <f t="shared" si="4"/>
        <v>0.45842594314346441</v>
      </c>
      <c r="T40" s="11">
        <v>6.5500000000000003E-2</v>
      </c>
      <c r="U40" s="11">
        <f t="shared" ca="1" si="5"/>
        <v>1.7765415840897167E-3</v>
      </c>
      <c r="V40" s="6" t="e">
        <f ca="1">IF(agePb6U8(1/O40)&lt;1400,age7corr(1/O40,Q40,$W$2),agePb76(Q40))</f>
        <v>#NAME?</v>
      </c>
      <c r="W40" s="6" t="e">
        <f ca="1">IF(agePb6U8(1/O40)&lt;1400,ageer7corr(V40,1/O40,P40/O40*(1/O40),Q40,R40,$W$2,0.05),ageerPb76(Q40,R40))</f>
        <v>#NAME?</v>
      </c>
      <c r="X40" s="4" t="e">
        <f ca="1">agePb6U8(L40)/agePb7u5(J40)</f>
        <v>#NAME?</v>
      </c>
      <c r="Y40" s="3"/>
      <c r="Z40" s="1">
        <v>2.1829999999999998</v>
      </c>
      <c r="AA40" s="1">
        <v>2.9000000000000001E-2</v>
      </c>
      <c r="AB40" s="1">
        <v>0.1976</v>
      </c>
      <c r="AC40" s="1">
        <v>2.7000000000000001E-3</v>
      </c>
      <c r="AD40" s="1">
        <v>0.98419999999999996</v>
      </c>
      <c r="AE40" s="1">
        <v>5.0607290000000003</v>
      </c>
      <c r="AF40" s="1">
        <v>6.9149630000000004E-2</v>
      </c>
      <c r="AG40" s="1">
        <v>0.08</v>
      </c>
      <c r="AH40" s="1">
        <v>2.5999999999999998E-4</v>
      </c>
      <c r="AI40" s="1">
        <v>4.0607999999999998E-2</v>
      </c>
      <c r="AJ40" s="1">
        <v>6.5500000000000003E-2</v>
      </c>
      <c r="AK40" s="1">
        <v>1.1999999999999999E-3</v>
      </c>
      <c r="AL40" s="1">
        <v>11.506</v>
      </c>
      <c r="AM40" s="1">
        <v>4.3999999999999997E-2</v>
      </c>
      <c r="AN40" s="1">
        <v>1175.3</v>
      </c>
      <c r="AO40" s="1">
        <v>9.3000000000000007</v>
      </c>
      <c r="AP40" s="1">
        <v>1162</v>
      </c>
      <c r="AQ40" s="1">
        <v>14</v>
      </c>
      <c r="AR40" s="1">
        <v>1282</v>
      </c>
      <c r="AS40" s="1">
        <v>23</v>
      </c>
      <c r="AT40" s="1">
        <v>1197</v>
      </c>
      <c r="AU40" s="1">
        <v>6.4</v>
      </c>
      <c r="AV40" s="1">
        <v>58</v>
      </c>
      <c r="AW40" s="1">
        <v>1</v>
      </c>
      <c r="AX40" s="1">
        <v>5.8100000000000005</v>
      </c>
      <c r="AY40" s="1">
        <v>0.16</v>
      </c>
      <c r="AZ40" s="1">
        <v>30876.120000000003</v>
      </c>
      <c r="BA40" s="1">
        <v>546.48</v>
      </c>
      <c r="BB40" s="1">
        <v>35397</v>
      </c>
      <c r="BC40" s="1">
        <v>683.09999999999991</v>
      </c>
      <c r="BD40" s="1">
        <v>443394</v>
      </c>
      <c r="BE40" s="1">
        <v>7452.0000000000009</v>
      </c>
      <c r="BF40" s="1">
        <v>0.74519999999999997</v>
      </c>
      <c r="BG40" s="1">
        <v>4.4091000000000005</v>
      </c>
      <c r="BH40" s="1">
        <f t="shared" si="6"/>
        <v>595000</v>
      </c>
      <c r="BI40" s="1">
        <f t="shared" si="7"/>
        <v>3520430.8695022613</v>
      </c>
      <c r="BJ40" s="27">
        <v>1174.3</v>
      </c>
      <c r="BK40" s="27">
        <v>17.600000000000001</v>
      </c>
      <c r="BL40" s="27">
        <v>1162.5999999999999</v>
      </c>
      <c r="BM40" s="27">
        <v>25.2</v>
      </c>
      <c r="BN40" s="27">
        <v>1196.0999999999999</v>
      </c>
      <c r="BO40" s="27">
        <v>49.3</v>
      </c>
      <c r="BP40" s="27">
        <v>1172.0999999999999</v>
      </c>
      <c r="BQ40" s="27">
        <v>17.2</v>
      </c>
      <c r="BR40" s="27">
        <v>0.89</v>
      </c>
    </row>
    <row r="41" spans="1:70" x14ac:dyDescent="0.2">
      <c r="A41" t="s">
        <v>527</v>
      </c>
      <c r="B41" t="s">
        <v>38</v>
      </c>
      <c r="C41" t="s">
        <v>528</v>
      </c>
      <c r="D41" t="s">
        <v>529</v>
      </c>
      <c r="E41">
        <v>83811</v>
      </c>
      <c r="F41">
        <v>55177</v>
      </c>
      <c r="G41" t="s">
        <v>529</v>
      </c>
      <c r="H41" s="1">
        <v>41.1</v>
      </c>
      <c r="I41" s="1">
        <v>19.86</v>
      </c>
      <c r="J41" s="10">
        <v>1.96</v>
      </c>
      <c r="K41" s="10">
        <f t="shared" ca="1" si="0"/>
        <v>0.10740875197114992</v>
      </c>
      <c r="L41" s="7">
        <v>0.18310000000000001</v>
      </c>
      <c r="M41" s="7">
        <f t="shared" ca="1" si="1"/>
        <v>9.3472051437849604E-3</v>
      </c>
      <c r="N41" s="7">
        <v>0.95433000000000001</v>
      </c>
      <c r="O41" s="8">
        <v>5.4614960000000004</v>
      </c>
      <c r="P41" s="8">
        <f t="shared" ca="1" si="2"/>
        <v>0.27880789037488946</v>
      </c>
      <c r="Q41" s="9">
        <v>7.7600000000000002E-2</v>
      </c>
      <c r="R41" s="9">
        <f t="shared" ca="1" si="3"/>
        <v>2.024525623448614E-3</v>
      </c>
      <c r="S41" s="8">
        <f t="shared" si="4"/>
        <v>0.49909859905862947</v>
      </c>
      <c r="T41" s="11">
        <v>7.7299999999999994E-2</v>
      </c>
      <c r="U41" s="11">
        <f t="shared" ca="1" si="5"/>
        <v>2.9394074232742891E-3</v>
      </c>
      <c r="V41" s="6" t="e">
        <f ca="1">IF(agePb6U8(1/O41)&lt;1400,age7corr(1/O41,Q41,$W$2),agePb76(Q41))</f>
        <v>#NAME?</v>
      </c>
      <c r="W41" s="6" t="e">
        <f ca="1">IF(agePb6U8(1/O41)&lt;1400,ageer7corr(V41,1/O41,P41/O41*(1/O41),Q41,R41,$W$2,0.05),ageerPb76(Q41,R41))</f>
        <v>#NAME?</v>
      </c>
      <c r="X41" s="4" t="e">
        <f ca="1">agePb6U8(L41)/agePb7u5(J41)</f>
        <v>#NAME?</v>
      </c>
      <c r="Y41" s="3"/>
      <c r="Z41" s="1">
        <v>1.96</v>
      </c>
      <c r="AA41" s="1">
        <v>0.1</v>
      </c>
      <c r="AB41" s="1">
        <v>0.18310000000000001</v>
      </c>
      <c r="AC41" s="1">
        <v>8.6E-3</v>
      </c>
      <c r="AD41" s="1">
        <v>0.95433000000000001</v>
      </c>
      <c r="AE41" s="1">
        <v>5.4614960000000004</v>
      </c>
      <c r="AF41" s="1">
        <v>0.25652029999999998</v>
      </c>
      <c r="AG41" s="1">
        <v>7.7600000000000002E-2</v>
      </c>
      <c r="AH41" s="1">
        <v>1.2999999999999999E-3</v>
      </c>
      <c r="AI41" s="1">
        <v>-1.1764E-2</v>
      </c>
      <c r="AJ41" s="1">
        <v>7.7299999999999994E-2</v>
      </c>
      <c r="AK41" s="1">
        <v>2.5000000000000001E-3</v>
      </c>
      <c r="AL41" s="1">
        <v>5.2160000000000002</v>
      </c>
      <c r="AM41" s="1">
        <v>5.7000000000000002E-2</v>
      </c>
      <c r="AN41" s="1">
        <v>1108</v>
      </c>
      <c r="AO41" s="1">
        <v>31</v>
      </c>
      <c r="AP41" s="1">
        <v>1083</v>
      </c>
      <c r="AQ41" s="1">
        <v>47</v>
      </c>
      <c r="AR41" s="1">
        <v>1505</v>
      </c>
      <c r="AS41" s="1">
        <v>47</v>
      </c>
      <c r="AT41" s="1">
        <v>1135</v>
      </c>
      <c r="AU41" s="1">
        <v>33</v>
      </c>
      <c r="AV41" s="1">
        <v>8.94</v>
      </c>
      <c r="AW41" s="1">
        <v>0.34</v>
      </c>
      <c r="AX41" s="1">
        <v>1.5669999999999999</v>
      </c>
      <c r="AY41" s="1">
        <v>2.4E-2</v>
      </c>
      <c r="AZ41" s="1">
        <v>9849.0600000000013</v>
      </c>
      <c r="BA41" s="1">
        <v>322.91999999999996</v>
      </c>
      <c r="BB41" s="1">
        <v>5011.4699999999993</v>
      </c>
      <c r="BC41" s="1">
        <v>167.67000000000002</v>
      </c>
      <c r="BD41" s="1">
        <v>64397.7</v>
      </c>
      <c r="BE41" s="1">
        <v>2297.6999999999998</v>
      </c>
      <c r="BF41" s="1">
        <v>11.177999999999999</v>
      </c>
      <c r="BG41" s="1">
        <v>6.8310000000000004</v>
      </c>
      <c r="BH41" s="1">
        <f t="shared" si="6"/>
        <v>5761.1111111111113</v>
      </c>
      <c r="BI41" s="1">
        <f t="shared" si="7"/>
        <v>3526.6746085216168</v>
      </c>
      <c r="BJ41" s="27">
        <v>1104.9000000000001</v>
      </c>
      <c r="BK41" s="27">
        <v>29.9</v>
      </c>
      <c r="BL41" s="27">
        <v>1084.2</v>
      </c>
      <c r="BM41" s="27">
        <v>51.2</v>
      </c>
      <c r="BN41" s="27">
        <v>1146</v>
      </c>
      <c r="BO41" s="27">
        <v>50.9</v>
      </c>
      <c r="BP41" s="27">
        <v>1115.3</v>
      </c>
      <c r="BQ41" s="27">
        <v>25.9</v>
      </c>
      <c r="BR41" s="27">
        <v>2.2000000000000002</v>
      </c>
    </row>
    <row r="42" spans="1:70" x14ac:dyDescent="0.2">
      <c r="A42" t="s">
        <v>530</v>
      </c>
      <c r="B42" t="s">
        <v>38</v>
      </c>
      <c r="C42" t="s">
        <v>531</v>
      </c>
      <c r="D42" t="s">
        <v>532</v>
      </c>
      <c r="E42">
        <v>83730</v>
      </c>
      <c r="F42">
        <v>55361</v>
      </c>
      <c r="G42" t="s">
        <v>532</v>
      </c>
      <c r="H42" s="1">
        <v>130.80000000000001</v>
      </c>
      <c r="I42" s="1">
        <v>20.2</v>
      </c>
      <c r="J42" s="10">
        <v>4.79</v>
      </c>
      <c r="K42" s="10">
        <f t="shared" ca="1" si="0"/>
        <v>0.17798213393484191</v>
      </c>
      <c r="L42" s="7">
        <v>0.30299999999999999</v>
      </c>
      <c r="M42" s="7">
        <f t="shared" ca="1" si="1"/>
        <v>1.1692886726553029E-2</v>
      </c>
      <c r="N42" s="7">
        <v>0.98224</v>
      </c>
      <c r="O42" s="8">
        <v>3.3003300000000002</v>
      </c>
      <c r="P42" s="8">
        <f t="shared" ca="1" si="2"/>
        <v>0.12736102134797758</v>
      </c>
      <c r="Q42" s="9">
        <v>0.11552999999999999</v>
      </c>
      <c r="R42" s="9">
        <f t="shared" ca="1" si="3"/>
        <v>2.40577895077665E-3</v>
      </c>
      <c r="S42" s="8">
        <f t="shared" si="4"/>
        <v>0.23071316761487548</v>
      </c>
      <c r="T42" s="11">
        <v>0.12889999999999999</v>
      </c>
      <c r="U42" s="11">
        <f t="shared" ca="1" si="5"/>
        <v>9.9401249489128648E-3</v>
      </c>
      <c r="V42" s="6" t="e">
        <f ca="1">IF(agePb6U8(1/O42)&lt;1400,age7corr(1/O42,Q42,$W$2),agePb76(Q42))</f>
        <v>#NAME?</v>
      </c>
      <c r="W42" s="6" t="e">
        <f ca="1">IF(agePb6U8(1/O42)&lt;1400,ageer7corr(V42,1/O42,P42/O42*(1/O42),Q42,R42,$W$2,0.05),ageerPb76(Q42,R42))</f>
        <v>#NAME?</v>
      </c>
      <c r="X42" s="4" t="e">
        <f ca="1">agePb6U8(L42)/agePb7u5(J42)</f>
        <v>#NAME?</v>
      </c>
      <c r="Y42" s="3"/>
      <c r="Z42" s="1">
        <v>4.79</v>
      </c>
      <c r="AA42" s="1">
        <v>0.15</v>
      </c>
      <c r="AB42" s="1">
        <v>0.30299999999999999</v>
      </c>
      <c r="AC42" s="1">
        <v>0.01</v>
      </c>
      <c r="AD42" s="1">
        <v>0.98224</v>
      </c>
      <c r="AE42" s="1">
        <v>3.3003300000000002</v>
      </c>
      <c r="AF42" s="1">
        <v>0.1089218</v>
      </c>
      <c r="AG42" s="1">
        <v>0.11552999999999999</v>
      </c>
      <c r="AH42" s="1">
        <v>6.7000000000000002E-4</v>
      </c>
      <c r="AI42" s="1">
        <v>-0.16386000000000001</v>
      </c>
      <c r="AJ42" s="1">
        <v>0.12889999999999999</v>
      </c>
      <c r="AK42" s="1">
        <v>9.5999999999999992E-3</v>
      </c>
      <c r="AL42" s="1">
        <v>16.53</v>
      </c>
      <c r="AM42" s="1">
        <v>0.18</v>
      </c>
      <c r="AN42" s="1">
        <v>1782</v>
      </c>
      <c r="AO42" s="1">
        <v>26</v>
      </c>
      <c r="AP42" s="1">
        <v>1707</v>
      </c>
      <c r="AQ42" s="1">
        <v>49</v>
      </c>
      <c r="AR42" s="1">
        <v>2450</v>
      </c>
      <c r="AS42" s="1">
        <v>170</v>
      </c>
      <c r="AT42" s="1">
        <v>1888</v>
      </c>
      <c r="AU42" s="1">
        <v>10</v>
      </c>
      <c r="AV42" s="1">
        <v>28.45</v>
      </c>
      <c r="AW42" s="1">
        <v>0.98</v>
      </c>
      <c r="AX42" s="1">
        <v>1.59</v>
      </c>
      <c r="AY42" s="1">
        <v>0.12000000000000001</v>
      </c>
      <c r="AZ42" s="1">
        <v>16226.730000000001</v>
      </c>
      <c r="BA42" s="1">
        <v>459.54</v>
      </c>
      <c r="BB42" s="1">
        <v>38191.5</v>
      </c>
      <c r="BC42" s="1">
        <v>1055.7</v>
      </c>
      <c r="BD42" s="1">
        <v>337140.89999999997</v>
      </c>
      <c r="BE42" s="1">
        <v>5713.2</v>
      </c>
      <c r="BF42" s="1">
        <v>-0.43469999999999998</v>
      </c>
      <c r="BG42" s="1">
        <v>6.2099999999999991</v>
      </c>
      <c r="BH42" s="1">
        <f t="shared" si="6"/>
        <v>-775571.42857142852</v>
      </c>
      <c r="BI42" s="1">
        <f t="shared" si="7"/>
        <v>-11079599.631906016</v>
      </c>
      <c r="BJ42" s="27">
        <v>1792.7</v>
      </c>
      <c r="BK42" s="27">
        <v>33</v>
      </c>
      <c r="BL42" s="27">
        <v>1706.3</v>
      </c>
      <c r="BM42" s="27">
        <v>59.1</v>
      </c>
      <c r="BN42" s="27">
        <v>1894.7</v>
      </c>
      <c r="BO42" s="27">
        <v>31</v>
      </c>
      <c r="BP42" s="27">
        <v>1847.9</v>
      </c>
      <c r="BQ42" s="27">
        <v>24.3</v>
      </c>
      <c r="BR42" s="27">
        <v>6.6</v>
      </c>
    </row>
    <row r="43" spans="1:70" s="23" customFormat="1" x14ac:dyDescent="0.2">
      <c r="A43" s="23" t="s">
        <v>533</v>
      </c>
      <c r="B43" s="23" t="s">
        <v>38</v>
      </c>
      <c r="C43" s="23" t="s">
        <v>534</v>
      </c>
      <c r="D43" s="23" t="s">
        <v>535</v>
      </c>
      <c r="E43" s="23">
        <v>83762</v>
      </c>
      <c r="F43" s="23">
        <v>55358</v>
      </c>
      <c r="G43" s="23" t="s">
        <v>535</v>
      </c>
      <c r="H43" s="24">
        <v>308</v>
      </c>
      <c r="I43" s="24">
        <v>15.7</v>
      </c>
      <c r="J43" s="25">
        <v>4.8099999999999996</v>
      </c>
      <c r="K43" s="25">
        <f t="shared" ca="1" si="0"/>
        <v>0.24011338988069783</v>
      </c>
      <c r="L43" s="26">
        <v>0.28199999999999997</v>
      </c>
      <c r="M43" s="26">
        <f t="shared" ca="1" si="1"/>
        <v>1.1480836206479038E-2</v>
      </c>
      <c r="N43" s="26">
        <v>0.94933000000000001</v>
      </c>
      <c r="O43" s="26">
        <v>3.5460989999999999</v>
      </c>
      <c r="P43" s="26">
        <f t="shared" ca="1" si="2"/>
        <v>0.14436944638794041</v>
      </c>
      <c r="Q43" s="25">
        <v>0.12230000000000001</v>
      </c>
      <c r="R43" s="25">
        <f t="shared" ca="1" si="3"/>
        <v>2.9787440306276738E-3</v>
      </c>
      <c r="S43" s="26">
        <f t="shared" si="4"/>
        <v>0.40727498222986569</v>
      </c>
      <c r="T43" s="25">
        <v>0.16800000000000001</v>
      </c>
      <c r="U43" s="25">
        <f t="shared" ca="1" si="5"/>
        <v>1.6348993852833879E-2</v>
      </c>
      <c r="V43" s="24" t="e">
        <f ca="1">IF(agePb6U8(1/O43)&lt;1400,age7corr(1/O43,Q43,$W$2),agePb76(Q43))</f>
        <v>#NAME?</v>
      </c>
      <c r="W43" s="24" t="e">
        <f ca="1">IF(agePb6U8(1/O43)&lt;1400,ageer7corr(V43,1/O43,P43/O43*(1/O43),Q43,R43,$W$2,0.05),ageerPb76(Q43,R43))</f>
        <v>#NAME?</v>
      </c>
      <c r="X43" s="26" t="e">
        <f ca="1">agePb6U8(L43)/agePb7u5(J43)</f>
        <v>#NAME?</v>
      </c>
      <c r="Y43" s="24"/>
      <c r="Z43" s="24">
        <v>4.8099999999999996</v>
      </c>
      <c r="AA43" s="24">
        <v>0.22</v>
      </c>
      <c r="AB43" s="24">
        <v>0.28199999999999997</v>
      </c>
      <c r="AC43" s="24">
        <v>0.01</v>
      </c>
      <c r="AD43" s="24">
        <v>0.94933000000000001</v>
      </c>
      <c r="AE43" s="24">
        <v>3.5460989999999999</v>
      </c>
      <c r="AF43" s="24">
        <v>0.1257482</v>
      </c>
      <c r="AG43" s="24">
        <v>0.12230000000000001</v>
      </c>
      <c r="AH43" s="24">
        <v>1.6999999999999999E-3</v>
      </c>
      <c r="AI43" s="24">
        <v>-0.28941</v>
      </c>
      <c r="AJ43" s="24">
        <v>0.16800000000000001</v>
      </c>
      <c r="AK43" s="24">
        <v>1.6E-2</v>
      </c>
      <c r="AL43" s="24">
        <v>34.5</v>
      </c>
      <c r="AM43" s="24">
        <v>2.5</v>
      </c>
      <c r="AN43" s="24">
        <v>1792</v>
      </c>
      <c r="AO43" s="24">
        <v>35</v>
      </c>
      <c r="AP43" s="24">
        <v>1599</v>
      </c>
      <c r="AQ43" s="24">
        <v>52</v>
      </c>
      <c r="AR43" s="24">
        <v>3130</v>
      </c>
      <c r="AS43" s="24">
        <v>260</v>
      </c>
      <c r="AT43" s="24">
        <v>1990</v>
      </c>
      <c r="AU43" s="24">
        <v>25</v>
      </c>
      <c r="AV43" s="24">
        <v>66.900000000000006</v>
      </c>
      <c r="AW43" s="24">
        <v>2.5</v>
      </c>
      <c r="AX43" s="24">
        <v>1.24</v>
      </c>
      <c r="AY43" s="24">
        <v>0.12000000000000001</v>
      </c>
      <c r="AZ43" s="24">
        <v>17201.7</v>
      </c>
      <c r="BA43" s="24">
        <v>1117.8000000000002</v>
      </c>
      <c r="BB43" s="24">
        <v>90355.499999999985</v>
      </c>
      <c r="BC43" s="24">
        <v>3974.4</v>
      </c>
      <c r="BD43" s="24">
        <v>737127.00000000012</v>
      </c>
      <c r="BE43" s="24">
        <v>24840</v>
      </c>
      <c r="BF43" s="24">
        <v>105.57000000000001</v>
      </c>
      <c r="BG43" s="24">
        <v>17.388000000000002</v>
      </c>
      <c r="BH43" s="24">
        <f t="shared" si="6"/>
        <v>6982.3529411764712</v>
      </c>
      <c r="BI43" s="24">
        <f t="shared" si="7"/>
        <v>1173.8581293204466</v>
      </c>
      <c r="BJ43" s="27">
        <v>1773.7</v>
      </c>
      <c r="BK43" s="27">
        <v>31</v>
      </c>
      <c r="BL43" s="27">
        <v>1599.9</v>
      </c>
      <c r="BM43" s="27">
        <v>55.9</v>
      </c>
      <c r="BN43" s="27">
        <v>1984.9</v>
      </c>
      <c r="BO43" s="27">
        <v>43.8</v>
      </c>
      <c r="BP43" s="27">
        <v>1829.3</v>
      </c>
      <c r="BQ43" s="27">
        <v>28.3</v>
      </c>
      <c r="BR43" s="27">
        <v>11</v>
      </c>
    </row>
    <row r="44" spans="1:70" s="23" customFormat="1" x14ac:dyDescent="0.2">
      <c r="A44" s="23" t="s">
        <v>536</v>
      </c>
      <c r="B44" s="23" t="s">
        <v>38</v>
      </c>
      <c r="C44" s="23" t="s">
        <v>537</v>
      </c>
      <c r="D44" s="23" t="s">
        <v>538</v>
      </c>
      <c r="E44" s="23">
        <v>83266</v>
      </c>
      <c r="F44" s="23">
        <v>47753</v>
      </c>
      <c r="G44" s="23" t="s">
        <v>538</v>
      </c>
      <c r="H44" s="24">
        <v>138.5</v>
      </c>
      <c r="I44" s="24">
        <v>9.5</v>
      </c>
      <c r="J44" s="25">
        <v>1.522</v>
      </c>
      <c r="K44" s="25">
        <f t="shared" ca="1" si="0"/>
        <v>8.3729287588035772E-2</v>
      </c>
      <c r="L44" s="26">
        <v>0.1404</v>
      </c>
      <c r="M44" s="26">
        <f t="shared" ca="1" si="1"/>
        <v>8.4784942059306732E-3</v>
      </c>
      <c r="N44" s="26">
        <v>0.98982000000000003</v>
      </c>
      <c r="O44" s="26">
        <v>7.1225069999999997</v>
      </c>
      <c r="P44" s="26">
        <f t="shared" ca="1" si="2"/>
        <v>0.43011495963152641</v>
      </c>
      <c r="Q44" s="25">
        <v>7.8530000000000003E-2</v>
      </c>
      <c r="R44" s="25">
        <f t="shared" ca="1" si="3"/>
        <v>1.7536203580022674E-3</v>
      </c>
      <c r="S44" s="26">
        <f t="shared" si="4"/>
        <v>0.20769367876064962</v>
      </c>
      <c r="T44" s="25">
        <v>8.0299999999999996E-2</v>
      </c>
      <c r="U44" s="25">
        <f t="shared" ca="1" si="5"/>
        <v>6.1146738261333286E-3</v>
      </c>
      <c r="V44" s="24" t="e">
        <f ca="1">IF(agePb6U8(1/O44)&lt;1400,age7corr(1/O44,Q44,$W$2),agePb76(Q44))</f>
        <v>#NAME?</v>
      </c>
      <c r="W44" s="24" t="e">
        <f ca="1">IF(agePb6U8(1/O44)&lt;1400,ageer7corr(V44,1/O44,P44/O44*(1/O44),Q44,R44,$W$2,0.05),ageerPb76(Q44,R44))</f>
        <v>#NAME?</v>
      </c>
      <c r="X44" s="26" t="e">
        <f ca="1">agePb6U8(L44)/agePb7u5(J44)</f>
        <v>#NAME?</v>
      </c>
      <c r="Y44" s="24"/>
      <c r="Z44" s="24">
        <v>1.522</v>
      </c>
      <c r="AA44" s="24">
        <v>7.8E-2</v>
      </c>
      <c r="AB44" s="24">
        <v>0.1404</v>
      </c>
      <c r="AC44" s="24">
        <v>8.0000000000000002E-3</v>
      </c>
      <c r="AD44" s="24">
        <v>0.98982000000000003</v>
      </c>
      <c r="AE44" s="24">
        <v>7.1225069999999997</v>
      </c>
      <c r="AF44" s="24">
        <v>0.4058409</v>
      </c>
      <c r="AG44" s="24">
        <v>7.8530000000000003E-2</v>
      </c>
      <c r="AH44" s="24">
        <v>7.7999999999999999E-4</v>
      </c>
      <c r="AI44" s="24">
        <v>0.75339</v>
      </c>
      <c r="AJ44" s="24">
        <v>8.0299999999999996E-2</v>
      </c>
      <c r="AK44" s="24">
        <v>5.8999999999999999E-3</v>
      </c>
      <c r="AL44" s="24">
        <v>28.5</v>
      </c>
      <c r="AM44" s="24">
        <v>2.2000000000000002</v>
      </c>
      <c r="AN44" s="24">
        <v>937</v>
      </c>
      <c r="AO44" s="24">
        <v>31</v>
      </c>
      <c r="AP44" s="24">
        <v>846</v>
      </c>
      <c r="AQ44" s="24">
        <v>45</v>
      </c>
      <c r="AR44" s="24">
        <v>1560</v>
      </c>
      <c r="AS44" s="24">
        <v>110</v>
      </c>
      <c r="AT44" s="24">
        <v>1160</v>
      </c>
      <c r="AU44" s="24">
        <v>19</v>
      </c>
      <c r="AV44" s="24">
        <v>30.099999999999998</v>
      </c>
      <c r="AW44" s="24">
        <v>1.8</v>
      </c>
      <c r="AX44" s="24">
        <v>0.75</v>
      </c>
      <c r="AY44" s="24">
        <v>0.11</v>
      </c>
      <c r="AZ44" s="24">
        <v>4700.97</v>
      </c>
      <c r="BA44" s="24">
        <v>409.86</v>
      </c>
      <c r="BB44" s="24">
        <v>12811.230000000001</v>
      </c>
      <c r="BC44" s="24">
        <v>204.93</v>
      </c>
      <c r="BD44" s="24">
        <v>163012.5</v>
      </c>
      <c r="BE44" s="24">
        <v>2856.6</v>
      </c>
      <c r="BF44" s="24">
        <v>54.648000000000003</v>
      </c>
      <c r="BG44" s="24">
        <v>14.283000000000001</v>
      </c>
      <c r="BH44" s="24">
        <f t="shared" si="6"/>
        <v>2982.9545454545455</v>
      </c>
      <c r="BI44" s="24">
        <f t="shared" si="7"/>
        <v>781.386263068056</v>
      </c>
      <c r="BJ44" s="27">
        <v>942.2</v>
      </c>
      <c r="BK44" s="27">
        <v>37.1</v>
      </c>
      <c r="BL44" s="27">
        <v>847.2</v>
      </c>
      <c r="BM44" s="27">
        <v>47.9</v>
      </c>
      <c r="BN44" s="27">
        <v>1171.2</v>
      </c>
      <c r="BO44" s="27">
        <v>50.1</v>
      </c>
      <c r="BP44" s="27">
        <v>1004.3</v>
      </c>
      <c r="BQ44" s="27">
        <v>35.9</v>
      </c>
      <c r="BR44" s="27">
        <v>13</v>
      </c>
    </row>
    <row r="45" spans="1:70" s="23" customFormat="1" x14ac:dyDescent="0.2">
      <c r="A45" s="23" t="s">
        <v>539</v>
      </c>
      <c r="B45" s="23" t="s">
        <v>38</v>
      </c>
      <c r="C45" s="23" t="s">
        <v>540</v>
      </c>
      <c r="D45" s="23" t="s">
        <v>541</v>
      </c>
      <c r="E45" s="23">
        <v>83210</v>
      </c>
      <c r="F45" s="23">
        <v>47961</v>
      </c>
      <c r="G45" s="23" t="s">
        <v>541</v>
      </c>
      <c r="H45" s="24">
        <v>139</v>
      </c>
      <c r="I45" s="24">
        <v>94</v>
      </c>
      <c r="J45" s="25">
        <v>2.0329999999999999</v>
      </c>
      <c r="K45" s="25">
        <f t="shared" ca="1" si="0"/>
        <v>7.9229007314240665E-2</v>
      </c>
      <c r="L45" s="26">
        <v>0.17899999999999999</v>
      </c>
      <c r="M45" s="26">
        <f t="shared" ca="1" si="1"/>
        <v>7.1593575130733614E-3</v>
      </c>
      <c r="N45" s="26">
        <v>0.96204000000000001</v>
      </c>
      <c r="O45" s="26">
        <v>5.5865919999999996</v>
      </c>
      <c r="P45" s="26">
        <f t="shared" ca="1" si="2"/>
        <v>0.22344365458476464</v>
      </c>
      <c r="Q45" s="25">
        <v>8.3080000000000001E-2</v>
      </c>
      <c r="R45" s="25">
        <f t="shared" ca="1" si="3"/>
        <v>1.8189322582218394E-3</v>
      </c>
      <c r="S45" s="26">
        <f t="shared" si="4"/>
        <v>0.49123157601556106</v>
      </c>
      <c r="T45" s="25">
        <v>6.3899999999999998E-2</v>
      </c>
      <c r="U45" s="25">
        <f t="shared" ca="1" si="5"/>
        <v>2.8971164974850422E-3</v>
      </c>
      <c r="V45" s="24" t="e">
        <f ca="1">IF(agePb6U8(1/O45)&lt;1400,age7corr(1/O45,Q45,$W$2),agePb76(Q45))</f>
        <v>#NAME?</v>
      </c>
      <c r="W45" s="24" t="e">
        <f ca="1">IF(agePb6U8(1/O45)&lt;1400,ageer7corr(V45,1/O45,P45/O45*(1/O45),Q45,R45,$W$2,0.05),ageerPb76(Q45,R45))</f>
        <v>#NAME?</v>
      </c>
      <c r="X45" s="26" t="e">
        <f ca="1">agePb6U8(L45)/agePb7u5(J45)</f>
        <v>#NAME?</v>
      </c>
      <c r="Y45" s="24"/>
      <c r="Z45" s="24">
        <v>2.0329999999999999</v>
      </c>
      <c r="AA45" s="24">
        <v>6.8000000000000005E-2</v>
      </c>
      <c r="AB45" s="24">
        <v>0.17899999999999999</v>
      </c>
      <c r="AC45" s="24">
        <v>6.1999999999999998E-3</v>
      </c>
      <c r="AD45" s="24">
        <v>0.96204000000000001</v>
      </c>
      <c r="AE45" s="24">
        <v>5.5865919999999996</v>
      </c>
      <c r="AF45" s="24">
        <v>0.19350210000000001</v>
      </c>
      <c r="AG45" s="24">
        <v>8.3080000000000001E-2</v>
      </c>
      <c r="AH45" s="24">
        <v>7.3999999999999999E-4</v>
      </c>
      <c r="AI45" s="24">
        <v>-0.26027</v>
      </c>
      <c r="AJ45" s="24">
        <v>6.3899999999999998E-2</v>
      </c>
      <c r="AK45" s="24">
        <v>2.5999999999999999E-3</v>
      </c>
      <c r="AL45" s="24">
        <v>4.4589999999999996</v>
      </c>
      <c r="AM45" s="24">
        <v>3.1E-2</v>
      </c>
      <c r="AN45" s="24">
        <v>1125</v>
      </c>
      <c r="AO45" s="24">
        <v>23</v>
      </c>
      <c r="AP45" s="24">
        <v>1061</v>
      </c>
      <c r="AQ45" s="24">
        <v>34</v>
      </c>
      <c r="AR45" s="24">
        <v>1252</v>
      </c>
      <c r="AS45" s="24">
        <v>49</v>
      </c>
      <c r="AT45" s="24">
        <v>1271</v>
      </c>
      <c r="AU45" s="24">
        <v>17</v>
      </c>
      <c r="AV45" s="24">
        <v>30.3</v>
      </c>
      <c r="AW45" s="24">
        <v>2.4</v>
      </c>
      <c r="AX45" s="24">
        <v>7.41</v>
      </c>
      <c r="AY45" s="24">
        <v>0.86</v>
      </c>
      <c r="AZ45" s="24">
        <v>37943.1</v>
      </c>
      <c r="BA45" s="24">
        <v>2670.3</v>
      </c>
      <c r="BB45" s="24">
        <v>17450.100000000002</v>
      </c>
      <c r="BC45" s="24">
        <v>1117.8000000000002</v>
      </c>
      <c r="BD45" s="24">
        <v>211760.99999999997</v>
      </c>
      <c r="BE45" s="24">
        <v>14904.000000000002</v>
      </c>
      <c r="BF45" s="24">
        <v>122.33700000000003</v>
      </c>
      <c r="BG45" s="24">
        <v>8.6940000000000008</v>
      </c>
      <c r="BH45" s="24">
        <f t="shared" si="6"/>
        <v>1730.9644670050754</v>
      </c>
      <c r="BI45" s="24">
        <f t="shared" si="7"/>
        <v>173.13013391645475</v>
      </c>
      <c r="BJ45" s="27">
        <v>1131.0999999999999</v>
      </c>
      <c r="BK45" s="27">
        <v>23.6</v>
      </c>
      <c r="BL45" s="27">
        <v>1060.9000000000001</v>
      </c>
      <c r="BM45" s="27">
        <v>38.5</v>
      </c>
      <c r="BN45" s="27">
        <v>1268.3</v>
      </c>
      <c r="BO45" s="27">
        <v>47</v>
      </c>
      <c r="BP45" s="27">
        <v>1150.8</v>
      </c>
      <c r="BQ45" s="27">
        <v>22.7</v>
      </c>
      <c r="BR45" s="27">
        <v>6.4</v>
      </c>
    </row>
    <row r="46" spans="1:70" x14ac:dyDescent="0.2">
      <c r="A46" t="s">
        <v>542</v>
      </c>
      <c r="B46" t="s">
        <v>38</v>
      </c>
      <c r="C46" t="s">
        <v>543</v>
      </c>
      <c r="D46" t="s">
        <v>544</v>
      </c>
      <c r="E46">
        <v>83294</v>
      </c>
      <c r="F46">
        <v>48228</v>
      </c>
      <c r="G46" t="s">
        <v>544</v>
      </c>
      <c r="H46" s="1">
        <v>161.4</v>
      </c>
      <c r="I46" s="1">
        <v>46.5</v>
      </c>
      <c r="J46" s="10">
        <v>1.7589999999999999</v>
      </c>
      <c r="K46" s="10">
        <f t="shared" ca="1" si="0"/>
        <v>4.8924762646332783E-2</v>
      </c>
      <c r="L46" s="7">
        <v>0.16930000000000001</v>
      </c>
      <c r="M46" s="7">
        <f t="shared" ca="1" si="1"/>
        <v>4.8698045135302922E-3</v>
      </c>
      <c r="N46" s="7">
        <v>0.97746</v>
      </c>
      <c r="O46" s="8">
        <v>5.9066749999999999</v>
      </c>
      <c r="P46" s="8">
        <f t="shared" ca="1" si="2"/>
        <v>0.1699016518427352</v>
      </c>
      <c r="Q46" s="9">
        <v>7.5389999999999999E-2</v>
      </c>
      <c r="R46" s="9">
        <f t="shared" ca="1" si="3"/>
        <v>1.5354350653804933E-3</v>
      </c>
      <c r="S46" s="8">
        <f t="shared" si="4"/>
        <v>0.41948622847497197</v>
      </c>
      <c r="T46" s="11">
        <v>5.7799999999999997E-2</v>
      </c>
      <c r="U46" s="11">
        <f t="shared" ca="1" si="5"/>
        <v>1.6662340771932374E-3</v>
      </c>
      <c r="V46" s="6" t="e">
        <f ca="1">IF(agePb6U8(1/O46)&lt;1400,age7corr(1/O46,Q46,$W$2),agePb76(Q46))</f>
        <v>#NAME?</v>
      </c>
      <c r="W46" s="6" t="e">
        <f ca="1">IF(agePb6U8(1/O46)&lt;1400,ageer7corr(V46,1/O46,P46/O46*(1/O46),Q46,R46,$W$2,0.05),ageerPb76(Q46,R46))</f>
        <v>#NAME?</v>
      </c>
      <c r="X46" s="4" t="e">
        <f ca="1">agePb6U8(L46)/agePb7u5(J46)</f>
        <v>#NAME?</v>
      </c>
      <c r="Y46" s="3"/>
      <c r="Z46" s="1">
        <v>1.7589999999999999</v>
      </c>
      <c r="AA46" s="1">
        <v>3.4000000000000002E-2</v>
      </c>
      <c r="AB46" s="1">
        <v>0.16930000000000001</v>
      </c>
      <c r="AC46" s="1">
        <v>3.5000000000000001E-3</v>
      </c>
      <c r="AD46" s="1">
        <v>0.97746</v>
      </c>
      <c r="AE46" s="1">
        <v>5.9066749999999999</v>
      </c>
      <c r="AF46" s="1">
        <v>0.12211080000000001</v>
      </c>
      <c r="AG46" s="1">
        <v>7.5389999999999999E-2</v>
      </c>
      <c r="AH46" s="1">
        <v>2.9E-4</v>
      </c>
      <c r="AI46" s="1">
        <v>0.35393000000000002</v>
      </c>
      <c r="AJ46" s="1">
        <v>5.7799999999999997E-2</v>
      </c>
      <c r="AK46" s="1">
        <v>1.1999999999999999E-3</v>
      </c>
      <c r="AL46" s="1">
        <v>10.8</v>
      </c>
      <c r="AM46" s="1">
        <v>0.34</v>
      </c>
      <c r="AN46" s="1">
        <v>1030</v>
      </c>
      <c r="AO46" s="1">
        <v>13</v>
      </c>
      <c r="AP46" s="1">
        <v>1008</v>
      </c>
      <c r="AQ46" s="1">
        <v>19</v>
      </c>
      <c r="AR46" s="1">
        <v>1135</v>
      </c>
      <c r="AS46" s="1">
        <v>24</v>
      </c>
      <c r="AT46" s="1">
        <v>1079</v>
      </c>
      <c r="AU46" s="1">
        <v>7.7</v>
      </c>
      <c r="AV46" s="1">
        <v>35.1</v>
      </c>
      <c r="AW46" s="1">
        <v>2</v>
      </c>
      <c r="AX46" s="1">
        <v>3.669</v>
      </c>
      <c r="AY46" s="1">
        <v>8.7999999999999995E-2</v>
      </c>
      <c r="AZ46" s="1">
        <v>17034.03</v>
      </c>
      <c r="BA46" s="1">
        <v>409.86</v>
      </c>
      <c r="BB46" s="1">
        <v>17388</v>
      </c>
      <c r="BC46" s="1">
        <v>869.4</v>
      </c>
      <c r="BD46" s="1">
        <v>232254</v>
      </c>
      <c r="BE46" s="1">
        <v>10557</v>
      </c>
      <c r="BF46" s="1">
        <v>55.89</v>
      </c>
      <c r="BG46" s="1">
        <v>6.8310000000000004</v>
      </c>
      <c r="BH46" s="1">
        <f t="shared" si="6"/>
        <v>4155.5555555555557</v>
      </c>
      <c r="BI46" s="1">
        <f t="shared" si="7"/>
        <v>541.888066321152</v>
      </c>
      <c r="BJ46" s="27">
        <v>1026.8</v>
      </c>
      <c r="BK46" s="27">
        <v>19.3</v>
      </c>
      <c r="BL46" s="27">
        <v>1007.7</v>
      </c>
      <c r="BM46" s="27">
        <v>26.8</v>
      </c>
      <c r="BN46" s="27">
        <v>1067.5999999999999</v>
      </c>
      <c r="BO46" s="27">
        <v>53.6</v>
      </c>
      <c r="BP46" s="27">
        <v>1024</v>
      </c>
      <c r="BQ46" s="27">
        <v>19.2</v>
      </c>
      <c r="BR46" s="27">
        <v>1.6</v>
      </c>
    </row>
    <row r="47" spans="1:70" x14ac:dyDescent="0.2">
      <c r="A47" t="s">
        <v>545</v>
      </c>
      <c r="B47" t="s">
        <v>38</v>
      </c>
      <c r="C47" t="s">
        <v>546</v>
      </c>
      <c r="D47" t="s">
        <v>547</v>
      </c>
      <c r="E47">
        <v>83226</v>
      </c>
      <c r="F47">
        <v>48416</v>
      </c>
      <c r="G47" t="s">
        <v>547</v>
      </c>
      <c r="H47" s="1">
        <v>204.2</v>
      </c>
      <c r="I47" s="1">
        <v>133.4</v>
      </c>
      <c r="J47" s="10">
        <v>12</v>
      </c>
      <c r="K47" s="10">
        <f t="shared" ca="1" si="0"/>
        <v>0.44102154142399896</v>
      </c>
      <c r="L47" s="7">
        <v>0.47299999999999998</v>
      </c>
      <c r="M47" s="7">
        <f t="shared" ca="1" si="1"/>
        <v>1.6896496678305832E-2</v>
      </c>
      <c r="N47" s="7">
        <v>0.99621000000000004</v>
      </c>
      <c r="O47" s="8">
        <v>2.1141649999999998</v>
      </c>
      <c r="P47" s="8">
        <f t="shared" ca="1" si="2"/>
        <v>7.5522161918830821E-2</v>
      </c>
      <c r="Q47" s="9">
        <v>0.18395</v>
      </c>
      <c r="R47" s="9">
        <f t="shared" ca="1" si="3"/>
        <v>3.705218077252674E-3</v>
      </c>
      <c r="S47" s="8">
        <f t="shared" si="4"/>
        <v>0.5226853276454555</v>
      </c>
      <c r="T47" s="11">
        <v>0.1484</v>
      </c>
      <c r="U47" s="11">
        <f t="shared" ca="1" si="5"/>
        <v>4.9009207298221016E-3</v>
      </c>
      <c r="V47" s="6" t="e">
        <f ca="1">IF(agePb6U8(1/O47)&lt;1400,age7corr(1/O47,Q47,$W$2),agePb76(Q47))</f>
        <v>#NAME?</v>
      </c>
      <c r="W47" s="6" t="e">
        <f ca="1">IF(agePb6U8(1/O47)&lt;1400,ageer7corr(V47,1/O47,P47/O47*(1/O47),Q47,R47,$W$2,0.05),ageerPb76(Q47,R47))</f>
        <v>#NAME?</v>
      </c>
      <c r="X47" s="4" t="e">
        <f ca="1">agePb6U8(L47)/agePb7u5(J47)</f>
        <v>#NAME?</v>
      </c>
      <c r="Y47" s="3"/>
      <c r="Z47" s="1">
        <v>12</v>
      </c>
      <c r="AA47" s="1">
        <v>0.37</v>
      </c>
      <c r="AB47" s="1">
        <v>0.47299999999999998</v>
      </c>
      <c r="AC47" s="1">
        <v>1.4E-2</v>
      </c>
      <c r="AD47" s="1">
        <v>0.99621000000000004</v>
      </c>
      <c r="AE47" s="1">
        <v>2.1141649999999998</v>
      </c>
      <c r="AF47" s="1">
        <v>6.2575710000000007E-2</v>
      </c>
      <c r="AG47" s="1">
        <v>0.18395</v>
      </c>
      <c r="AH47" s="1">
        <v>4.4000000000000002E-4</v>
      </c>
      <c r="AI47" s="1">
        <v>-7.5190999999999994E-2</v>
      </c>
      <c r="AJ47" s="1">
        <v>0.1484</v>
      </c>
      <c r="AK47" s="1">
        <v>3.8999999999999998E-3</v>
      </c>
      <c r="AL47" s="1">
        <v>5.181</v>
      </c>
      <c r="AM47" s="1">
        <v>4.9000000000000002E-2</v>
      </c>
      <c r="AN47" s="1">
        <v>2603</v>
      </c>
      <c r="AO47" s="1">
        <v>28</v>
      </c>
      <c r="AP47" s="1">
        <v>2497</v>
      </c>
      <c r="AQ47" s="1">
        <v>63</v>
      </c>
      <c r="AR47" s="1">
        <v>2796</v>
      </c>
      <c r="AS47" s="1">
        <v>68</v>
      </c>
      <c r="AT47" s="1">
        <v>2688.8</v>
      </c>
      <c r="AU47" s="1">
        <v>3.9</v>
      </c>
      <c r="AV47" s="1">
        <v>44.41</v>
      </c>
      <c r="AW47" s="1">
        <v>0.76999999999999991</v>
      </c>
      <c r="AX47" s="1">
        <v>10.53</v>
      </c>
      <c r="AY47" s="1">
        <v>0.43</v>
      </c>
      <c r="AZ47" s="1">
        <v>126746.09999999999</v>
      </c>
      <c r="BA47" s="1">
        <v>3229.2</v>
      </c>
      <c r="BB47" s="1">
        <v>150095.69999999998</v>
      </c>
      <c r="BC47" s="1">
        <v>3042.9</v>
      </c>
      <c r="BD47" s="1">
        <v>820341</v>
      </c>
      <c r="BE47" s="1">
        <v>16145.999999999996</v>
      </c>
      <c r="BF47" s="1">
        <v>20.3688</v>
      </c>
      <c r="BG47" s="1">
        <v>5.6510999999999996</v>
      </c>
      <c r="BH47" s="1">
        <f t="shared" si="6"/>
        <v>40274.390243902439</v>
      </c>
      <c r="BI47" s="1">
        <f t="shared" si="7"/>
        <v>11201.769476338273</v>
      </c>
      <c r="BJ47" s="27">
        <v>2605.8000000000002</v>
      </c>
      <c r="BK47" s="27">
        <v>30.4</v>
      </c>
      <c r="BL47" s="27">
        <v>2500.8000000000002</v>
      </c>
      <c r="BM47" s="27">
        <v>78.599999999999994</v>
      </c>
      <c r="BN47" s="27">
        <v>2688.5</v>
      </c>
      <c r="BO47" s="27">
        <v>35.9</v>
      </c>
      <c r="BP47" s="27">
        <v>2640</v>
      </c>
      <c r="BQ47" s="27">
        <v>23.5</v>
      </c>
      <c r="BR47" s="27">
        <v>4.5999999999999996</v>
      </c>
    </row>
    <row r="48" spans="1:70" x14ac:dyDescent="0.2">
      <c r="A48" t="s">
        <v>548</v>
      </c>
      <c r="B48" t="s">
        <v>38</v>
      </c>
      <c r="C48" t="s">
        <v>549</v>
      </c>
      <c r="D48" t="s">
        <v>550</v>
      </c>
      <c r="E48">
        <v>83230</v>
      </c>
      <c r="F48">
        <v>48681</v>
      </c>
      <c r="G48" t="s">
        <v>550</v>
      </c>
      <c r="H48" s="1">
        <v>292</v>
      </c>
      <c r="I48" s="1">
        <v>591</v>
      </c>
      <c r="J48" s="10">
        <v>1.7789999999999999</v>
      </c>
      <c r="K48" s="10">
        <f t="shared" ca="1" si="0"/>
        <v>6.1367225780541851E-2</v>
      </c>
      <c r="L48" s="7">
        <v>0.16589999999999999</v>
      </c>
      <c r="M48" s="7">
        <f t="shared" ca="1" si="1"/>
        <v>5.4313096026649037E-3</v>
      </c>
      <c r="N48" s="7">
        <v>0.99524999999999997</v>
      </c>
      <c r="O48" s="8">
        <v>6.0277279999999998</v>
      </c>
      <c r="P48" s="8">
        <f t="shared" ca="1" si="2"/>
        <v>0.19733845213944898</v>
      </c>
      <c r="Q48" s="9">
        <v>7.7920000000000003E-2</v>
      </c>
      <c r="R48" s="9">
        <f t="shared" ca="1" si="3"/>
        <v>1.5783252389795965E-3</v>
      </c>
      <c r="S48" s="8">
        <f t="shared" si="4"/>
        <v>0.46991298438159795</v>
      </c>
      <c r="T48" s="11">
        <v>6.2E-2</v>
      </c>
      <c r="U48" s="11">
        <f t="shared" ca="1" si="5"/>
        <v>1.9461757371830532E-3</v>
      </c>
      <c r="V48" s="6" t="e">
        <f ca="1">IF(agePb6U8(1/O48)&lt;1400,age7corr(1/O48,Q48,$W$2),agePb76(Q48))</f>
        <v>#NAME?</v>
      </c>
      <c r="W48" s="6" t="e">
        <f ca="1">IF(agePb6U8(1/O48)&lt;1400,ageer7corr(V48,1/O48,P48/O48*(1/O48),Q48,R48,$W$2,0.05),ageerPb76(Q48,R48))</f>
        <v>#NAME?</v>
      </c>
      <c r="X48" s="4" t="e">
        <f ca="1">agePb6U8(L48)/agePb7u5(J48)</f>
        <v>#NAME?</v>
      </c>
      <c r="Y48" s="3"/>
      <c r="Z48" s="1">
        <v>1.7789999999999999</v>
      </c>
      <c r="AA48" s="1">
        <v>0.05</v>
      </c>
      <c r="AB48" s="1">
        <v>0.16589999999999999</v>
      </c>
      <c r="AC48" s="1">
        <v>4.3E-3</v>
      </c>
      <c r="AD48" s="1">
        <v>0.99524999999999997</v>
      </c>
      <c r="AE48" s="1">
        <v>6.0277279999999998</v>
      </c>
      <c r="AF48" s="1">
        <v>0.15623400000000001</v>
      </c>
      <c r="AG48" s="1">
        <v>7.7920000000000003E-2</v>
      </c>
      <c r="AH48" s="1">
        <v>2.5000000000000001E-4</v>
      </c>
      <c r="AI48" s="1">
        <v>-0.41406999999999999</v>
      </c>
      <c r="AJ48" s="1">
        <v>6.2E-2</v>
      </c>
      <c r="AK48" s="1">
        <v>1.5E-3</v>
      </c>
      <c r="AL48" s="1">
        <v>1.4038999999999999</v>
      </c>
      <c r="AM48" s="1">
        <v>6.6E-3</v>
      </c>
      <c r="AN48" s="1">
        <v>1037</v>
      </c>
      <c r="AO48" s="1">
        <v>18</v>
      </c>
      <c r="AP48" s="1">
        <v>989</v>
      </c>
      <c r="AQ48" s="1">
        <v>24</v>
      </c>
      <c r="AR48" s="1">
        <v>1215</v>
      </c>
      <c r="AS48" s="1">
        <v>28</v>
      </c>
      <c r="AT48" s="1">
        <v>1144.8</v>
      </c>
      <c r="AU48" s="1">
        <v>6.5</v>
      </c>
      <c r="AV48" s="1">
        <v>63.5</v>
      </c>
      <c r="AW48" s="1">
        <v>1.2</v>
      </c>
      <c r="AX48" s="1">
        <v>46.6</v>
      </c>
      <c r="AY48" s="1">
        <v>1.8</v>
      </c>
      <c r="AZ48" s="1">
        <v>232750.80000000002</v>
      </c>
      <c r="BA48" s="1">
        <v>5216.3999999999996</v>
      </c>
      <c r="BB48" s="1">
        <v>31671</v>
      </c>
      <c r="BC48" s="1">
        <v>621</v>
      </c>
      <c r="BD48" s="1">
        <v>411102</v>
      </c>
      <c r="BE48" s="1">
        <v>7452.0000000000009</v>
      </c>
      <c r="BF48" s="1">
        <v>55.89</v>
      </c>
      <c r="BG48" s="1">
        <v>6.8310000000000004</v>
      </c>
      <c r="BH48" s="1">
        <f t="shared" si="6"/>
        <v>7355.5555555555557</v>
      </c>
      <c r="BI48" s="1">
        <f t="shared" si="7"/>
        <v>908.84595804847913</v>
      </c>
      <c r="BJ48" s="27">
        <v>1039.2</v>
      </c>
      <c r="BK48" s="27">
        <v>20.100000000000001</v>
      </c>
      <c r="BL48" s="27">
        <v>989.1</v>
      </c>
      <c r="BM48" s="27">
        <v>30.4</v>
      </c>
      <c r="BN48" s="27">
        <v>1146</v>
      </c>
      <c r="BO48" s="27">
        <v>50.9</v>
      </c>
      <c r="BP48" s="27">
        <v>1040.0999999999999</v>
      </c>
      <c r="BQ48" s="27">
        <v>20.5</v>
      </c>
      <c r="BR48" s="27">
        <v>4.4000000000000004</v>
      </c>
    </row>
    <row r="49" spans="1:70" x14ac:dyDescent="0.2">
      <c r="A49" t="s">
        <v>557</v>
      </c>
      <c r="B49" t="s">
        <v>38</v>
      </c>
      <c r="C49" t="s">
        <v>558</v>
      </c>
      <c r="D49" t="s">
        <v>559</v>
      </c>
      <c r="E49">
        <v>83261</v>
      </c>
      <c r="F49">
        <v>48802</v>
      </c>
      <c r="G49" t="s">
        <v>559</v>
      </c>
      <c r="H49" s="1">
        <v>267.7</v>
      </c>
      <c r="I49" s="1">
        <v>179.9</v>
      </c>
      <c r="J49" s="10">
        <v>2.1059999999999999</v>
      </c>
      <c r="K49" s="10">
        <f t="shared" ca="1" si="0"/>
        <v>6.3859959285925E-2</v>
      </c>
      <c r="L49" s="7">
        <v>0.1915</v>
      </c>
      <c r="M49" s="7">
        <f t="shared" ca="1" si="1"/>
        <v>5.6840918359927989E-3</v>
      </c>
      <c r="N49" s="7">
        <v>0.99300999999999995</v>
      </c>
      <c r="O49" s="8">
        <v>5.2219319999999998</v>
      </c>
      <c r="P49" s="8">
        <f t="shared" ca="1" si="2"/>
        <v>0.15499707193701953</v>
      </c>
      <c r="Q49" s="9">
        <v>7.9820000000000002E-2</v>
      </c>
      <c r="R49" s="9">
        <f t="shared" ca="1" si="3"/>
        <v>1.6225267208893664E-3</v>
      </c>
      <c r="S49" s="8">
        <f t="shared" si="4"/>
        <v>0.48281635883763124</v>
      </c>
      <c r="T49" s="11">
        <v>6.3700000000000007E-2</v>
      </c>
      <c r="U49" s="11">
        <f t="shared" ca="1" si="5"/>
        <v>1.8929014765697661E-3</v>
      </c>
      <c r="V49" s="6" t="e">
        <f ca="1">IF(agePb6U8(1/O49)&lt;1400,age7corr(1/O49,Q49,$W$2),agePb76(Q49))</f>
        <v>#NAME?</v>
      </c>
      <c r="W49" s="6" t="e">
        <f ca="1">IF(agePb6U8(1/O49)&lt;1400,ageer7corr(V49,1/O49,P49/O49*(1/O49),Q49,R49,$W$2,0.05),ageerPb76(Q49,R49))</f>
        <v>#NAME?</v>
      </c>
      <c r="X49" s="4" t="e">
        <f ca="1">agePb6U8(L49)/agePb7u5(J49)</f>
        <v>#NAME?</v>
      </c>
      <c r="Y49" s="3"/>
      <c r="Z49" s="1">
        <v>2.1059999999999999</v>
      </c>
      <c r="AA49" s="1">
        <v>4.8000000000000001E-2</v>
      </c>
      <c r="AB49" s="1">
        <v>0.1915</v>
      </c>
      <c r="AC49" s="1">
        <v>4.1999999999999997E-3</v>
      </c>
      <c r="AD49" s="1">
        <v>0.99300999999999995</v>
      </c>
      <c r="AE49" s="1">
        <v>5.2219319999999998</v>
      </c>
      <c r="AF49" s="1">
        <v>0.114528</v>
      </c>
      <c r="AG49" s="1">
        <v>7.9820000000000002E-2</v>
      </c>
      <c r="AH49" s="1">
        <v>2.9E-4</v>
      </c>
      <c r="AI49" s="1">
        <v>-9.5475000000000004E-2</v>
      </c>
      <c r="AJ49" s="1">
        <v>6.3700000000000007E-2</v>
      </c>
      <c r="AK49" s="1">
        <v>1.4E-3</v>
      </c>
      <c r="AL49" s="1">
        <v>4.7469999999999999</v>
      </c>
      <c r="AM49" s="1">
        <v>1.2E-2</v>
      </c>
      <c r="AN49" s="1">
        <v>1150</v>
      </c>
      <c r="AO49" s="1">
        <v>16</v>
      </c>
      <c r="AP49" s="1">
        <v>1129</v>
      </c>
      <c r="AQ49" s="1">
        <v>23</v>
      </c>
      <c r="AR49" s="1">
        <v>1247</v>
      </c>
      <c r="AS49" s="1">
        <v>27</v>
      </c>
      <c r="AT49" s="1">
        <v>1192.5999999999999</v>
      </c>
      <c r="AU49" s="1">
        <v>7.2</v>
      </c>
      <c r="AV49" s="1">
        <v>58.18</v>
      </c>
      <c r="AW49" s="1">
        <v>0.97000000000000008</v>
      </c>
      <c r="AX49" s="1">
        <v>14.200000000000001</v>
      </c>
      <c r="AY49" s="1">
        <v>0.33</v>
      </c>
      <c r="AZ49" s="1">
        <v>73029.599999999991</v>
      </c>
      <c r="BA49" s="1">
        <v>1242</v>
      </c>
      <c r="BB49" s="1">
        <v>34465.5</v>
      </c>
      <c r="BC49" s="1">
        <v>546.48</v>
      </c>
      <c r="BD49" s="1">
        <v>434700</v>
      </c>
      <c r="BE49" s="1">
        <v>6831</v>
      </c>
      <c r="BF49" s="1">
        <v>3.4155000000000002</v>
      </c>
      <c r="BG49" s="1">
        <v>4.968</v>
      </c>
      <c r="BH49" s="1">
        <f t="shared" si="6"/>
        <v>127272.72727272726</v>
      </c>
      <c r="BI49" s="1">
        <f t="shared" si="7"/>
        <v>185134.77019835517</v>
      </c>
      <c r="BJ49" s="27">
        <v>1152.8</v>
      </c>
      <c r="BK49" s="27">
        <v>19</v>
      </c>
      <c r="BL49" s="27">
        <v>1129.9000000000001</v>
      </c>
      <c r="BM49" s="27">
        <v>29.8</v>
      </c>
      <c r="BN49" s="27">
        <v>1196.0999999999999</v>
      </c>
      <c r="BO49" s="27">
        <v>49.3</v>
      </c>
      <c r="BP49" s="27">
        <v>1152</v>
      </c>
      <c r="BQ49" s="27">
        <v>19.100000000000001</v>
      </c>
      <c r="BR49" s="27">
        <v>1.8</v>
      </c>
    </row>
    <row r="50" spans="1:70" x14ac:dyDescent="0.2">
      <c r="A50" t="s">
        <v>560</v>
      </c>
      <c r="B50" t="s">
        <v>38</v>
      </c>
      <c r="C50" t="s">
        <v>561</v>
      </c>
      <c r="D50" t="s">
        <v>562</v>
      </c>
      <c r="E50">
        <v>83376</v>
      </c>
      <c r="F50">
        <v>48900</v>
      </c>
      <c r="G50" t="s">
        <v>562</v>
      </c>
      <c r="H50" s="1">
        <v>230.5</v>
      </c>
      <c r="I50" s="1">
        <v>54.9</v>
      </c>
      <c r="J50" s="10">
        <v>2.5419999999999998</v>
      </c>
      <c r="K50" s="10">
        <f t="shared" ca="1" si="0"/>
        <v>9.9043957917684208E-2</v>
      </c>
      <c r="L50" s="7">
        <v>0.2142</v>
      </c>
      <c r="M50" s="7">
        <f t="shared" ca="1" si="1"/>
        <v>8.1217397151103037E-3</v>
      </c>
      <c r="N50" s="7">
        <v>0.99467000000000005</v>
      </c>
      <c r="O50" s="8">
        <v>4.6685340000000002</v>
      </c>
      <c r="P50" s="8">
        <f t="shared" ca="1" si="2"/>
        <v>0.17701506617421695</v>
      </c>
      <c r="Q50" s="9">
        <v>8.6069999999999994E-2</v>
      </c>
      <c r="R50" s="9">
        <f t="shared" ca="1" si="3"/>
        <v>1.7566211771466265E-3</v>
      </c>
      <c r="S50" s="8">
        <f t="shared" si="4"/>
        <v>0.51021143506825162</v>
      </c>
      <c r="T50" s="11">
        <v>6.7699999999999996E-2</v>
      </c>
      <c r="U50" s="11">
        <f t="shared" ca="1" si="5"/>
        <v>2.7555972129467681E-3</v>
      </c>
      <c r="V50" s="6" t="e">
        <f ca="1">IF(agePb6U8(1/O50)&lt;1400,age7corr(1/O50,Q50,$W$2),agePb76(Q50))</f>
        <v>#NAME?</v>
      </c>
      <c r="W50" s="6" t="e">
        <f ca="1">IF(agePb6U8(1/O50)&lt;1400,ageer7corr(V50,1/O50,P50/O50*(1/O50),Q50,R50,$W$2,0.05),ageerPb76(Q50,R50))</f>
        <v>#NAME?</v>
      </c>
      <c r="X50" s="4" t="e">
        <f ca="1">agePb6U8(L50)/agePb7u5(J50)</f>
        <v>#NAME?</v>
      </c>
      <c r="Y50" s="3"/>
      <c r="Z50" s="1">
        <v>2.5419999999999998</v>
      </c>
      <c r="AA50" s="1">
        <v>8.5000000000000006E-2</v>
      </c>
      <c r="AB50" s="1">
        <v>0.2142</v>
      </c>
      <c r="AC50" s="1">
        <v>6.8999999999999999E-3</v>
      </c>
      <c r="AD50" s="1">
        <v>0.99467000000000005</v>
      </c>
      <c r="AE50" s="1">
        <v>4.6685340000000002</v>
      </c>
      <c r="AF50" s="1">
        <v>0.15038699999999999</v>
      </c>
      <c r="AG50" s="1">
        <v>8.6069999999999994E-2</v>
      </c>
      <c r="AH50" s="1">
        <v>3.5E-4</v>
      </c>
      <c r="AI50" s="1">
        <v>-0.20705000000000001</v>
      </c>
      <c r="AJ50" s="1">
        <v>6.7699999999999996E-2</v>
      </c>
      <c r="AK50" s="1">
        <v>2.3999999999999998E-3</v>
      </c>
      <c r="AL50" s="1">
        <v>13.962</v>
      </c>
      <c r="AM50" s="1">
        <v>9.5000000000000001E-2</v>
      </c>
      <c r="AN50" s="1">
        <v>1288</v>
      </c>
      <c r="AO50" s="1">
        <v>23</v>
      </c>
      <c r="AP50" s="1">
        <v>1251</v>
      </c>
      <c r="AQ50" s="1">
        <v>37</v>
      </c>
      <c r="AR50" s="1">
        <v>1324</v>
      </c>
      <c r="AS50" s="1">
        <v>46</v>
      </c>
      <c r="AT50" s="1">
        <v>1339.6</v>
      </c>
      <c r="AU50" s="1">
        <v>7.8</v>
      </c>
      <c r="AV50" s="1">
        <v>50.09</v>
      </c>
      <c r="AW50" s="1">
        <v>0.9</v>
      </c>
      <c r="AX50" s="1">
        <v>4.33</v>
      </c>
      <c r="AY50" s="1">
        <v>0.13999999999999999</v>
      </c>
      <c r="AZ50" s="1">
        <v>23840.190000000002</v>
      </c>
      <c r="BA50" s="1">
        <v>496.8</v>
      </c>
      <c r="BB50" s="1">
        <v>35707.5</v>
      </c>
      <c r="BC50" s="1">
        <v>807.3</v>
      </c>
      <c r="BD50" s="1">
        <v>419796.00000000006</v>
      </c>
      <c r="BE50" s="1">
        <v>8694</v>
      </c>
      <c r="BF50" s="1">
        <v>8.6318999999999999</v>
      </c>
      <c r="BG50" s="1">
        <v>4.6574999999999998</v>
      </c>
      <c r="BH50" s="1">
        <f t="shared" si="6"/>
        <v>48633.093525179866</v>
      </c>
      <c r="BI50" s="1">
        <f t="shared" si="7"/>
        <v>26260.200076009787</v>
      </c>
      <c r="BJ50" s="27">
        <v>1283</v>
      </c>
      <c r="BK50" s="27">
        <v>24.3</v>
      </c>
      <c r="BL50" s="27">
        <v>1250.8</v>
      </c>
      <c r="BM50" s="27">
        <v>43.8</v>
      </c>
      <c r="BN50" s="27">
        <v>1337.3</v>
      </c>
      <c r="BO50" s="27">
        <v>45</v>
      </c>
      <c r="BP50" s="27">
        <v>1293.5</v>
      </c>
      <c r="BQ50" s="27">
        <v>22.4</v>
      </c>
      <c r="BR50" s="27">
        <v>2.6</v>
      </c>
    </row>
    <row r="51" spans="1:70" x14ac:dyDescent="0.2">
      <c r="A51" t="s">
        <v>401</v>
      </c>
      <c r="B51" t="s">
        <v>38</v>
      </c>
      <c r="C51" t="s">
        <v>402</v>
      </c>
      <c r="D51" t="s">
        <v>403</v>
      </c>
      <c r="E51">
        <v>83874</v>
      </c>
      <c r="F51">
        <v>48695</v>
      </c>
      <c r="G51" t="s">
        <v>403</v>
      </c>
      <c r="H51" s="1">
        <v>211</v>
      </c>
      <c r="I51" s="1">
        <v>63.6</v>
      </c>
      <c r="J51" s="10">
        <v>1.649</v>
      </c>
      <c r="K51" s="10">
        <f t="shared" ca="1" si="0"/>
        <v>7.6476665722297291E-2</v>
      </c>
      <c r="L51" s="7">
        <v>0.15790000000000001</v>
      </c>
      <c r="M51" s="7">
        <f t="shared" ca="1" si="1"/>
        <v>7.3166224448170071E-3</v>
      </c>
      <c r="N51" s="7">
        <v>0.99089000000000005</v>
      </c>
      <c r="O51" s="8">
        <v>6.3331220000000004</v>
      </c>
      <c r="P51" s="8">
        <f t="shared" ca="1" si="2"/>
        <v>0.2934583028868728</v>
      </c>
      <c r="Q51" s="9">
        <v>7.5859999999999997E-2</v>
      </c>
      <c r="R51" s="9">
        <f t="shared" ca="1" si="3"/>
        <v>1.576957780030905E-3</v>
      </c>
      <c r="S51" s="8">
        <f t="shared" si="4"/>
        <v>0.4650376993200051</v>
      </c>
      <c r="T51" s="11">
        <v>6.0499999999999998E-2</v>
      </c>
      <c r="U51" s="11">
        <f t="shared" ca="1" si="5"/>
        <v>2.25257630281418E-3</v>
      </c>
      <c r="V51" s="6" t="e">
        <f ca="1">IF(agePb6U8(1/O51)&lt;1400,age7corr(1/O51,Q51,$W$2),agePb76(Q51))</f>
        <v>#NAME?</v>
      </c>
      <c r="W51" s="6" t="e">
        <f ca="1">IF(agePb6U8(1/O51)&lt;1400,ageer7corr(V51,1/O51,P51/O51*(1/O51),Q51,R51,$W$2,0.05),ageerPb76(Q51,R51))</f>
        <v>#NAME?</v>
      </c>
      <c r="X51" s="4" t="e">
        <f ca="1">agePb6U8(L51)/agePb7u5(J51)</f>
        <v>#NAME?</v>
      </c>
      <c r="Y51" s="3"/>
      <c r="Z51" s="1">
        <v>1.649</v>
      </c>
      <c r="AA51" s="1">
        <v>6.9000000000000006E-2</v>
      </c>
      <c r="AB51" s="1">
        <v>0.15790000000000001</v>
      </c>
      <c r="AC51" s="1">
        <v>6.6E-3</v>
      </c>
      <c r="AD51" s="1">
        <v>0.99089000000000005</v>
      </c>
      <c r="AE51" s="1">
        <v>6.3331220000000004</v>
      </c>
      <c r="AF51" s="1">
        <v>0.2647157</v>
      </c>
      <c r="AG51" s="1">
        <v>7.5859999999999997E-2</v>
      </c>
      <c r="AH51" s="1">
        <v>4.2999999999999999E-4</v>
      </c>
      <c r="AI51" s="1">
        <v>5.2886000000000002E-2</v>
      </c>
      <c r="AJ51" s="1">
        <v>6.0499999999999998E-2</v>
      </c>
      <c r="AK51" s="1">
        <v>1.9E-3</v>
      </c>
      <c r="AL51" s="1">
        <v>9.08</v>
      </c>
      <c r="AM51" s="1">
        <v>0.15</v>
      </c>
      <c r="AN51" s="1">
        <v>994</v>
      </c>
      <c r="AO51" s="1">
        <v>28</v>
      </c>
      <c r="AP51" s="1">
        <v>953</v>
      </c>
      <c r="AQ51" s="1">
        <v>39</v>
      </c>
      <c r="AR51" s="1">
        <v>1187</v>
      </c>
      <c r="AS51" s="1">
        <v>37</v>
      </c>
      <c r="AT51" s="1">
        <v>1091</v>
      </c>
      <c r="AU51" s="1">
        <v>11</v>
      </c>
      <c r="AV51" s="1">
        <v>46.1</v>
      </c>
      <c r="AW51" s="1">
        <v>5.4</v>
      </c>
      <c r="AX51" s="1">
        <v>5.0299999999999994</v>
      </c>
      <c r="AY51" s="1">
        <v>0.43</v>
      </c>
      <c r="AZ51" s="1">
        <v>24902.1</v>
      </c>
      <c r="BA51" s="1">
        <v>2546.1</v>
      </c>
      <c r="BB51" s="1">
        <v>21300.3</v>
      </c>
      <c r="BC51" s="1">
        <v>2235.6000000000004</v>
      </c>
      <c r="BD51" s="1">
        <v>281934</v>
      </c>
      <c r="BE51" s="1">
        <v>29187</v>
      </c>
      <c r="BF51" s="1">
        <v>6.6447000000000003</v>
      </c>
      <c r="BG51" s="1">
        <v>6.0858000000000008</v>
      </c>
      <c r="BH51" s="1">
        <f t="shared" si="6"/>
        <v>42429.906542056073</v>
      </c>
      <c r="BI51" s="1">
        <f t="shared" si="7"/>
        <v>39108.494890483613</v>
      </c>
      <c r="BJ51" s="27">
        <v>991.3</v>
      </c>
      <c r="BK51" s="27">
        <v>25.8</v>
      </c>
      <c r="BL51" s="27">
        <v>945.5</v>
      </c>
      <c r="BM51" s="27">
        <v>40.299999999999997</v>
      </c>
      <c r="BN51" s="27">
        <v>1094.2</v>
      </c>
      <c r="BO51" s="27">
        <v>52.7</v>
      </c>
      <c r="BP51" s="27">
        <v>1006.4</v>
      </c>
      <c r="BQ51" s="27">
        <v>24.6</v>
      </c>
      <c r="BR51" s="27">
        <v>4.8</v>
      </c>
    </row>
    <row r="52" spans="1:70" x14ac:dyDescent="0.2">
      <c r="A52" t="s">
        <v>563</v>
      </c>
      <c r="B52" t="s">
        <v>38</v>
      </c>
      <c r="C52" t="s">
        <v>564</v>
      </c>
      <c r="D52" t="s">
        <v>565</v>
      </c>
      <c r="E52">
        <v>83317</v>
      </c>
      <c r="F52">
        <v>49100</v>
      </c>
      <c r="G52" t="s">
        <v>565</v>
      </c>
      <c r="H52" s="1">
        <v>88.8</v>
      </c>
      <c r="I52" s="1">
        <v>31.02</v>
      </c>
      <c r="J52" s="10">
        <v>1.6619999999999999</v>
      </c>
      <c r="K52" s="10">
        <f t="shared" ca="1" si="0"/>
        <v>5.8385765388491738E-2</v>
      </c>
      <c r="L52" s="7">
        <v>0.16139999999999999</v>
      </c>
      <c r="M52" s="7">
        <f t="shared" ca="1" si="1"/>
        <v>5.3768005356345516E-3</v>
      </c>
      <c r="N52" s="7">
        <v>0.96755999999999998</v>
      </c>
      <c r="O52" s="8">
        <v>6.1957870000000002</v>
      </c>
      <c r="P52" s="8">
        <f t="shared" ca="1" si="2"/>
        <v>0.20640338457134758</v>
      </c>
      <c r="Q52" s="9">
        <v>7.5370000000000006E-2</v>
      </c>
      <c r="R52" s="9">
        <f t="shared" ca="1" si="3"/>
        <v>1.6046042378106823E-3</v>
      </c>
      <c r="S52" s="8">
        <f t="shared" si="4"/>
        <v>0.44910603798307314</v>
      </c>
      <c r="T52" s="11">
        <v>5.8099999999999999E-2</v>
      </c>
      <c r="U52" s="11">
        <f t="shared" ca="1" si="5"/>
        <v>1.8974308946572995E-3</v>
      </c>
      <c r="V52" s="6" t="e">
        <f ca="1">IF(agePb6U8(1/O52)&lt;1400,age7corr(1/O52,Q52,$W$2),agePb76(Q52))</f>
        <v>#NAME?</v>
      </c>
      <c r="W52" s="6" t="e">
        <f ca="1">IF(agePb6U8(1/O52)&lt;1400,ageer7corr(V52,1/O52,P52/O52*(1/O52),Q52,R52,$W$2,0.05),ageerPb76(Q52,R52))</f>
        <v>#NAME?</v>
      </c>
      <c r="X52" s="4" t="e">
        <f ca="1">agePb6U8(L52)/agePb7u5(J52)</f>
        <v>#NAME?</v>
      </c>
      <c r="Y52" s="3"/>
      <c r="Z52" s="1">
        <v>1.6619999999999999</v>
      </c>
      <c r="AA52" s="1">
        <v>4.8000000000000001E-2</v>
      </c>
      <c r="AB52" s="1">
        <v>0.16139999999999999</v>
      </c>
      <c r="AC52" s="1">
        <v>4.3E-3</v>
      </c>
      <c r="AD52" s="1">
        <v>0.96755999999999998</v>
      </c>
      <c r="AE52" s="1">
        <v>6.1957870000000002</v>
      </c>
      <c r="AF52" s="1">
        <v>0.1650674</v>
      </c>
      <c r="AG52" s="1">
        <v>7.5370000000000006E-2</v>
      </c>
      <c r="AH52" s="1">
        <v>5.5000000000000003E-4</v>
      </c>
      <c r="AI52" s="1">
        <v>-0.33806000000000003</v>
      </c>
      <c r="AJ52" s="1">
        <v>5.8099999999999999E-2</v>
      </c>
      <c r="AK52" s="1">
        <v>1.5E-3</v>
      </c>
      <c r="AL52" s="1">
        <v>8.4559999999999995</v>
      </c>
      <c r="AM52" s="1">
        <v>7.6999999999999999E-2</v>
      </c>
      <c r="AN52" s="1">
        <v>997</v>
      </c>
      <c r="AO52" s="1">
        <v>19</v>
      </c>
      <c r="AP52" s="1">
        <v>964</v>
      </c>
      <c r="AQ52" s="1">
        <v>24</v>
      </c>
      <c r="AR52" s="1">
        <v>1142</v>
      </c>
      <c r="AS52" s="1">
        <v>28</v>
      </c>
      <c r="AT52" s="1">
        <v>1078</v>
      </c>
      <c r="AU52" s="1">
        <v>15</v>
      </c>
      <c r="AV52" s="1">
        <v>19.3</v>
      </c>
      <c r="AW52" s="1">
        <v>0.53</v>
      </c>
      <c r="AX52" s="1">
        <v>2.4470000000000001</v>
      </c>
      <c r="AY52" s="1">
        <v>3.7999999999999999E-2</v>
      </c>
      <c r="AZ52" s="1">
        <v>11507.13</v>
      </c>
      <c r="BA52" s="1">
        <v>235.98</v>
      </c>
      <c r="BB52" s="1">
        <v>9091.44</v>
      </c>
      <c r="BC52" s="1">
        <v>192.51</v>
      </c>
      <c r="BD52" s="1">
        <v>121716</v>
      </c>
      <c r="BE52" s="1">
        <v>2670.3</v>
      </c>
      <c r="BF52" s="1">
        <v>32.912999999999997</v>
      </c>
      <c r="BG52" s="1">
        <v>8.6940000000000008</v>
      </c>
      <c r="BH52" s="1">
        <f t="shared" si="6"/>
        <v>3698.1132075471701</v>
      </c>
      <c r="BI52" s="1">
        <f t="shared" si="7"/>
        <v>980.22347151348811</v>
      </c>
      <c r="BJ52" s="27">
        <v>996.1</v>
      </c>
      <c r="BK52" s="27">
        <v>20.5</v>
      </c>
      <c r="BL52" s="27">
        <v>963.9</v>
      </c>
      <c r="BM52" s="27">
        <v>30.3</v>
      </c>
      <c r="BN52" s="27">
        <v>1067.5999999999999</v>
      </c>
      <c r="BO52" s="27">
        <v>53.6</v>
      </c>
      <c r="BP52" s="27">
        <v>996</v>
      </c>
      <c r="BQ52" s="27">
        <v>20.8</v>
      </c>
      <c r="BR52" s="27">
        <v>2.9</v>
      </c>
    </row>
    <row r="53" spans="1:70" x14ac:dyDescent="0.2">
      <c r="A53" t="s">
        <v>566</v>
      </c>
      <c r="B53" t="s">
        <v>38</v>
      </c>
      <c r="C53" t="s">
        <v>567</v>
      </c>
      <c r="D53" t="s">
        <v>568</v>
      </c>
      <c r="E53">
        <v>83413</v>
      </c>
      <c r="F53">
        <v>49321</v>
      </c>
      <c r="G53" t="s">
        <v>568</v>
      </c>
      <c r="H53" s="1">
        <v>267.89999999999998</v>
      </c>
      <c r="I53" s="1">
        <v>21.6</v>
      </c>
      <c r="J53" s="10">
        <v>2.1030000000000002</v>
      </c>
      <c r="K53" s="10">
        <f t="shared" ca="1" si="0"/>
        <v>7.8262657762179291E-2</v>
      </c>
      <c r="L53" s="7">
        <v>0.19089999999999999</v>
      </c>
      <c r="M53" s="7">
        <f t="shared" ca="1" si="1"/>
        <v>7.1117595572403889E-3</v>
      </c>
      <c r="N53" s="7">
        <v>0.99497999999999998</v>
      </c>
      <c r="O53" s="8">
        <v>5.2383449999999998</v>
      </c>
      <c r="P53" s="8">
        <f t="shared" ca="1" si="2"/>
        <v>0.19514847388042778</v>
      </c>
      <c r="Q53" s="9">
        <v>8.0089999999999995E-2</v>
      </c>
      <c r="R53" s="9">
        <f t="shared" ca="1" si="3"/>
        <v>1.6227640740415718E-3</v>
      </c>
      <c r="S53" s="8">
        <f t="shared" si="4"/>
        <v>0.44901136699477084</v>
      </c>
      <c r="T53" s="11">
        <v>6.6400000000000001E-2</v>
      </c>
      <c r="U53" s="11">
        <f t="shared" ca="1" si="5"/>
        <v>3.0989649885082597E-3</v>
      </c>
      <c r="V53" s="6" t="e">
        <f ca="1">IF(agePb6U8(1/O53)&lt;1400,age7corr(1/O53,Q53,$W$2),agePb76(Q53))</f>
        <v>#NAME?</v>
      </c>
      <c r="W53" s="6" t="e">
        <f ca="1">IF(agePb6U8(1/O53)&lt;1400,ageer7corr(V53,1/O53,P53/O53*(1/O53),Q53,R53,$W$2,0.05),ageerPb76(Q53,R53))</f>
        <v>#NAME?</v>
      </c>
      <c r="X53" s="4" t="e">
        <f ca="1">agePb6U8(L53)/agePb7u5(J53)</f>
        <v>#NAME?</v>
      </c>
      <c r="Y53" s="3"/>
      <c r="Z53" s="1">
        <v>2.1030000000000002</v>
      </c>
      <c r="AA53" s="1">
        <v>6.6000000000000003E-2</v>
      </c>
      <c r="AB53" s="1">
        <v>0.19089999999999999</v>
      </c>
      <c r="AC53" s="1">
        <v>6.0000000000000001E-3</v>
      </c>
      <c r="AD53" s="1">
        <v>0.99497999999999998</v>
      </c>
      <c r="AE53" s="1">
        <v>5.2383449999999998</v>
      </c>
      <c r="AF53" s="1">
        <v>0.1646415</v>
      </c>
      <c r="AG53" s="1">
        <v>8.0089999999999995E-2</v>
      </c>
      <c r="AH53" s="1">
        <v>2.5999999999999998E-4</v>
      </c>
      <c r="AI53" s="1">
        <v>0.23463000000000001</v>
      </c>
      <c r="AJ53" s="1">
        <v>6.6400000000000001E-2</v>
      </c>
      <c r="AK53" s="1">
        <v>2.8E-3</v>
      </c>
      <c r="AL53" s="1">
        <v>55</v>
      </c>
      <c r="AM53" s="1">
        <v>14</v>
      </c>
      <c r="AN53" s="1">
        <v>1149</v>
      </c>
      <c r="AO53" s="1">
        <v>22</v>
      </c>
      <c r="AP53" s="1">
        <v>1126</v>
      </c>
      <c r="AQ53" s="1">
        <v>33</v>
      </c>
      <c r="AR53" s="1">
        <v>1299</v>
      </c>
      <c r="AS53" s="1">
        <v>52</v>
      </c>
      <c r="AT53" s="1">
        <v>1199.2</v>
      </c>
      <c r="AU53" s="1">
        <v>6.5</v>
      </c>
      <c r="AV53" s="1">
        <v>58.2</v>
      </c>
      <c r="AW53" s="1">
        <v>1.4</v>
      </c>
      <c r="AX53" s="1">
        <v>1.71</v>
      </c>
      <c r="AY53" s="1">
        <v>0.43</v>
      </c>
      <c r="AZ53" s="1">
        <v>8818.2000000000007</v>
      </c>
      <c r="BA53" s="1">
        <v>2049.3000000000002</v>
      </c>
      <c r="BB53" s="1">
        <v>35216.909999999996</v>
      </c>
      <c r="BC53" s="1">
        <v>583.74</v>
      </c>
      <c r="BD53" s="1">
        <v>440910.00000000006</v>
      </c>
      <c r="BE53" s="1">
        <v>8072.9999999999982</v>
      </c>
      <c r="BF53" s="1">
        <v>6.2721</v>
      </c>
      <c r="BG53" s="1">
        <v>5.2164000000000001</v>
      </c>
      <c r="BH53" s="1">
        <f t="shared" si="6"/>
        <v>70297.029702970307</v>
      </c>
      <c r="BI53" s="1">
        <f t="shared" si="7"/>
        <v>58479.023013663842</v>
      </c>
      <c r="BJ53" s="27">
        <v>1150.0999999999999</v>
      </c>
      <c r="BK53" s="27">
        <v>24.1</v>
      </c>
      <c r="BL53" s="27">
        <v>1125.9000000000001</v>
      </c>
      <c r="BM53" s="27">
        <v>39.4</v>
      </c>
      <c r="BN53" s="27">
        <v>1196.0999999999999</v>
      </c>
      <c r="BO53" s="27">
        <v>49.3</v>
      </c>
      <c r="BP53" s="27">
        <v>1155.5999999999999</v>
      </c>
      <c r="BQ53" s="27">
        <v>23.4</v>
      </c>
      <c r="BR53" s="27">
        <v>2.1</v>
      </c>
    </row>
    <row r="54" spans="1:70" x14ac:dyDescent="0.2">
      <c r="A54" t="s">
        <v>569</v>
      </c>
      <c r="B54" t="s">
        <v>38</v>
      </c>
      <c r="C54" t="s">
        <v>570</v>
      </c>
      <c r="D54" t="s">
        <v>571</v>
      </c>
      <c r="E54">
        <v>83479</v>
      </c>
      <c r="F54">
        <v>49511</v>
      </c>
      <c r="G54" t="s">
        <v>571</v>
      </c>
      <c r="H54" s="1">
        <v>85</v>
      </c>
      <c r="I54" s="1">
        <v>21.5</v>
      </c>
      <c r="J54" s="10">
        <v>2.0910000000000002</v>
      </c>
      <c r="K54" s="10">
        <f t="shared" ca="1" si="0"/>
        <v>9.9241686805495208E-2</v>
      </c>
      <c r="L54" s="7">
        <v>0.1951</v>
      </c>
      <c r="M54" s="7">
        <f t="shared" ca="1" si="1"/>
        <v>9.9932779406959344E-3</v>
      </c>
      <c r="N54" s="7">
        <v>0.98629</v>
      </c>
      <c r="O54" s="8">
        <v>5.1255769999999998</v>
      </c>
      <c r="P54" s="8">
        <f t="shared" ca="1" si="2"/>
        <v>0.26253873500263081</v>
      </c>
      <c r="Q54" s="9">
        <v>7.8950000000000006E-2</v>
      </c>
      <c r="R54" s="9">
        <f t="shared" ca="1" si="3"/>
        <v>1.6856277762305652E-3</v>
      </c>
      <c r="S54" s="8">
        <f t="shared" si="4"/>
        <v>0.43872506439757092</v>
      </c>
      <c r="T54" s="11">
        <v>6.25E-2</v>
      </c>
      <c r="U54" s="11">
        <f t="shared" ca="1" si="5"/>
        <v>2.0303940504246953E-3</v>
      </c>
      <c r="V54" s="6" t="e">
        <f ca="1">IF(agePb6U8(1/O54)&lt;1400,age7corr(1/O54,Q54,$W$2),agePb76(Q54))</f>
        <v>#NAME?</v>
      </c>
      <c r="W54" s="6" t="e">
        <f ca="1">IF(agePb6U8(1/O54)&lt;1400,ageer7corr(V54,1/O54,P54/O54*(1/O54),Q54,R54,$W$2,0.05),ageerPb76(Q54,R54))</f>
        <v>#NAME?</v>
      </c>
      <c r="X54" s="4" t="e">
        <f ca="1">agePb6U8(L54)/agePb7u5(J54)</f>
        <v>#NAME?</v>
      </c>
      <c r="Y54" s="3"/>
      <c r="Z54" s="1">
        <v>2.0910000000000002</v>
      </c>
      <c r="AA54" s="1">
        <v>0.09</v>
      </c>
      <c r="AB54" s="1">
        <v>0.1951</v>
      </c>
      <c r="AC54" s="1">
        <v>9.1999999999999998E-3</v>
      </c>
      <c r="AD54" s="1">
        <v>0.98629</v>
      </c>
      <c r="AE54" s="1">
        <v>5.1255769999999998</v>
      </c>
      <c r="AF54" s="1">
        <v>0.2416981</v>
      </c>
      <c r="AG54" s="1">
        <v>7.8950000000000006E-2</v>
      </c>
      <c r="AH54" s="1">
        <v>5.9000000000000003E-4</v>
      </c>
      <c r="AI54" s="1">
        <v>0.37819000000000003</v>
      </c>
      <c r="AJ54" s="1">
        <v>6.25E-2</v>
      </c>
      <c r="AK54" s="1">
        <v>1.6000000000000001E-3</v>
      </c>
      <c r="AL54" s="1">
        <v>12.68</v>
      </c>
      <c r="AM54" s="1">
        <v>0.93</v>
      </c>
      <c r="AN54" s="1">
        <v>1151</v>
      </c>
      <c r="AO54" s="1">
        <v>27</v>
      </c>
      <c r="AP54" s="1">
        <v>1148</v>
      </c>
      <c r="AQ54" s="1">
        <v>50</v>
      </c>
      <c r="AR54" s="1">
        <v>1224</v>
      </c>
      <c r="AS54" s="1">
        <v>30</v>
      </c>
      <c r="AT54" s="1">
        <v>1170</v>
      </c>
      <c r="AU54" s="1">
        <v>15</v>
      </c>
      <c r="AV54" s="1">
        <v>18.5</v>
      </c>
      <c r="AW54" s="1">
        <v>3.1</v>
      </c>
      <c r="AX54" s="1">
        <v>1.7</v>
      </c>
      <c r="AY54" s="1">
        <v>0.11</v>
      </c>
      <c r="AZ54" s="1">
        <v>8538.75</v>
      </c>
      <c r="BA54" s="1">
        <v>571.31999999999994</v>
      </c>
      <c r="BB54" s="1">
        <v>11115.9</v>
      </c>
      <c r="BC54" s="1">
        <v>1552.5</v>
      </c>
      <c r="BD54" s="1">
        <v>137241</v>
      </c>
      <c r="BE54" s="1">
        <v>18630</v>
      </c>
      <c r="BF54" s="1">
        <v>2.4218999999999999</v>
      </c>
      <c r="BG54" s="1">
        <v>4.2848999999999995</v>
      </c>
      <c r="BH54" s="1">
        <f t="shared" si="6"/>
        <v>56666.666666666672</v>
      </c>
      <c r="BI54" s="1">
        <f t="shared" si="7"/>
        <v>100551.07853789924</v>
      </c>
      <c r="BJ54" s="27">
        <v>1156.0999999999999</v>
      </c>
      <c r="BK54" s="27">
        <v>31.5</v>
      </c>
      <c r="BL54" s="27">
        <v>1148</v>
      </c>
      <c r="BM54" s="27">
        <v>53.3</v>
      </c>
      <c r="BN54" s="27">
        <v>1171.2</v>
      </c>
      <c r="BO54" s="27">
        <v>50.1</v>
      </c>
      <c r="BP54" s="27">
        <v>1160.2</v>
      </c>
      <c r="BQ54" s="27">
        <v>27.5</v>
      </c>
      <c r="BR54" s="27">
        <v>0.81</v>
      </c>
    </row>
    <row r="55" spans="1:70" x14ac:dyDescent="0.2">
      <c r="A55" t="s">
        <v>572</v>
      </c>
      <c r="B55" t="s">
        <v>38</v>
      </c>
      <c r="C55" t="s">
        <v>573</v>
      </c>
      <c r="D55" t="s">
        <v>574</v>
      </c>
      <c r="E55">
        <v>83468</v>
      </c>
      <c r="F55">
        <v>49730</v>
      </c>
      <c r="G55" t="s">
        <v>574</v>
      </c>
      <c r="H55" s="1">
        <v>156.69999999999999</v>
      </c>
      <c r="I55" s="1">
        <v>73.400000000000006</v>
      </c>
      <c r="J55" s="10">
        <v>3.1150000000000002</v>
      </c>
      <c r="K55" s="10">
        <f t="shared" ca="1" si="0"/>
        <v>7.9260898304271063E-2</v>
      </c>
      <c r="L55" s="7">
        <v>0.24579999999999999</v>
      </c>
      <c r="M55" s="7">
        <f t="shared" ca="1" si="1"/>
        <v>6.4013323613135407E-3</v>
      </c>
      <c r="N55" s="7">
        <v>0.98919000000000001</v>
      </c>
      <c r="O55" s="8">
        <v>4.0683480000000003</v>
      </c>
      <c r="P55" s="8">
        <f t="shared" ca="1" si="2"/>
        <v>0.10595137935016231</v>
      </c>
      <c r="Q55" s="9">
        <v>9.2329999999999995E-2</v>
      </c>
      <c r="R55" s="9">
        <f t="shared" ca="1" si="3"/>
        <v>1.8648140818859128E-3</v>
      </c>
      <c r="S55" s="8">
        <f t="shared" si="4"/>
        <v>0.4466205281456096</v>
      </c>
      <c r="T55" s="11">
        <v>7.9100000000000004E-2</v>
      </c>
      <c r="U55" s="11">
        <f t="shared" ca="1" si="5"/>
        <v>2.1125160354420981E-3</v>
      </c>
      <c r="V55" s="6" t="e">
        <f ca="1">IF(agePb6U8(1/O55)&lt;1400,age7corr(1/O55,Q55,$W$2),agePb76(Q55))</f>
        <v>#NAME?</v>
      </c>
      <c r="W55" s="6" t="e">
        <f ca="1">IF(agePb6U8(1/O55)&lt;1400,ageer7corr(V55,1/O55,P55/O55*(1/O55),Q55,R55,$W$2,0.05),ageerPb76(Q55,R55))</f>
        <v>#NAME?</v>
      </c>
      <c r="X55" s="4" t="e">
        <f ca="1">agePb6U8(L55)/agePb7u5(J55)</f>
        <v>#NAME?</v>
      </c>
      <c r="Y55" s="3"/>
      <c r="Z55" s="1">
        <v>3.1150000000000002</v>
      </c>
      <c r="AA55" s="1">
        <v>4.9000000000000002E-2</v>
      </c>
      <c r="AB55" s="1">
        <v>0.24579999999999999</v>
      </c>
      <c r="AC55" s="1">
        <v>4.1000000000000003E-3</v>
      </c>
      <c r="AD55" s="1">
        <v>0.98919000000000001</v>
      </c>
      <c r="AE55" s="1">
        <v>4.0683480000000003</v>
      </c>
      <c r="AF55" s="1">
        <v>6.7860980000000001E-2</v>
      </c>
      <c r="AG55" s="1">
        <v>9.2329999999999995E-2</v>
      </c>
      <c r="AH55" s="1">
        <v>2.5999999999999998E-4</v>
      </c>
      <c r="AI55" s="1">
        <v>-0.25795000000000001</v>
      </c>
      <c r="AJ55" s="1">
        <v>7.9100000000000004E-2</v>
      </c>
      <c r="AK55" s="1">
        <v>1.4E-3</v>
      </c>
      <c r="AL55" s="1">
        <v>7.069</v>
      </c>
      <c r="AM55" s="1">
        <v>3.5999999999999997E-2</v>
      </c>
      <c r="AN55" s="1">
        <v>1436</v>
      </c>
      <c r="AO55" s="1">
        <v>12</v>
      </c>
      <c r="AP55" s="1">
        <v>1416</v>
      </c>
      <c r="AQ55" s="1">
        <v>21</v>
      </c>
      <c r="AR55" s="1">
        <v>1538</v>
      </c>
      <c r="AS55" s="1">
        <v>26</v>
      </c>
      <c r="AT55" s="1">
        <v>1474.1</v>
      </c>
      <c r="AU55" s="1">
        <v>5.3</v>
      </c>
      <c r="AV55" s="1">
        <v>34.04</v>
      </c>
      <c r="AW55" s="1">
        <v>0.35</v>
      </c>
      <c r="AX55" s="1">
        <v>5.79</v>
      </c>
      <c r="AY55" s="1">
        <v>0.12000000000000001</v>
      </c>
      <c r="AZ55" s="1">
        <v>37036.439999999995</v>
      </c>
      <c r="BA55" s="1">
        <v>465.75000000000006</v>
      </c>
      <c r="BB55" s="1">
        <v>30031.559999999998</v>
      </c>
      <c r="BC55" s="1">
        <v>310.5</v>
      </c>
      <c r="BD55" s="1">
        <v>328509</v>
      </c>
      <c r="BE55" s="1">
        <v>3042.9</v>
      </c>
      <c r="BF55" s="1">
        <v>9.8118000000000016</v>
      </c>
      <c r="BG55" s="1">
        <v>4.5332999999999997</v>
      </c>
      <c r="BH55" s="1">
        <f t="shared" si="6"/>
        <v>33481.012658227839</v>
      </c>
      <c r="BI55" s="1">
        <f t="shared" si="7"/>
        <v>15472.183890860231</v>
      </c>
      <c r="BJ55" s="27">
        <v>1436.5</v>
      </c>
      <c r="BK55" s="27">
        <v>20</v>
      </c>
      <c r="BL55" s="27">
        <v>1416.3</v>
      </c>
      <c r="BM55" s="27">
        <v>34.4</v>
      </c>
      <c r="BN55" s="27">
        <v>1466.5</v>
      </c>
      <c r="BO55" s="27">
        <v>41.3</v>
      </c>
      <c r="BP55" s="27">
        <v>1438.2</v>
      </c>
      <c r="BQ55" s="27">
        <v>19.899999999999999</v>
      </c>
      <c r="BR55" s="27">
        <v>1.3</v>
      </c>
    </row>
    <row r="56" spans="1:70" x14ac:dyDescent="0.2">
      <c r="A56" t="s">
        <v>575</v>
      </c>
      <c r="B56" t="s">
        <v>38</v>
      </c>
      <c r="C56" t="s">
        <v>576</v>
      </c>
      <c r="D56" t="s">
        <v>577</v>
      </c>
      <c r="E56">
        <v>83400</v>
      </c>
      <c r="F56">
        <v>50288</v>
      </c>
      <c r="G56" t="s">
        <v>577</v>
      </c>
      <c r="H56" s="1">
        <v>60.8</v>
      </c>
      <c r="I56" s="1">
        <v>28.03</v>
      </c>
      <c r="J56" s="10">
        <v>1.718</v>
      </c>
      <c r="K56" s="10">
        <f t="shared" ca="1" si="0"/>
        <v>6.4004762322814698E-2</v>
      </c>
      <c r="L56" s="7">
        <v>0.16800000000000001</v>
      </c>
      <c r="M56" s="7">
        <f t="shared" ca="1" si="1"/>
        <v>5.9413466486984241E-3</v>
      </c>
      <c r="N56" s="7">
        <v>0.95462999999999998</v>
      </c>
      <c r="O56" s="8">
        <v>5.9523809999999999</v>
      </c>
      <c r="P56" s="8">
        <f t="shared" ca="1" si="2"/>
        <v>0.21050688794164049</v>
      </c>
      <c r="Q56" s="9">
        <v>7.4270000000000003E-2</v>
      </c>
      <c r="R56" s="9">
        <f t="shared" ca="1" si="3"/>
        <v>1.6336502563278348E-3</v>
      </c>
      <c r="S56" s="8">
        <f t="shared" si="4"/>
        <v>0.479218573132835</v>
      </c>
      <c r="T56" s="11">
        <v>5.3900000000000003E-2</v>
      </c>
      <c r="U56" s="11">
        <f t="shared" ca="1" si="5"/>
        <v>2.012978887122267E-3</v>
      </c>
      <c r="V56" s="6" t="e">
        <f ca="1">IF(agePb6U8(1/O56)&lt;1400,age7corr(1/O56,Q56,$W$2),agePb76(Q56))</f>
        <v>#NAME?</v>
      </c>
      <c r="W56" s="6" t="e">
        <f ca="1">IF(agePb6U8(1/O56)&lt;1400,ageer7corr(V56,1/O56,P56/O56*(1/O56),Q56,R56,$W$2,0.05),ageerPb76(Q56,R56))</f>
        <v>#NAME?</v>
      </c>
      <c r="X56" s="4" t="e">
        <f ca="1">agePb6U8(L56)/agePb7u5(J56)</f>
        <v>#NAME?</v>
      </c>
      <c r="Y56" s="3"/>
      <c r="Z56" s="1">
        <v>1.718</v>
      </c>
      <c r="AA56" s="1">
        <v>5.3999999999999999E-2</v>
      </c>
      <c r="AB56" s="1">
        <v>0.16800000000000001</v>
      </c>
      <c r="AC56" s="1">
        <v>4.8999999999999998E-3</v>
      </c>
      <c r="AD56" s="1">
        <v>0.95462999999999998</v>
      </c>
      <c r="AE56" s="1">
        <v>5.9523809999999999</v>
      </c>
      <c r="AF56" s="1">
        <v>0.17361109999999999</v>
      </c>
      <c r="AG56" s="1">
        <v>7.4270000000000003E-2</v>
      </c>
      <c r="AH56" s="1">
        <v>6.8000000000000005E-4</v>
      </c>
      <c r="AI56" s="1">
        <v>-1.1568E-2</v>
      </c>
      <c r="AJ56" s="1">
        <v>5.3900000000000003E-2</v>
      </c>
      <c r="AK56" s="1">
        <v>1.6999999999999999E-3</v>
      </c>
      <c r="AL56" s="1">
        <v>7.1020000000000003</v>
      </c>
      <c r="AM56" s="1">
        <v>4.5999999999999999E-2</v>
      </c>
      <c r="AN56" s="1">
        <v>1014</v>
      </c>
      <c r="AO56" s="1">
        <v>20</v>
      </c>
      <c r="AP56" s="1">
        <v>1001</v>
      </c>
      <c r="AQ56" s="1">
        <v>27</v>
      </c>
      <c r="AR56" s="1">
        <v>1060</v>
      </c>
      <c r="AS56" s="1">
        <v>33</v>
      </c>
      <c r="AT56" s="1">
        <v>1048</v>
      </c>
      <c r="AU56" s="1">
        <v>19</v>
      </c>
      <c r="AV56" s="1">
        <v>13.2</v>
      </c>
      <c r="AW56" s="1">
        <v>0.25</v>
      </c>
      <c r="AX56" s="1">
        <v>2.2109999999999999</v>
      </c>
      <c r="AY56" s="1">
        <v>6.8000000000000005E-2</v>
      </c>
      <c r="AZ56" s="1">
        <v>9743.49</v>
      </c>
      <c r="BA56" s="1">
        <v>217.35</v>
      </c>
      <c r="BB56" s="1">
        <v>6396.2999999999993</v>
      </c>
      <c r="BC56" s="1">
        <v>136.62</v>
      </c>
      <c r="BD56" s="1">
        <v>86753.7</v>
      </c>
      <c r="BE56" s="1">
        <v>1676.7</v>
      </c>
      <c r="BF56" s="1">
        <v>4.3470000000000004</v>
      </c>
      <c r="BG56" s="1">
        <v>5.5269000000000004</v>
      </c>
      <c r="BH56" s="1">
        <f t="shared" si="6"/>
        <v>19957.142857142855</v>
      </c>
      <c r="BI56" s="1">
        <f t="shared" si="7"/>
        <v>25377.013106564478</v>
      </c>
      <c r="BJ56" s="27">
        <v>1013.8</v>
      </c>
      <c r="BK56" s="27">
        <v>20.9</v>
      </c>
      <c r="BL56" s="27">
        <v>1001.5</v>
      </c>
      <c r="BM56" s="27">
        <v>32.700000000000003</v>
      </c>
      <c r="BN56" s="27">
        <v>1040.5999999999999</v>
      </c>
      <c r="BO56" s="27">
        <v>54.6</v>
      </c>
      <c r="BP56" s="27">
        <v>1014.5</v>
      </c>
      <c r="BQ56" s="27">
        <v>20.9</v>
      </c>
      <c r="BR56" s="27">
        <v>1.1000000000000001</v>
      </c>
    </row>
    <row r="57" spans="1:70" x14ac:dyDescent="0.2">
      <c r="A57" t="s">
        <v>578</v>
      </c>
      <c r="B57" t="s">
        <v>38</v>
      </c>
      <c r="C57" t="s">
        <v>579</v>
      </c>
      <c r="D57" t="s">
        <v>580</v>
      </c>
      <c r="E57">
        <v>83415</v>
      </c>
      <c r="F57">
        <v>50455</v>
      </c>
      <c r="G57" t="s">
        <v>580</v>
      </c>
      <c r="H57" s="1">
        <v>90.2</v>
      </c>
      <c r="I57" s="1">
        <v>30.79</v>
      </c>
      <c r="J57" s="10">
        <v>2.1459999999999999</v>
      </c>
      <c r="K57" s="10">
        <f t="shared" ca="1" si="0"/>
        <v>9.4329880737759886E-2</v>
      </c>
      <c r="L57" s="7">
        <v>0.19689999999999999</v>
      </c>
      <c r="M57" s="7">
        <f t="shared" ca="1" si="1"/>
        <v>8.737725333288978E-3</v>
      </c>
      <c r="N57" s="7">
        <v>0.97682999999999998</v>
      </c>
      <c r="O57" s="8">
        <v>5.0787199999999997</v>
      </c>
      <c r="P57" s="8">
        <f t="shared" ca="1" si="2"/>
        <v>0.22537562261169686</v>
      </c>
      <c r="Q57" s="9">
        <v>7.9189999999999997E-2</v>
      </c>
      <c r="R57" s="9">
        <f t="shared" ca="1" si="3"/>
        <v>1.7196867272849436E-3</v>
      </c>
      <c r="S57" s="8">
        <f t="shared" si="4"/>
        <v>0.54208049052187257</v>
      </c>
      <c r="T57" s="11">
        <v>6.7400000000000002E-2</v>
      </c>
      <c r="U57" s="11">
        <f t="shared" ca="1" si="5"/>
        <v>2.7526539920592992E-3</v>
      </c>
      <c r="V57" s="6" t="e">
        <f ca="1">IF(agePb6U8(1/O57)&lt;1400,age7corr(1/O57,Q57,$W$2),agePb76(Q57))</f>
        <v>#NAME?</v>
      </c>
      <c r="W57" s="6" t="e">
        <f ca="1">IF(agePb6U8(1/O57)&lt;1400,ageer7corr(V57,1/O57,P57/O57*(1/O57),Q57,R57,$W$2,0.05),ageerPb76(Q57,R57))</f>
        <v>#NAME?</v>
      </c>
      <c r="X57" s="4" t="e">
        <f ca="1">agePb6U8(L57)/agePb7u5(J57)</f>
        <v>#NAME?</v>
      </c>
      <c r="Y57" s="3"/>
      <c r="Z57" s="1">
        <v>2.1459999999999999</v>
      </c>
      <c r="AA57" s="1">
        <v>8.4000000000000005E-2</v>
      </c>
      <c r="AB57" s="1">
        <v>0.19689999999999999</v>
      </c>
      <c r="AC57" s="1">
        <v>7.7999999999999996E-3</v>
      </c>
      <c r="AD57" s="1">
        <v>0.97682999999999998</v>
      </c>
      <c r="AE57" s="1">
        <v>5.0787199999999997</v>
      </c>
      <c r="AF57" s="1">
        <v>0.20118849999999999</v>
      </c>
      <c r="AG57" s="1">
        <v>7.9189999999999997E-2</v>
      </c>
      <c r="AH57" s="1">
        <v>6.7000000000000002E-4</v>
      </c>
      <c r="AI57" s="1">
        <v>2.1308000000000001E-2</v>
      </c>
      <c r="AJ57" s="1">
        <v>6.7400000000000002E-2</v>
      </c>
      <c r="AK57" s="1">
        <v>2.3999999999999998E-3</v>
      </c>
      <c r="AL57" s="1">
        <v>9.1449999999999996</v>
      </c>
      <c r="AM57" s="1">
        <v>9.0999999999999998E-2</v>
      </c>
      <c r="AN57" s="1">
        <v>1162</v>
      </c>
      <c r="AO57" s="1">
        <v>27</v>
      </c>
      <c r="AP57" s="1">
        <v>1158</v>
      </c>
      <c r="AQ57" s="1">
        <v>42</v>
      </c>
      <c r="AR57" s="1">
        <v>1318</v>
      </c>
      <c r="AS57" s="1">
        <v>46</v>
      </c>
      <c r="AT57" s="1">
        <v>1176</v>
      </c>
      <c r="AU57" s="1">
        <v>17</v>
      </c>
      <c r="AV57" s="1">
        <v>19.580000000000002</v>
      </c>
      <c r="AW57" s="1">
        <v>0.38</v>
      </c>
      <c r="AX57" s="1">
        <v>2.4279999999999999</v>
      </c>
      <c r="AY57" s="1">
        <v>6.8999999999999992E-2</v>
      </c>
      <c r="AZ57" s="1">
        <v>13177.62</v>
      </c>
      <c r="BA57" s="1">
        <v>310.5</v>
      </c>
      <c r="BB57" s="1">
        <v>11867.310000000001</v>
      </c>
      <c r="BC57" s="1">
        <v>248.4</v>
      </c>
      <c r="BD57" s="1">
        <v>149971.5</v>
      </c>
      <c r="BE57" s="1">
        <v>3291.2999999999997</v>
      </c>
      <c r="BF57" s="1">
        <v>-37.26</v>
      </c>
      <c r="BG57" s="1">
        <v>6.8310000000000004</v>
      </c>
      <c r="BH57" s="1">
        <f t="shared" si="6"/>
        <v>-4025</v>
      </c>
      <c r="BI57" s="1">
        <f t="shared" si="7"/>
        <v>-743.1848926897145</v>
      </c>
      <c r="BJ57" s="27">
        <v>1162.9000000000001</v>
      </c>
      <c r="BK57" s="27">
        <v>26.4</v>
      </c>
      <c r="BL57" s="27">
        <v>1158.4000000000001</v>
      </c>
      <c r="BM57" s="27">
        <v>48</v>
      </c>
      <c r="BN57" s="27">
        <v>1171.2</v>
      </c>
      <c r="BO57" s="27">
        <v>50.1</v>
      </c>
      <c r="BP57" s="27">
        <v>1164.5999999999999</v>
      </c>
      <c r="BQ57" s="27">
        <v>23.6</v>
      </c>
      <c r="BR57" s="27">
        <v>0.42</v>
      </c>
    </row>
    <row r="58" spans="1:70" x14ac:dyDescent="0.2">
      <c r="A58" t="s">
        <v>581</v>
      </c>
      <c r="B58" t="s">
        <v>38</v>
      </c>
      <c r="C58" t="s">
        <v>582</v>
      </c>
      <c r="D58" t="s">
        <v>583</v>
      </c>
      <c r="E58">
        <v>83432</v>
      </c>
      <c r="F58">
        <v>50802</v>
      </c>
      <c r="G58" t="s">
        <v>583</v>
      </c>
      <c r="H58" s="1">
        <v>169.9</v>
      </c>
      <c r="I58" s="1">
        <v>51.7</v>
      </c>
      <c r="J58" s="10">
        <v>2.0449999999999999</v>
      </c>
      <c r="K58" s="10">
        <f t="shared" ca="1" si="0"/>
        <v>6.0073371804818816E-2</v>
      </c>
      <c r="L58" s="7">
        <v>0.187</v>
      </c>
      <c r="M58" s="7">
        <f t="shared" ca="1" si="1"/>
        <v>5.260950484465711E-3</v>
      </c>
      <c r="N58" s="7">
        <v>0.98334999999999995</v>
      </c>
      <c r="O58" s="8">
        <v>5.347594</v>
      </c>
      <c r="P58" s="8">
        <f t="shared" ca="1" si="2"/>
        <v>0.15044612823045464</v>
      </c>
      <c r="Q58" s="9">
        <v>7.9390000000000002E-2</v>
      </c>
      <c r="R58" s="9">
        <f t="shared" ca="1" si="3"/>
        <v>1.6237945806043326E-3</v>
      </c>
      <c r="S58" s="8">
        <f t="shared" si="4"/>
        <v>0.45775513071849444</v>
      </c>
      <c r="T58" s="11">
        <v>6.3399999999999998E-2</v>
      </c>
      <c r="U58" s="11">
        <f t="shared" ca="1" si="5"/>
        <v>2.1208073934235517E-3</v>
      </c>
      <c r="V58" s="6" t="e">
        <f ca="1">IF(agePb6U8(1/O58)&lt;1400,age7corr(1/O58,Q58,$W$2),agePb76(Q58))</f>
        <v>#NAME?</v>
      </c>
      <c r="W58" s="6" t="e">
        <f ca="1">IF(agePb6U8(1/O58)&lt;1400,ageer7corr(V58,1/O58,P58/O58*(1/O58),Q58,R58,$W$2,0.05),ageerPb76(Q58,R58))</f>
        <v>#NAME?</v>
      </c>
      <c r="X58" s="4" t="e">
        <f ca="1">agePb6U8(L58)/agePb7u5(J58)</f>
        <v>#NAME?</v>
      </c>
      <c r="Y58" s="3"/>
      <c r="Z58" s="1">
        <v>2.0449999999999999</v>
      </c>
      <c r="AA58" s="1">
        <v>4.3999999999999997E-2</v>
      </c>
      <c r="AB58" s="1">
        <v>0.187</v>
      </c>
      <c r="AC58" s="1">
        <v>3.7000000000000002E-3</v>
      </c>
      <c r="AD58" s="1">
        <v>0.98334999999999995</v>
      </c>
      <c r="AE58" s="1">
        <v>5.347594</v>
      </c>
      <c r="AF58" s="1">
        <v>0.105808</v>
      </c>
      <c r="AG58" s="1">
        <v>7.9390000000000002E-2</v>
      </c>
      <c r="AH58" s="1">
        <v>3.4000000000000002E-4</v>
      </c>
      <c r="AI58" s="1">
        <v>4.9826000000000002E-2</v>
      </c>
      <c r="AJ58" s="1">
        <v>6.3399999999999998E-2</v>
      </c>
      <c r="AK58" s="1">
        <v>1.6999999999999999E-3</v>
      </c>
      <c r="AL58" s="1">
        <v>10.37</v>
      </c>
      <c r="AM58" s="1">
        <v>0.24</v>
      </c>
      <c r="AN58" s="1">
        <v>1130</v>
      </c>
      <c r="AO58" s="1">
        <v>15</v>
      </c>
      <c r="AP58" s="1">
        <v>1105</v>
      </c>
      <c r="AQ58" s="1">
        <v>20</v>
      </c>
      <c r="AR58" s="1">
        <v>1243</v>
      </c>
      <c r="AS58" s="1">
        <v>32</v>
      </c>
      <c r="AT58" s="1">
        <v>1181.7</v>
      </c>
      <c r="AU58" s="1">
        <v>8.5</v>
      </c>
      <c r="AV58" s="1">
        <v>36.900000000000006</v>
      </c>
      <c r="AW58" s="1">
        <v>1.4</v>
      </c>
      <c r="AX58" s="1">
        <v>4.08</v>
      </c>
      <c r="AY58" s="1">
        <v>9.7000000000000003E-2</v>
      </c>
      <c r="AZ58" s="1">
        <v>20747.61</v>
      </c>
      <c r="BA58" s="1">
        <v>378.81</v>
      </c>
      <c r="BB58" s="1">
        <v>21362.400000000001</v>
      </c>
      <c r="BC58" s="1">
        <v>683.09999999999991</v>
      </c>
      <c r="BD58" s="1">
        <v>270756</v>
      </c>
      <c r="BE58" s="1">
        <v>8694</v>
      </c>
      <c r="BF58" s="1">
        <v>3.1049999999999995</v>
      </c>
      <c r="BG58" s="1">
        <v>5.5889999999999995</v>
      </c>
      <c r="BH58" s="1">
        <f t="shared" si="6"/>
        <v>87200.000000000015</v>
      </c>
      <c r="BI58" s="1">
        <f t="shared" si="7"/>
        <v>156984.97252922016</v>
      </c>
      <c r="BJ58" s="27">
        <v>1127.3</v>
      </c>
      <c r="BK58" s="27">
        <v>18.899999999999999</v>
      </c>
      <c r="BL58" s="27">
        <v>1104.5999999999999</v>
      </c>
      <c r="BM58" s="27">
        <v>28.5</v>
      </c>
      <c r="BN58" s="27">
        <v>1171.2</v>
      </c>
      <c r="BO58" s="27">
        <v>50.1</v>
      </c>
      <c r="BP58" s="27">
        <v>1125.5</v>
      </c>
      <c r="BQ58" s="27">
        <v>19</v>
      </c>
      <c r="BR58" s="27">
        <v>1.8</v>
      </c>
    </row>
    <row r="59" spans="1:70" x14ac:dyDescent="0.2">
      <c r="A59" t="s">
        <v>584</v>
      </c>
      <c r="B59" t="s">
        <v>38</v>
      </c>
      <c r="C59" t="s">
        <v>585</v>
      </c>
      <c r="D59" t="s">
        <v>586</v>
      </c>
      <c r="E59">
        <v>83465</v>
      </c>
      <c r="F59">
        <v>50986</v>
      </c>
      <c r="G59" t="s">
        <v>586</v>
      </c>
      <c r="H59" s="1">
        <v>23.45</v>
      </c>
      <c r="I59" s="1">
        <v>30.83</v>
      </c>
      <c r="J59" s="10">
        <v>1.651</v>
      </c>
      <c r="K59" s="10">
        <f t="shared" ca="1" si="0"/>
        <v>5.5815055316643734E-2</v>
      </c>
      <c r="L59" s="7">
        <v>0.16539999999999999</v>
      </c>
      <c r="M59" s="7">
        <f t="shared" ca="1" si="1"/>
        <v>5.2680987082627823E-3</v>
      </c>
      <c r="N59" s="7">
        <v>0.88683999999999996</v>
      </c>
      <c r="O59" s="8">
        <v>6.0459490000000002</v>
      </c>
      <c r="P59" s="8">
        <f t="shared" ca="1" si="2"/>
        <v>0.1925674863018168</v>
      </c>
      <c r="Q59" s="9">
        <v>7.17E-2</v>
      </c>
      <c r="R59" s="9">
        <f t="shared" ca="1" si="3"/>
        <v>1.7482436901073031E-3</v>
      </c>
      <c r="S59" s="8">
        <f t="shared" si="4"/>
        <v>0.34718218106822152</v>
      </c>
      <c r="T59" s="11">
        <v>5.7000000000000002E-2</v>
      </c>
      <c r="U59" s="11">
        <f t="shared" ca="1" si="5"/>
        <v>1.6551737068960465E-3</v>
      </c>
      <c r="V59" s="6" t="e">
        <f ca="1">IF(agePb6U8(1/O59)&lt;1400,age7corr(1/O59,Q59,$W$2),agePb76(Q59))</f>
        <v>#NAME?</v>
      </c>
      <c r="W59" s="6" t="e">
        <f ca="1">IF(agePb6U8(1/O59)&lt;1400,ageer7corr(V59,1/O59,P59/O59*(1/O59),Q59,R59,$W$2,0.05),ageerPb76(Q59,R59))</f>
        <v>#NAME?</v>
      </c>
      <c r="X59" s="4" t="e">
        <f ca="1">agePb6U8(L59)/agePb7u5(J59)</f>
        <v>#NAME?</v>
      </c>
      <c r="Y59" s="3"/>
      <c r="Z59" s="1">
        <v>1.651</v>
      </c>
      <c r="AA59" s="1">
        <v>4.4999999999999998E-2</v>
      </c>
      <c r="AB59" s="1">
        <v>0.16539999999999999</v>
      </c>
      <c r="AC59" s="1">
        <v>4.1000000000000003E-3</v>
      </c>
      <c r="AD59" s="1">
        <v>0.88683999999999996</v>
      </c>
      <c r="AE59" s="1">
        <v>6.0459490000000002</v>
      </c>
      <c r="AF59" s="1">
        <v>0.14986940000000001</v>
      </c>
      <c r="AG59" s="1">
        <v>7.17E-2</v>
      </c>
      <c r="AH59" s="1">
        <v>1E-3</v>
      </c>
      <c r="AI59" s="1">
        <v>-6.0846999999999998E-2</v>
      </c>
      <c r="AJ59" s="1">
        <v>5.7000000000000002E-2</v>
      </c>
      <c r="AK59" s="1">
        <v>1.1999999999999999E-3</v>
      </c>
      <c r="AL59" s="1">
        <v>2.2839999999999998</v>
      </c>
      <c r="AM59" s="1">
        <v>1.7000000000000001E-2</v>
      </c>
      <c r="AN59" s="1">
        <v>989</v>
      </c>
      <c r="AO59" s="1">
        <v>17</v>
      </c>
      <c r="AP59" s="1">
        <v>987</v>
      </c>
      <c r="AQ59" s="1">
        <v>23</v>
      </c>
      <c r="AR59" s="1">
        <v>1121</v>
      </c>
      <c r="AS59" s="1">
        <v>24</v>
      </c>
      <c r="AT59" s="1">
        <v>975</v>
      </c>
      <c r="AU59" s="1">
        <v>29</v>
      </c>
      <c r="AV59" s="1">
        <v>5.093</v>
      </c>
      <c r="AW59" s="1">
        <v>6.8000000000000005E-2</v>
      </c>
      <c r="AX59" s="1">
        <v>2.4319999999999999</v>
      </c>
      <c r="AY59" s="1">
        <v>6.2E-2</v>
      </c>
      <c r="AZ59" s="1">
        <v>11395.35</v>
      </c>
      <c r="BA59" s="1">
        <v>180.09</v>
      </c>
      <c r="BB59" s="1">
        <v>2330.6129999999998</v>
      </c>
      <c r="BC59" s="1">
        <v>53.405999999999999</v>
      </c>
      <c r="BD59" s="1">
        <v>32739.119999999999</v>
      </c>
      <c r="BE59" s="1">
        <v>428.49</v>
      </c>
      <c r="BF59" s="1">
        <v>3.1049999999999995</v>
      </c>
      <c r="BG59" s="1">
        <v>4.968</v>
      </c>
      <c r="BH59" s="1">
        <f t="shared" si="6"/>
        <v>10544.000000000002</v>
      </c>
      <c r="BI59" s="1">
        <f t="shared" si="7"/>
        <v>16870.964411082143</v>
      </c>
      <c r="BJ59" s="27">
        <v>985.8</v>
      </c>
      <c r="BK59" s="27">
        <v>21.4</v>
      </c>
      <c r="BL59" s="27">
        <v>986.1</v>
      </c>
      <c r="BM59" s="27">
        <v>28.7</v>
      </c>
      <c r="BN59" s="27">
        <v>985</v>
      </c>
      <c r="BO59" s="27">
        <v>56.5</v>
      </c>
      <c r="BP59" s="27">
        <v>985.8</v>
      </c>
      <c r="BQ59" s="27">
        <v>21.2</v>
      </c>
      <c r="BR59" s="27">
        <v>-2.9000000000000001E-2</v>
      </c>
    </row>
    <row r="60" spans="1:70" s="23" customFormat="1" x14ac:dyDescent="0.2">
      <c r="A60" s="23" t="s">
        <v>593</v>
      </c>
      <c r="B60" s="23" t="s">
        <v>38</v>
      </c>
      <c r="C60" s="23" t="s">
        <v>594</v>
      </c>
      <c r="D60" s="23" t="s">
        <v>595</v>
      </c>
      <c r="E60" s="23">
        <v>83486</v>
      </c>
      <c r="F60" s="23">
        <v>51438</v>
      </c>
      <c r="G60" s="23" t="s">
        <v>595</v>
      </c>
      <c r="H60" s="24">
        <v>181.4</v>
      </c>
      <c r="I60" s="24">
        <v>45</v>
      </c>
      <c r="J60" s="25">
        <v>1.9670000000000001</v>
      </c>
      <c r="K60" s="25">
        <f t="shared" ca="1" si="0"/>
        <v>7.0083062147711567E-2</v>
      </c>
      <c r="L60" s="26">
        <v>0.16950000000000001</v>
      </c>
      <c r="M60" s="26">
        <f t="shared" ca="1" si="1"/>
        <v>5.5544666710675298E-3</v>
      </c>
      <c r="N60" s="26">
        <v>0.98362000000000005</v>
      </c>
      <c r="O60" s="26">
        <v>5.899705</v>
      </c>
      <c r="P60" s="26">
        <f t="shared" ca="1" si="2"/>
        <v>0.1933316630728138</v>
      </c>
      <c r="Q60" s="25">
        <v>8.4430000000000005E-2</v>
      </c>
      <c r="R60" s="25">
        <f t="shared" ca="1" si="3"/>
        <v>1.7668531234938576E-3</v>
      </c>
      <c r="S60" s="26">
        <f t="shared" si="4"/>
        <v>0.51542560874872922</v>
      </c>
      <c r="T60" s="25">
        <v>8.3900000000000002E-2</v>
      </c>
      <c r="U60" s="25">
        <f t="shared" ca="1" si="5"/>
        <v>2.5348932916397092E-3</v>
      </c>
      <c r="V60" s="24" t="e">
        <f ca="1">IF(agePb6U8(1/O60)&lt;1400,age7corr(1/O60,Q60,$W$2),agePb76(Q60))</f>
        <v>#NAME?</v>
      </c>
      <c r="W60" s="24" t="e">
        <f ca="1">IF(agePb6U8(1/O60)&lt;1400,ageer7corr(V60,1/O60,P60/O60*(1/O60),Q60,R60,$W$2,0.05),ageerPb76(Q60,R60))</f>
        <v>#NAME?</v>
      </c>
      <c r="X60" s="26" t="e">
        <f ca="1">agePb6U8(L60)/agePb7u5(J60)</f>
        <v>#NAME?</v>
      </c>
      <c r="Y60" s="24"/>
      <c r="Z60" s="24">
        <v>1.9670000000000001</v>
      </c>
      <c r="AA60" s="24">
        <v>5.8000000000000003E-2</v>
      </c>
      <c r="AB60" s="24">
        <v>0.16950000000000001</v>
      </c>
      <c r="AC60" s="24">
        <v>4.4000000000000003E-3</v>
      </c>
      <c r="AD60" s="24">
        <v>0.98362000000000005</v>
      </c>
      <c r="AE60" s="24">
        <v>5.899705</v>
      </c>
      <c r="AF60" s="24">
        <v>0.1531487</v>
      </c>
      <c r="AG60" s="24">
        <v>8.4430000000000005E-2</v>
      </c>
      <c r="AH60" s="24">
        <v>5.1999999999999995E-4</v>
      </c>
      <c r="AI60" s="24">
        <v>-0.37158000000000002</v>
      </c>
      <c r="AJ60" s="24">
        <v>8.3900000000000002E-2</v>
      </c>
      <c r="AK60" s="24">
        <v>1.9E-3</v>
      </c>
      <c r="AL60" s="24">
        <v>8.6999999999999993</v>
      </c>
      <c r="AM60" s="24">
        <v>0.28000000000000003</v>
      </c>
      <c r="AN60" s="24">
        <v>1103</v>
      </c>
      <c r="AO60" s="24">
        <v>20</v>
      </c>
      <c r="AP60" s="24">
        <v>1009</v>
      </c>
      <c r="AQ60" s="24">
        <v>24</v>
      </c>
      <c r="AR60" s="24">
        <v>1628</v>
      </c>
      <c r="AS60" s="24">
        <v>35</v>
      </c>
      <c r="AT60" s="24">
        <v>1302</v>
      </c>
      <c r="AU60" s="24">
        <v>12</v>
      </c>
      <c r="AV60" s="24">
        <v>39.4</v>
      </c>
      <c r="AW60" s="24">
        <v>1.3</v>
      </c>
      <c r="AX60" s="24">
        <v>3.5500000000000003</v>
      </c>
      <c r="AY60" s="24">
        <v>9.1999999999999998E-2</v>
      </c>
      <c r="AZ60" s="24">
        <v>24132.06</v>
      </c>
      <c r="BA60" s="24">
        <v>372.6</v>
      </c>
      <c r="BB60" s="24">
        <v>21952.35</v>
      </c>
      <c r="BC60" s="24">
        <v>583.74</v>
      </c>
      <c r="BD60" s="24">
        <v>262683</v>
      </c>
      <c r="BE60" s="24">
        <v>8072.9999999999982</v>
      </c>
      <c r="BF60" s="24">
        <v>190.64699999999999</v>
      </c>
      <c r="BG60" s="24">
        <v>8.6940000000000008</v>
      </c>
      <c r="BH60" s="24">
        <f t="shared" si="6"/>
        <v>1377.8501628664496</v>
      </c>
      <c r="BI60" s="24">
        <f t="shared" si="7"/>
        <v>75.77056469235184</v>
      </c>
      <c r="BJ60" s="27">
        <v>1102.5999999999999</v>
      </c>
      <c r="BK60" s="27">
        <v>19.100000000000001</v>
      </c>
      <c r="BL60" s="27">
        <v>1009.3</v>
      </c>
      <c r="BM60" s="27">
        <v>30.1</v>
      </c>
      <c r="BN60" s="27">
        <v>1291.7</v>
      </c>
      <c r="BO60" s="27">
        <v>46.3</v>
      </c>
      <c r="BP60" s="27">
        <v>1109.2</v>
      </c>
      <c r="BQ60" s="27">
        <v>19.5</v>
      </c>
      <c r="BR60" s="27">
        <v>8</v>
      </c>
    </row>
    <row r="61" spans="1:70" x14ac:dyDescent="0.2">
      <c r="A61" t="s">
        <v>596</v>
      </c>
      <c r="B61" t="s">
        <v>38</v>
      </c>
      <c r="C61" t="s">
        <v>597</v>
      </c>
      <c r="D61" t="s">
        <v>598</v>
      </c>
      <c r="E61">
        <v>83499</v>
      </c>
      <c r="F61">
        <v>51561</v>
      </c>
      <c r="G61" t="s">
        <v>598</v>
      </c>
      <c r="H61" s="1">
        <v>66.8</v>
      </c>
      <c r="I61" s="1">
        <v>13.2</v>
      </c>
      <c r="J61" s="10">
        <v>2.4</v>
      </c>
      <c r="K61" s="10">
        <f t="shared" ca="1" si="0"/>
        <v>6.9310893804653828E-2</v>
      </c>
      <c r="L61" s="7">
        <v>0.2074</v>
      </c>
      <c r="M61" s="7">
        <f t="shared" ca="1" si="1"/>
        <v>6.046974780830495E-3</v>
      </c>
      <c r="N61" s="7">
        <v>0.96338999999999997</v>
      </c>
      <c r="O61" s="8">
        <v>4.8216010000000002</v>
      </c>
      <c r="P61" s="8">
        <f t="shared" ca="1" si="2"/>
        <v>0.14057909116056486</v>
      </c>
      <c r="Q61" s="9">
        <v>8.3919999999999995E-2</v>
      </c>
      <c r="R61" s="9">
        <f t="shared" ca="1" si="3"/>
        <v>1.7927427478587105E-3</v>
      </c>
      <c r="S61" s="8">
        <f t="shared" si="4"/>
        <v>0.56578090869461928</v>
      </c>
      <c r="T61" s="11">
        <v>7.2599999999999998E-2</v>
      </c>
      <c r="U61" s="11">
        <f t="shared" ca="1" si="5"/>
        <v>2.8910731571511641E-3</v>
      </c>
      <c r="V61" s="6" t="e">
        <f ca="1">IF(agePb6U8(1/O61)&lt;1400,age7corr(1/O61,Q61,$W$2),agePb76(Q61))</f>
        <v>#NAME?</v>
      </c>
      <c r="W61" s="6" t="e">
        <f ca="1">IF(agePb6U8(1/O61)&lt;1400,ageer7corr(V61,1/O61,P61/O61*(1/O61),Q61,R61,$W$2,0.05),ageerPb76(Q61,R61))</f>
        <v>#NAME?</v>
      </c>
      <c r="X61" s="4" t="e">
        <f ca="1">agePb6U8(L61)/agePb7u5(J61)</f>
        <v>#NAME?</v>
      </c>
      <c r="Y61" s="3"/>
      <c r="Z61" s="1">
        <v>2.4</v>
      </c>
      <c r="AA61" s="1">
        <v>0.05</v>
      </c>
      <c r="AB61" s="1">
        <v>0.2074</v>
      </c>
      <c r="AC61" s="1">
        <v>4.4000000000000003E-3</v>
      </c>
      <c r="AD61" s="1">
        <v>0.96338999999999997</v>
      </c>
      <c r="AE61" s="1">
        <v>4.8216010000000002</v>
      </c>
      <c r="AF61" s="1">
        <v>0.10229050000000001</v>
      </c>
      <c r="AG61" s="1">
        <v>8.3919999999999995E-2</v>
      </c>
      <c r="AH61" s="1">
        <v>6.3000000000000003E-4</v>
      </c>
      <c r="AI61" s="1">
        <v>0.60277999999999998</v>
      </c>
      <c r="AJ61" s="1">
        <v>7.2599999999999998E-2</v>
      </c>
      <c r="AK61" s="1">
        <v>2.5000000000000001E-3</v>
      </c>
      <c r="AL61" s="1">
        <v>15.52</v>
      </c>
      <c r="AM61" s="1">
        <v>0.1</v>
      </c>
      <c r="AN61" s="1">
        <v>1242</v>
      </c>
      <c r="AO61" s="1">
        <v>15</v>
      </c>
      <c r="AP61" s="1">
        <v>1215</v>
      </c>
      <c r="AQ61" s="1">
        <v>24</v>
      </c>
      <c r="AR61" s="1">
        <v>1415</v>
      </c>
      <c r="AS61" s="1">
        <v>47</v>
      </c>
      <c r="AT61" s="1">
        <v>1290</v>
      </c>
      <c r="AU61" s="1">
        <v>15</v>
      </c>
      <c r="AV61" s="1">
        <v>14.5</v>
      </c>
      <c r="AW61" s="1">
        <v>0.22</v>
      </c>
      <c r="AX61" s="1">
        <v>1.0410000000000001</v>
      </c>
      <c r="AY61" s="1">
        <v>0.04</v>
      </c>
      <c r="AZ61" s="1">
        <v>6160.32</v>
      </c>
      <c r="BA61" s="1">
        <v>99.359999999999985</v>
      </c>
      <c r="BB61" s="1">
        <v>10016.73</v>
      </c>
      <c r="BC61" s="1">
        <v>149.04</v>
      </c>
      <c r="BD61" s="1">
        <v>119480.4</v>
      </c>
      <c r="BE61" s="1">
        <v>2049.3000000000002</v>
      </c>
      <c r="BF61" s="1">
        <v>1.242</v>
      </c>
      <c r="BG61" s="1">
        <v>5.0301</v>
      </c>
      <c r="BH61" s="1">
        <f t="shared" si="6"/>
        <v>96200</v>
      </c>
      <c r="BI61" s="1">
        <f t="shared" si="7"/>
        <v>389613.49386282807</v>
      </c>
      <c r="BJ61" s="27">
        <v>1243.0999999999999</v>
      </c>
      <c r="BK61" s="27">
        <v>17.899999999999999</v>
      </c>
      <c r="BL61" s="27">
        <v>1215.3</v>
      </c>
      <c r="BM61" s="27">
        <v>32.200000000000003</v>
      </c>
      <c r="BN61" s="27">
        <v>1291.7</v>
      </c>
      <c r="BO61" s="27">
        <v>46.3</v>
      </c>
      <c r="BP61" s="27">
        <v>1244.7</v>
      </c>
      <c r="BQ61" s="27">
        <v>17.899999999999999</v>
      </c>
      <c r="BR61" s="27">
        <v>2.1</v>
      </c>
    </row>
    <row r="62" spans="1:70" x14ac:dyDescent="0.2">
      <c r="A62" t="s">
        <v>404</v>
      </c>
      <c r="B62" t="s">
        <v>38</v>
      </c>
      <c r="C62" t="s">
        <v>405</v>
      </c>
      <c r="D62" t="s">
        <v>406</v>
      </c>
      <c r="E62">
        <v>83766</v>
      </c>
      <c r="F62">
        <v>48825</v>
      </c>
      <c r="G62" t="s">
        <v>406</v>
      </c>
      <c r="H62" s="1">
        <v>59.6</v>
      </c>
      <c r="I62" s="1">
        <v>30.2</v>
      </c>
      <c r="J62" s="10">
        <v>1.7</v>
      </c>
      <c r="K62" s="10">
        <f t="shared" ca="1" si="0"/>
        <v>6.8095521144932863E-2</v>
      </c>
      <c r="L62" s="7">
        <v>0.16569999999999999</v>
      </c>
      <c r="M62" s="7">
        <f t="shared" ca="1" si="1"/>
        <v>6.7670226835736258E-3</v>
      </c>
      <c r="N62" s="7">
        <v>0.97729999999999995</v>
      </c>
      <c r="O62" s="8">
        <v>6.0350029999999997</v>
      </c>
      <c r="P62" s="8">
        <f t="shared" ca="1" si="2"/>
        <v>0.24646346507578684</v>
      </c>
      <c r="Q62" s="9">
        <v>7.4260000000000007E-2</v>
      </c>
      <c r="R62" s="9">
        <f t="shared" ca="1" si="3"/>
        <v>1.5769334291592656E-3</v>
      </c>
      <c r="S62" s="8">
        <f t="shared" si="4"/>
        <v>0.3908624431766452</v>
      </c>
      <c r="T62" s="11">
        <v>5.33E-2</v>
      </c>
      <c r="U62" s="11">
        <f t="shared" ca="1" si="5"/>
        <v>1.84020542331556E-3</v>
      </c>
      <c r="V62" s="6" t="e">
        <f ca="1">IF(agePb6U8(1/O62)&lt;1400,age7corr(1/O62,Q62,$W$2),agePb76(Q62))</f>
        <v>#NAME?</v>
      </c>
      <c r="W62" s="6" t="e">
        <f ca="1">IF(agePb6U8(1/O62)&lt;1400,ageer7corr(V62,1/O62,P62/O62*(1/O62),Q62,R62,$W$2,0.05),ageerPb76(Q62,R62))</f>
        <v>#NAME?</v>
      </c>
      <c r="X62" s="4" t="e">
        <f ca="1">agePb6U8(L62)/agePb7u5(J62)</f>
        <v>#NAME?</v>
      </c>
      <c r="Y62" s="3"/>
      <c r="Z62" s="1">
        <v>1.7</v>
      </c>
      <c r="AA62" s="1">
        <v>5.8999999999999997E-2</v>
      </c>
      <c r="AB62" s="1">
        <v>0.16569999999999999</v>
      </c>
      <c r="AC62" s="1">
        <v>5.8999999999999999E-3</v>
      </c>
      <c r="AD62" s="1">
        <v>0.97729999999999995</v>
      </c>
      <c r="AE62" s="1">
        <v>6.0350029999999997</v>
      </c>
      <c r="AF62" s="1">
        <v>0.2148854</v>
      </c>
      <c r="AG62" s="1">
        <v>7.4260000000000007E-2</v>
      </c>
      <c r="AH62" s="1">
        <v>5.2999999999999998E-4</v>
      </c>
      <c r="AI62" s="1">
        <v>0.23895</v>
      </c>
      <c r="AJ62" s="1">
        <v>5.33E-2</v>
      </c>
      <c r="AK62" s="1">
        <v>1.5E-3</v>
      </c>
      <c r="AL62" s="1">
        <v>6.444</v>
      </c>
      <c r="AM62" s="1">
        <v>4.7E-2</v>
      </c>
      <c r="AN62" s="1">
        <v>1007</v>
      </c>
      <c r="AO62" s="1">
        <v>22</v>
      </c>
      <c r="AP62" s="1">
        <v>988</v>
      </c>
      <c r="AQ62" s="1">
        <v>33</v>
      </c>
      <c r="AR62" s="1">
        <v>1050</v>
      </c>
      <c r="AS62" s="1">
        <v>29</v>
      </c>
      <c r="AT62" s="1">
        <v>1048</v>
      </c>
      <c r="AU62" s="1">
        <v>14</v>
      </c>
      <c r="AV62" s="1">
        <v>13.010000000000002</v>
      </c>
      <c r="AW62" s="1">
        <v>0.54</v>
      </c>
      <c r="AX62" s="1">
        <v>2.3860000000000001</v>
      </c>
      <c r="AY62" s="1">
        <v>0.08</v>
      </c>
      <c r="AZ62" s="1">
        <v>10339.650000000001</v>
      </c>
      <c r="BA62" s="1">
        <v>291.87</v>
      </c>
      <c r="BB62" s="1">
        <v>6197.58</v>
      </c>
      <c r="BC62" s="1">
        <v>180.09</v>
      </c>
      <c r="BD62" s="1">
        <v>83772.899999999994</v>
      </c>
      <c r="BE62" s="1">
        <v>2359.7999999999997</v>
      </c>
      <c r="BF62" s="1">
        <v>-3.9744000000000006</v>
      </c>
      <c r="BG62" s="1">
        <v>5.7131999999999996</v>
      </c>
      <c r="BH62" s="1">
        <f t="shared" si="6"/>
        <v>-21078.124999999996</v>
      </c>
      <c r="BI62" s="1">
        <f t="shared" si="7"/>
        <v>-30305.621642908871</v>
      </c>
      <c r="BJ62" s="27">
        <v>1004.2</v>
      </c>
      <c r="BK62" s="27">
        <v>25.3</v>
      </c>
      <c r="BL62" s="27">
        <v>987.6</v>
      </c>
      <c r="BM62" s="27">
        <v>37.9</v>
      </c>
      <c r="BN62" s="27">
        <v>1040.5999999999999</v>
      </c>
      <c r="BO62" s="27">
        <v>54.6</v>
      </c>
      <c r="BP62" s="27">
        <v>1007.2</v>
      </c>
      <c r="BQ62" s="27">
        <v>25</v>
      </c>
      <c r="BR62" s="27">
        <v>1.6</v>
      </c>
    </row>
    <row r="63" spans="1:70" x14ac:dyDescent="0.2">
      <c r="A63" t="s">
        <v>599</v>
      </c>
      <c r="B63" t="s">
        <v>38</v>
      </c>
      <c r="C63" t="s">
        <v>600</v>
      </c>
      <c r="D63" t="s">
        <v>601</v>
      </c>
      <c r="E63">
        <v>83526</v>
      </c>
      <c r="F63">
        <v>51684</v>
      </c>
      <c r="G63" t="s">
        <v>601</v>
      </c>
      <c r="H63" s="1">
        <v>187.7</v>
      </c>
      <c r="I63" s="1">
        <v>48</v>
      </c>
      <c r="J63" s="10">
        <v>1.6919999999999999</v>
      </c>
      <c r="K63" s="10">
        <f t="shared" ca="1" si="0"/>
        <v>6.1205764434406014E-2</v>
      </c>
      <c r="L63" s="7">
        <v>0.16700000000000001</v>
      </c>
      <c r="M63" s="7">
        <f t="shared" ca="1" si="1"/>
        <v>6.3494566696686728E-3</v>
      </c>
      <c r="N63" s="7">
        <v>0.97799000000000003</v>
      </c>
      <c r="O63" s="8">
        <v>5.9880240000000002</v>
      </c>
      <c r="P63" s="8">
        <f t="shared" ca="1" si="2"/>
        <v>0.22766883190265721</v>
      </c>
      <c r="Q63" s="9">
        <v>7.3520000000000002E-2</v>
      </c>
      <c r="R63" s="9">
        <f t="shared" ca="1" si="3"/>
        <v>1.5377178414780783E-3</v>
      </c>
      <c r="S63" s="8">
        <f t="shared" si="4"/>
        <v>0.45585962116610107</v>
      </c>
      <c r="T63" s="11">
        <v>5.96E-2</v>
      </c>
      <c r="U63" s="11">
        <f t="shared" ca="1" si="5"/>
        <v>1.8387125930933307E-3</v>
      </c>
      <c r="V63" s="6" t="e">
        <f ca="1">IF(agePb6U8(1/O63)&lt;1400,age7corr(1/O63,Q63,$W$2),agePb76(Q63))</f>
        <v>#NAME?</v>
      </c>
      <c r="W63" s="6" t="e">
        <f ca="1">IF(agePb6U8(1/O63)&lt;1400,ageer7corr(V63,1/O63,P63/O63*(1/O63),Q63,R63,$W$2,0.05),ageerPb76(Q63,R63))</f>
        <v>#NAME?</v>
      </c>
      <c r="X63" s="4" t="e">
        <f ca="1">agePb6U8(L63)/agePb7u5(J63)</f>
        <v>#NAME?</v>
      </c>
      <c r="Y63" s="3"/>
      <c r="Z63" s="1">
        <v>1.6919999999999999</v>
      </c>
      <c r="AA63" s="1">
        <v>5.0999999999999997E-2</v>
      </c>
      <c r="AB63" s="1">
        <v>0.16700000000000001</v>
      </c>
      <c r="AC63" s="1">
        <v>5.4000000000000003E-3</v>
      </c>
      <c r="AD63" s="1">
        <v>0.97799000000000003</v>
      </c>
      <c r="AE63" s="1">
        <v>5.9880240000000002</v>
      </c>
      <c r="AF63" s="1">
        <v>0.19362470000000001</v>
      </c>
      <c r="AG63" s="1">
        <v>7.3520000000000002E-2</v>
      </c>
      <c r="AH63" s="1">
        <v>4.4999999999999999E-4</v>
      </c>
      <c r="AI63" s="1">
        <v>0.39552999999999999</v>
      </c>
      <c r="AJ63" s="1">
        <v>5.96E-2</v>
      </c>
      <c r="AK63" s="1">
        <v>1.4E-3</v>
      </c>
      <c r="AL63" s="1">
        <v>11.542999999999999</v>
      </c>
      <c r="AM63" s="1">
        <v>5.6000000000000001E-2</v>
      </c>
      <c r="AN63" s="1">
        <v>1005</v>
      </c>
      <c r="AO63" s="1">
        <v>19</v>
      </c>
      <c r="AP63" s="1">
        <v>995</v>
      </c>
      <c r="AQ63" s="1">
        <v>30</v>
      </c>
      <c r="AR63" s="1">
        <v>1176</v>
      </c>
      <c r="AS63" s="1">
        <v>29</v>
      </c>
      <c r="AT63" s="1">
        <v>1028</v>
      </c>
      <c r="AU63" s="1">
        <v>12</v>
      </c>
      <c r="AV63" s="1">
        <v>40.75</v>
      </c>
      <c r="AW63" s="1">
        <v>0.95</v>
      </c>
      <c r="AX63" s="1">
        <v>3.78</v>
      </c>
      <c r="AY63" s="1">
        <v>0.11</v>
      </c>
      <c r="AZ63" s="1">
        <v>18400.23</v>
      </c>
      <c r="BA63" s="1">
        <v>360.18</v>
      </c>
      <c r="BB63" s="1">
        <v>19443.510000000002</v>
      </c>
      <c r="BC63" s="1">
        <v>291.87</v>
      </c>
      <c r="BD63" s="1">
        <v>266036.39999999997</v>
      </c>
      <c r="BE63" s="1">
        <v>4657.5</v>
      </c>
      <c r="BF63" s="1">
        <v>3.1049999999999995</v>
      </c>
      <c r="BG63" s="1">
        <v>5.9615999999999998</v>
      </c>
      <c r="BH63" s="1">
        <f t="shared" si="6"/>
        <v>85680</v>
      </c>
      <c r="BI63" s="1">
        <f t="shared" si="7"/>
        <v>164512.43853082965</v>
      </c>
      <c r="BJ63" s="27">
        <v>1009.5</v>
      </c>
      <c r="BK63" s="27">
        <v>22.6</v>
      </c>
      <c r="BL63" s="27">
        <v>995.3</v>
      </c>
      <c r="BM63" s="27">
        <v>35.4</v>
      </c>
      <c r="BN63" s="27">
        <v>1040.5999999999999</v>
      </c>
      <c r="BO63" s="27">
        <v>54.6</v>
      </c>
      <c r="BP63" s="27">
        <v>1011.4</v>
      </c>
      <c r="BQ63" s="27">
        <v>22.5</v>
      </c>
      <c r="BR63" s="27">
        <v>1.3</v>
      </c>
    </row>
    <row r="64" spans="1:70" s="23" customFormat="1" x14ac:dyDescent="0.2">
      <c r="A64" s="23" t="s">
        <v>602</v>
      </c>
      <c r="B64" s="23" t="s">
        <v>38</v>
      </c>
      <c r="C64" s="23" t="s">
        <v>603</v>
      </c>
      <c r="D64" s="23" t="s">
        <v>604</v>
      </c>
      <c r="E64" s="23">
        <v>83546</v>
      </c>
      <c r="F64" s="23">
        <v>51838</v>
      </c>
      <c r="G64" s="23" t="s">
        <v>604</v>
      </c>
      <c r="H64" s="24">
        <v>251.4</v>
      </c>
      <c r="I64" s="24">
        <v>157.5</v>
      </c>
      <c r="J64" s="25">
        <v>2.94</v>
      </c>
      <c r="K64" s="25">
        <f t="shared" ca="1" si="0"/>
        <v>0.13363173275835347</v>
      </c>
      <c r="L64" s="26">
        <v>0.2142</v>
      </c>
      <c r="M64" s="26">
        <f t="shared" ca="1" si="1"/>
        <v>8.3781057524956095E-3</v>
      </c>
      <c r="N64" s="26">
        <v>0.81850000000000001</v>
      </c>
      <c r="O64" s="26">
        <v>4.6685340000000002</v>
      </c>
      <c r="P64" s="26">
        <f t="shared" ca="1" si="2"/>
        <v>0.18260256414933607</v>
      </c>
      <c r="Q64" s="25">
        <v>0.10050000000000001</v>
      </c>
      <c r="R64" s="25">
        <f t="shared" ca="1" si="3"/>
        <v>3.3660213903063656E-3</v>
      </c>
      <c r="S64" s="26">
        <f t="shared" si="4"/>
        <v>0.3499157113822487</v>
      </c>
      <c r="T64" s="25">
        <v>9.4100000000000003E-2</v>
      </c>
      <c r="U64" s="25">
        <f t="shared" ca="1" si="5"/>
        <v>4.0622560234431304E-3</v>
      </c>
      <c r="V64" s="24" t="e">
        <f ca="1">IF(agePb6U8(1/O64)&lt;1400,age7corr(1/O64,Q64,$W$2),agePb76(Q64))</f>
        <v>#NAME?</v>
      </c>
      <c r="W64" s="24" t="e">
        <f ca="1">IF(agePb6U8(1/O64)&lt;1400,ageer7corr(V64,1/O64,P64/O64*(1/O64),Q64,R64,$W$2,0.05),ageerPb76(Q64,R64))</f>
        <v>#NAME?</v>
      </c>
      <c r="X64" s="26" t="e">
        <f ca="1">agePb6U8(L64)/agePb7u5(J64)</f>
        <v>#NAME?</v>
      </c>
      <c r="Y64" s="24"/>
      <c r="Z64" s="24">
        <v>2.94</v>
      </c>
      <c r="AA64" s="24">
        <v>0.12</v>
      </c>
      <c r="AB64" s="24">
        <v>0.2142</v>
      </c>
      <c r="AC64" s="24">
        <v>7.1999999999999998E-3</v>
      </c>
      <c r="AD64" s="24">
        <v>0.81850000000000001</v>
      </c>
      <c r="AE64" s="24">
        <v>4.6685340000000002</v>
      </c>
      <c r="AF64" s="24">
        <v>0.1569255</v>
      </c>
      <c r="AG64" s="24">
        <v>0.10050000000000001</v>
      </c>
      <c r="AH64" s="24">
        <v>2.7000000000000001E-3</v>
      </c>
      <c r="AI64" s="24">
        <v>-9.8418000000000005E-2</v>
      </c>
      <c r="AJ64" s="24">
        <v>9.4100000000000003E-2</v>
      </c>
      <c r="AK64" s="24">
        <v>3.5999999999999999E-3</v>
      </c>
      <c r="AL64" s="24">
        <v>3.87</v>
      </c>
      <c r="AM64" s="24">
        <v>0.15</v>
      </c>
      <c r="AN64" s="24">
        <v>1397</v>
      </c>
      <c r="AO64" s="24">
        <v>33</v>
      </c>
      <c r="AP64" s="24">
        <v>1250</v>
      </c>
      <c r="AQ64" s="24">
        <v>38</v>
      </c>
      <c r="AR64" s="24">
        <v>1817</v>
      </c>
      <c r="AS64" s="24">
        <v>67</v>
      </c>
      <c r="AT64" s="24">
        <v>1630</v>
      </c>
      <c r="AU64" s="24">
        <v>48</v>
      </c>
      <c r="AV64" s="24">
        <v>54.6</v>
      </c>
      <c r="AW64" s="24">
        <v>1.2</v>
      </c>
      <c r="AX64" s="24">
        <v>12.42</v>
      </c>
      <c r="AY64" s="24">
        <v>0.7</v>
      </c>
      <c r="AZ64" s="24">
        <v>94392</v>
      </c>
      <c r="BA64" s="24">
        <v>5837.4</v>
      </c>
      <c r="BB64" s="24">
        <v>45146.7</v>
      </c>
      <c r="BC64" s="24">
        <v>2111.4</v>
      </c>
      <c r="BD64" s="24">
        <v>451467</v>
      </c>
      <c r="BE64" s="24">
        <v>11178.000000000002</v>
      </c>
      <c r="BF64" s="24">
        <v>589.94999999999993</v>
      </c>
      <c r="BG64" s="24">
        <v>111.78</v>
      </c>
      <c r="BH64" s="24">
        <f t="shared" si="6"/>
        <v>765.26315789473688</v>
      </c>
      <c r="BI64" s="24">
        <f t="shared" si="7"/>
        <v>146.22995402330108</v>
      </c>
      <c r="BJ64" s="27">
        <v>1402.7</v>
      </c>
      <c r="BK64" s="27">
        <v>30.1</v>
      </c>
      <c r="BL64" s="27">
        <v>1250.8</v>
      </c>
      <c r="BM64" s="27">
        <v>43.8</v>
      </c>
      <c r="BN64" s="27">
        <v>1641.7</v>
      </c>
      <c r="BO64" s="27">
        <v>55.1</v>
      </c>
      <c r="BP64" s="27">
        <v>1404.7</v>
      </c>
      <c r="BQ64" s="27">
        <v>32.1</v>
      </c>
      <c r="BR64" s="27">
        <v>10</v>
      </c>
    </row>
    <row r="65" spans="1:70" x14ac:dyDescent="0.2">
      <c r="A65" t="s">
        <v>605</v>
      </c>
      <c r="B65" t="s">
        <v>38</v>
      </c>
      <c r="C65" t="s">
        <v>606</v>
      </c>
      <c r="D65" t="s">
        <v>607</v>
      </c>
      <c r="E65">
        <v>83567</v>
      </c>
      <c r="F65">
        <v>51989</v>
      </c>
      <c r="G65" t="s">
        <v>607</v>
      </c>
      <c r="H65" s="1">
        <v>266.2</v>
      </c>
      <c r="I65" s="1">
        <v>58.7</v>
      </c>
      <c r="J65" s="10">
        <v>1.8640000000000001</v>
      </c>
      <c r="K65" s="10">
        <f t="shared" ref="K65:K105" ca="1" si="8">SQRT(K$2^2+(AA65/Z65)^2)*J65</f>
        <v>7.0638505080444614E-2</v>
      </c>
      <c r="L65" s="7">
        <v>0.17610000000000001</v>
      </c>
      <c r="M65" s="7">
        <f t="shared" ref="M65:M105" ca="1" si="9">SQRT(M$2^2+(AC65/AB65)^2)*L65</f>
        <v>6.6154730745427411E-3</v>
      </c>
      <c r="N65" s="7">
        <v>0.99182000000000003</v>
      </c>
      <c r="O65" s="8">
        <v>5.6785920000000001</v>
      </c>
      <c r="P65" s="8">
        <f t="shared" ref="P65:P105" ca="1" si="10">SQRT(P$2^2+(AF65/AE65)^2)*O65</f>
        <v>0.21332525196280816</v>
      </c>
      <c r="Q65" s="9">
        <v>7.6810000000000003E-2</v>
      </c>
      <c r="R65" s="9">
        <f t="shared" ref="R65:R105" ca="1" si="11">SQRT(R$2^2+(AH65/AG65)^2)*Q65</f>
        <v>1.5671663727887988E-3</v>
      </c>
      <c r="S65" s="8">
        <f t="shared" ref="S65:S105" si="12">(((BE65/BD65)^2+(AW65/AV65)^2)+((BE65/BD65)^2+(BC65/BB65)^2)-((BC65/BB65)^2+(AW65/AV65)^2))/(2*SQRT((BE65/BD65)^2+(AW65/AV65)^2)*SQRT((BE65/BD65)^2+(BC65/BB65)^2))</f>
        <v>0.45485755241360126</v>
      </c>
      <c r="T65" s="11">
        <v>6.1699999999999998E-2</v>
      </c>
      <c r="U65" s="11">
        <f t="shared" ref="U65:U105" ca="1" si="13">SQRT(U$2^2+(AK65/AJ65)^2)*T65</f>
        <v>1.8662143499609042E-3</v>
      </c>
      <c r="V65" s="6" t="e">
        <f ca="1">IF(agePb6U8(1/O65)&lt;1400,age7corr(1/O65,Q65,$W$2),agePb76(Q65))</f>
        <v>#NAME?</v>
      </c>
      <c r="W65" s="6" t="e">
        <f ca="1">IF(agePb6U8(1/O65)&lt;1400,ageer7corr(V65,1/O65,P65/O65*(1/O65),Q65,R65,$W$2,0.05),ageerPb76(Q65,R65))</f>
        <v>#NAME?</v>
      </c>
      <c r="X65" s="4" t="e">
        <f ca="1">agePb6U8(L65)/agePb7u5(J65)</f>
        <v>#NAME?</v>
      </c>
      <c r="Y65" s="3"/>
      <c r="Z65" s="1">
        <v>1.8640000000000001</v>
      </c>
      <c r="AA65" s="1">
        <v>0.06</v>
      </c>
      <c r="AB65" s="1">
        <v>0.17610000000000001</v>
      </c>
      <c r="AC65" s="1">
        <v>5.5999999999999999E-3</v>
      </c>
      <c r="AD65" s="1">
        <v>0.99182000000000003</v>
      </c>
      <c r="AE65" s="1">
        <v>5.6785920000000001</v>
      </c>
      <c r="AF65" s="1">
        <v>0.18057989999999999</v>
      </c>
      <c r="AG65" s="1">
        <v>7.6810000000000003E-2</v>
      </c>
      <c r="AH65" s="1">
        <v>3.1E-4</v>
      </c>
      <c r="AI65" s="1">
        <v>5.4538999999999997E-2</v>
      </c>
      <c r="AJ65" s="1">
        <v>6.1699999999999998E-2</v>
      </c>
      <c r="AK65" s="1">
        <v>1.4E-3</v>
      </c>
      <c r="AL65" s="1">
        <v>13.69</v>
      </c>
      <c r="AM65" s="1">
        <v>0.19</v>
      </c>
      <c r="AN65" s="1">
        <v>1067</v>
      </c>
      <c r="AO65" s="1">
        <v>21</v>
      </c>
      <c r="AP65" s="1">
        <v>1045</v>
      </c>
      <c r="AQ65" s="1">
        <v>31</v>
      </c>
      <c r="AR65" s="1">
        <v>1210</v>
      </c>
      <c r="AS65" s="1">
        <v>27</v>
      </c>
      <c r="AT65" s="1">
        <v>1116.2</v>
      </c>
      <c r="AU65" s="1">
        <v>8.1</v>
      </c>
      <c r="AV65" s="1">
        <v>57.8</v>
      </c>
      <c r="AW65" s="1">
        <v>1.2</v>
      </c>
      <c r="AX65" s="1">
        <v>4.6290000000000004</v>
      </c>
      <c r="AY65" s="1">
        <v>9.0000000000000011E-2</v>
      </c>
      <c r="AZ65" s="1">
        <v>23231.61</v>
      </c>
      <c r="BA65" s="1">
        <v>447.12</v>
      </c>
      <c r="BB65" s="1">
        <v>30205.439999999999</v>
      </c>
      <c r="BC65" s="1">
        <v>515.42999999999995</v>
      </c>
      <c r="BD65" s="1">
        <v>395577</v>
      </c>
      <c r="BE65" s="1">
        <v>6831</v>
      </c>
      <c r="BF65" s="1">
        <v>-1.8629999999999998</v>
      </c>
      <c r="BG65" s="1">
        <v>5.7752999999999997</v>
      </c>
      <c r="BH65" s="1">
        <f t="shared" ref="BH65:BH105" si="14">BD65/BF65</f>
        <v>-212333.33333333337</v>
      </c>
      <c r="BI65" s="1">
        <f t="shared" ref="BI65:BI105" si="15">SQRT((BG65/BF65)^2+(BE65/BD65)^2)*BH65</f>
        <v>-658243.54577584402</v>
      </c>
      <c r="BJ65" s="27">
        <v>1069.9000000000001</v>
      </c>
      <c r="BK65" s="27">
        <v>22.7</v>
      </c>
      <c r="BL65" s="27">
        <v>1045.4000000000001</v>
      </c>
      <c r="BM65" s="27">
        <v>35.700000000000003</v>
      </c>
      <c r="BN65" s="27">
        <v>1120.3</v>
      </c>
      <c r="BO65" s="27">
        <v>51.8</v>
      </c>
      <c r="BP65" s="27">
        <v>1073.3</v>
      </c>
      <c r="BQ65" s="27">
        <v>22.6</v>
      </c>
      <c r="BR65" s="27">
        <v>2.2000000000000002</v>
      </c>
    </row>
    <row r="66" spans="1:70" s="23" customFormat="1" x14ac:dyDescent="0.2">
      <c r="A66" s="23" t="s">
        <v>608</v>
      </c>
      <c r="B66" s="23" t="s">
        <v>38</v>
      </c>
      <c r="C66" s="23" t="s">
        <v>609</v>
      </c>
      <c r="D66" s="23" t="s">
        <v>610</v>
      </c>
      <c r="E66" s="23">
        <v>83555</v>
      </c>
      <c r="F66" s="23">
        <v>52107</v>
      </c>
      <c r="G66" s="23" t="s">
        <v>610</v>
      </c>
      <c r="H66" s="24">
        <v>326.2</v>
      </c>
      <c r="I66" s="24">
        <v>69</v>
      </c>
      <c r="J66" s="25">
        <v>2.5</v>
      </c>
      <c r="K66" s="25">
        <f t="shared" ca="1" si="8"/>
        <v>6.220128616033594E-2</v>
      </c>
      <c r="L66" s="26">
        <v>0.19170000000000001</v>
      </c>
      <c r="M66" s="26">
        <f t="shared" ca="1" si="9"/>
        <v>4.7475842277941733E-3</v>
      </c>
      <c r="N66" s="26">
        <v>0.95035999999999998</v>
      </c>
      <c r="O66" s="26">
        <v>5.2164840000000003</v>
      </c>
      <c r="P66" s="26">
        <f t="shared" ca="1" si="10"/>
        <v>0.12918986745496258</v>
      </c>
      <c r="Q66" s="25">
        <v>9.4310000000000005E-2</v>
      </c>
      <c r="R66" s="25">
        <f t="shared" ca="1" si="11"/>
        <v>1.8989866876837236E-3</v>
      </c>
      <c r="S66" s="26">
        <f t="shared" si="12"/>
        <v>0.55481648146820584</v>
      </c>
      <c r="T66" s="25">
        <v>9.2499999999999999E-2</v>
      </c>
      <c r="U66" s="25">
        <f t="shared" ca="1" si="13"/>
        <v>2.7244265451650557E-3</v>
      </c>
      <c r="V66" s="24" t="e">
        <f ca="1">IF(agePb6U8(1/O66)&lt;1400,age7corr(1/O66,Q66,$W$2),agePb76(Q66))</f>
        <v>#NAME?</v>
      </c>
      <c r="W66" s="24" t="e">
        <f ca="1">IF(agePb6U8(1/O66)&lt;1400,ageer7corr(V66,1/O66,P66/O66*(1/O66),Q66,R66,$W$2,0.05),ageerPb76(Q66,R66))</f>
        <v>#NAME?</v>
      </c>
      <c r="X66" s="26" t="e">
        <f ca="1">agePb6U8(L66)/agePb7u5(J66)</f>
        <v>#NAME?</v>
      </c>
      <c r="Y66" s="24"/>
      <c r="Z66" s="24">
        <v>2.5</v>
      </c>
      <c r="AA66" s="24">
        <v>3.6999999999999998E-2</v>
      </c>
      <c r="AB66" s="24">
        <v>0.19170000000000001</v>
      </c>
      <c r="AC66" s="24">
        <v>2.8E-3</v>
      </c>
      <c r="AD66" s="24">
        <v>0.95035999999999998</v>
      </c>
      <c r="AE66" s="24">
        <v>5.2164840000000003</v>
      </c>
      <c r="AF66" s="24">
        <v>7.6192780000000002E-2</v>
      </c>
      <c r="AG66" s="24">
        <v>9.4310000000000005E-2</v>
      </c>
      <c r="AH66" s="24">
        <v>2.2000000000000001E-4</v>
      </c>
      <c r="AI66" s="24">
        <v>0.13943</v>
      </c>
      <c r="AJ66" s="24">
        <v>9.2499999999999999E-2</v>
      </c>
      <c r="AK66" s="24">
        <v>2E-3</v>
      </c>
      <c r="AL66" s="24">
        <v>10.39</v>
      </c>
      <c r="AM66" s="24">
        <v>0.11</v>
      </c>
      <c r="AN66" s="24">
        <v>1272</v>
      </c>
      <c r="AO66" s="24">
        <v>11</v>
      </c>
      <c r="AP66" s="24">
        <v>1130</v>
      </c>
      <c r="AQ66" s="24">
        <v>15</v>
      </c>
      <c r="AR66" s="24">
        <v>1789</v>
      </c>
      <c r="AS66" s="24">
        <v>36</v>
      </c>
      <c r="AT66" s="24">
        <v>1514.3</v>
      </c>
      <c r="AU66" s="24">
        <v>4.4000000000000004</v>
      </c>
      <c r="AV66" s="24">
        <v>70.790000000000006</v>
      </c>
      <c r="AW66" s="24">
        <v>0.92</v>
      </c>
      <c r="AX66" s="24">
        <v>5.44</v>
      </c>
      <c r="AY66" s="24">
        <v>0.13999999999999999</v>
      </c>
      <c r="AZ66" s="24">
        <v>41184.720000000001</v>
      </c>
      <c r="BA66" s="24">
        <v>552.68999999999994</v>
      </c>
      <c r="BB66" s="24">
        <v>49990.5</v>
      </c>
      <c r="BC66" s="24">
        <v>807.3</v>
      </c>
      <c r="BD66" s="24">
        <v>534060</v>
      </c>
      <c r="BE66" s="24">
        <v>8694</v>
      </c>
      <c r="BF66" s="24">
        <v>523.50300000000004</v>
      </c>
      <c r="BG66" s="24">
        <v>15.525</v>
      </c>
      <c r="BH66" s="24">
        <f t="shared" si="14"/>
        <v>1020.1660735468564</v>
      </c>
      <c r="BI66" s="24">
        <f t="shared" si="15"/>
        <v>34.512474373565944</v>
      </c>
      <c r="BJ66" s="27">
        <v>1266.7</v>
      </c>
      <c r="BK66" s="27">
        <v>16</v>
      </c>
      <c r="BL66" s="27">
        <v>1129.9000000000001</v>
      </c>
      <c r="BM66" s="27">
        <v>25.8</v>
      </c>
      <c r="BN66" s="27">
        <v>1507.3</v>
      </c>
      <c r="BO66" s="27">
        <v>40.200000000000003</v>
      </c>
      <c r="BP66" s="27">
        <v>1261.3</v>
      </c>
      <c r="BQ66" s="27">
        <v>16.7</v>
      </c>
      <c r="BR66" s="27">
        <v>10</v>
      </c>
    </row>
    <row r="67" spans="1:70" s="23" customFormat="1" x14ac:dyDescent="0.2">
      <c r="A67" s="23" t="s">
        <v>611</v>
      </c>
      <c r="B67" s="23" t="s">
        <v>38</v>
      </c>
      <c r="C67" s="23" t="s">
        <v>612</v>
      </c>
      <c r="D67" s="23" t="s">
        <v>613</v>
      </c>
      <c r="E67" s="23">
        <v>83503</v>
      </c>
      <c r="F67" s="23">
        <v>52293</v>
      </c>
      <c r="G67" s="23" t="s">
        <v>613</v>
      </c>
      <c r="H67" s="24">
        <v>54.3</v>
      </c>
      <c r="I67" s="24">
        <v>25.3</v>
      </c>
      <c r="J67" s="25">
        <v>4.29</v>
      </c>
      <c r="K67" s="25">
        <f t="shared" ca="1" si="8"/>
        <v>0.2361390268464745</v>
      </c>
      <c r="L67" s="26">
        <v>0.1943</v>
      </c>
      <c r="M67" s="26">
        <f t="shared" ca="1" si="9"/>
        <v>5.7219748339187929E-3</v>
      </c>
      <c r="N67" s="26">
        <v>0.53598000000000001</v>
      </c>
      <c r="O67" s="26">
        <v>5.1466799999999999</v>
      </c>
      <c r="P67" s="26">
        <f t="shared" ca="1" si="10"/>
        <v>0.1515654603125989</v>
      </c>
      <c r="Q67" s="25">
        <v>0.15809999999999999</v>
      </c>
      <c r="R67" s="25">
        <f t="shared" ca="1" si="11"/>
        <v>8.1393024271125356E-3</v>
      </c>
      <c r="S67" s="26">
        <f t="shared" si="12"/>
        <v>0.52293370959657703</v>
      </c>
      <c r="T67" s="25">
        <v>0.1555</v>
      </c>
      <c r="U67" s="25">
        <f t="shared" ca="1" si="13"/>
        <v>7.0258166785079155E-3</v>
      </c>
      <c r="V67" s="24" t="e">
        <f ca="1">IF(agePb6U8(1/O67)&lt;1400,age7corr(1/O67,Q67,$W$2),agePb76(Q67))</f>
        <v>#NAME?</v>
      </c>
      <c r="W67" s="24" t="e">
        <f ca="1">IF(agePb6U8(1/O67)&lt;1400,ageer7corr(V67,1/O67,P67/O67*(1/O67),Q67,R67,$W$2,0.05),ageerPb76(Q67,R67))</f>
        <v>#NAME?</v>
      </c>
      <c r="X67" s="26" t="e">
        <f ca="1">agePb6U8(L67)/agePb7u5(J67)</f>
        <v>#NAME?</v>
      </c>
      <c r="Y67" s="24"/>
      <c r="Z67" s="24">
        <v>4.29</v>
      </c>
      <c r="AA67" s="24">
        <v>0.22</v>
      </c>
      <c r="AB67" s="24">
        <v>0.1943</v>
      </c>
      <c r="AC67" s="24">
        <v>4.1999999999999997E-3</v>
      </c>
      <c r="AD67" s="24">
        <v>0.53598000000000001</v>
      </c>
      <c r="AE67" s="24">
        <v>5.1466799999999999</v>
      </c>
      <c r="AF67" s="24">
        <v>0.1112509</v>
      </c>
      <c r="AG67" s="24">
        <v>0.15809999999999999</v>
      </c>
      <c r="AH67" s="24">
        <v>7.4999999999999997E-3</v>
      </c>
      <c r="AI67" s="24">
        <v>-0.23258000000000001</v>
      </c>
      <c r="AJ67" s="24">
        <v>0.1555</v>
      </c>
      <c r="AK67" s="24">
        <v>6.3E-3</v>
      </c>
      <c r="AL67" s="24">
        <v>2.85</v>
      </c>
      <c r="AM67" s="24">
        <v>0.2</v>
      </c>
      <c r="AN67" s="24">
        <v>1686</v>
      </c>
      <c r="AO67" s="24">
        <v>44</v>
      </c>
      <c r="AP67" s="24">
        <v>1144</v>
      </c>
      <c r="AQ67" s="24">
        <v>23</v>
      </c>
      <c r="AR67" s="24">
        <v>2920</v>
      </c>
      <c r="AS67" s="24">
        <v>110</v>
      </c>
      <c r="AT67" s="24">
        <v>2442</v>
      </c>
      <c r="AU67" s="24">
        <v>79</v>
      </c>
      <c r="AV67" s="24">
        <v>11.780000000000001</v>
      </c>
      <c r="AW67" s="24">
        <v>0.68</v>
      </c>
      <c r="AX67" s="24">
        <v>1.9949999999999999</v>
      </c>
      <c r="AY67" s="24">
        <v>3.9E-2</v>
      </c>
      <c r="AZ67" s="24">
        <v>25026.3</v>
      </c>
      <c r="BA67" s="24">
        <v>869.4</v>
      </c>
      <c r="BB67" s="24">
        <v>13823.46</v>
      </c>
      <c r="BC67" s="24">
        <v>434.7</v>
      </c>
      <c r="BD67" s="24">
        <v>88865.1</v>
      </c>
      <c r="BE67" s="24">
        <v>4160.7</v>
      </c>
      <c r="BF67" s="24">
        <v>551.44799999999998</v>
      </c>
      <c r="BG67" s="24">
        <v>40.985999999999997</v>
      </c>
      <c r="BH67" s="24">
        <f t="shared" si="14"/>
        <v>161.14864864864867</v>
      </c>
      <c r="BI67" s="24">
        <f t="shared" si="15"/>
        <v>14.155654978706821</v>
      </c>
      <c r="BJ67" s="27">
        <v>1679.5</v>
      </c>
      <c r="BK67" s="27">
        <v>35.6</v>
      </c>
      <c r="BL67" s="27">
        <v>1144</v>
      </c>
      <c r="BM67" s="27">
        <v>30.5</v>
      </c>
      <c r="BN67" s="27">
        <v>2433.6</v>
      </c>
      <c r="BO67" s="27">
        <v>85.8</v>
      </c>
      <c r="BP67" s="27">
        <v>1288.5999999999999</v>
      </c>
      <c r="BQ67" s="27">
        <v>28.2</v>
      </c>
      <c r="BR67" s="27">
        <v>47</v>
      </c>
    </row>
    <row r="68" spans="1:70" x14ac:dyDescent="0.2">
      <c r="A68" t="s">
        <v>614</v>
      </c>
      <c r="B68" t="s">
        <v>38</v>
      </c>
      <c r="C68" t="s">
        <v>615</v>
      </c>
      <c r="D68" t="s">
        <v>616</v>
      </c>
      <c r="E68">
        <v>83601</v>
      </c>
      <c r="F68">
        <v>52405</v>
      </c>
      <c r="G68" t="s">
        <v>616</v>
      </c>
      <c r="H68" s="1">
        <v>39.76</v>
      </c>
      <c r="I68" s="1">
        <v>24.06</v>
      </c>
      <c r="J68" s="10">
        <v>1.8759999999999999</v>
      </c>
      <c r="K68" s="10">
        <f t="shared" ca="1" si="8"/>
        <v>6.0924136432123521E-2</v>
      </c>
      <c r="L68" s="7">
        <v>0.18079999999999999</v>
      </c>
      <c r="M68" s="7">
        <f t="shared" ca="1" si="9"/>
        <v>5.245517705622582E-3</v>
      </c>
      <c r="N68" s="7">
        <v>0.94808999999999999</v>
      </c>
      <c r="O68" s="8">
        <v>5.5309730000000004</v>
      </c>
      <c r="P68" s="8">
        <f t="shared" ca="1" si="10"/>
        <v>0.16046910040123488</v>
      </c>
      <c r="Q68" s="9">
        <v>7.5249999999999997E-2</v>
      </c>
      <c r="R68" s="9">
        <f t="shared" ca="1" si="11"/>
        <v>1.6277054401825902E-3</v>
      </c>
      <c r="S68" s="8">
        <f t="shared" si="12"/>
        <v>0.43018527982289195</v>
      </c>
      <c r="T68" s="11">
        <v>6.25E-2</v>
      </c>
      <c r="U68" s="11">
        <f t="shared" ca="1" si="13"/>
        <v>2.1914607000811125E-3</v>
      </c>
      <c r="V68" s="6" t="e">
        <f ca="1">IF(agePb6U8(1/O68)&lt;1400,age7corr(1/O68,Q68,$W$2),agePb76(Q68))</f>
        <v>#NAME?</v>
      </c>
      <c r="W68" s="6" t="e">
        <f ca="1">IF(agePb6U8(1/O68)&lt;1400,ageer7corr(V68,1/O68,P68/O68*(1/O68),Q68,R68,$W$2,0.05),ageerPb76(Q68,R68))</f>
        <v>#NAME?</v>
      </c>
      <c r="X68" s="4" t="e">
        <f ca="1">agePb6U8(L68)/agePb7u5(J68)</f>
        <v>#NAME?</v>
      </c>
      <c r="Y68" s="3"/>
      <c r="Z68" s="1">
        <v>1.8759999999999999</v>
      </c>
      <c r="AA68" s="1">
        <v>4.8000000000000001E-2</v>
      </c>
      <c r="AB68" s="1">
        <v>0.18079999999999999</v>
      </c>
      <c r="AC68" s="1">
        <v>3.8E-3</v>
      </c>
      <c r="AD68" s="1">
        <v>0.94808999999999999</v>
      </c>
      <c r="AE68" s="1">
        <v>5.5309730000000004</v>
      </c>
      <c r="AF68" s="1">
        <v>0.1162483</v>
      </c>
      <c r="AG68" s="1">
        <v>7.5249999999999997E-2</v>
      </c>
      <c r="AH68" s="1">
        <v>6.2E-4</v>
      </c>
      <c r="AI68" s="1">
        <v>-0.32111000000000001</v>
      </c>
      <c r="AJ68" s="1">
        <v>6.25E-2</v>
      </c>
      <c r="AK68" s="1">
        <v>1.8E-3</v>
      </c>
      <c r="AL68" s="1">
        <v>5.1020000000000003</v>
      </c>
      <c r="AM68" s="1">
        <v>4.3999999999999997E-2</v>
      </c>
      <c r="AN68" s="1">
        <v>1077</v>
      </c>
      <c r="AO68" s="1">
        <v>15</v>
      </c>
      <c r="AP68" s="1">
        <v>1071</v>
      </c>
      <c r="AQ68" s="1">
        <v>21</v>
      </c>
      <c r="AR68" s="1">
        <v>1225</v>
      </c>
      <c r="AS68" s="1">
        <v>33</v>
      </c>
      <c r="AT68" s="1">
        <v>1075</v>
      </c>
      <c r="AU68" s="1">
        <v>17</v>
      </c>
      <c r="AV68" s="1">
        <v>8.6199999999999992</v>
      </c>
      <c r="AW68" s="1">
        <v>0.16</v>
      </c>
      <c r="AX68" s="1">
        <v>1.897</v>
      </c>
      <c r="AY68" s="1">
        <v>3.3000000000000002E-2</v>
      </c>
      <c r="AZ68" s="1">
        <v>9594.4500000000007</v>
      </c>
      <c r="BA68" s="1">
        <v>173.88</v>
      </c>
      <c r="BB68" s="1">
        <v>4614.0300000000007</v>
      </c>
      <c r="BC68" s="1">
        <v>74.52</v>
      </c>
      <c r="BD68" s="1">
        <v>61789.5</v>
      </c>
      <c r="BE68" s="1">
        <v>931.50000000000011</v>
      </c>
      <c r="BF68" s="1">
        <v>-1.5524999999999998</v>
      </c>
      <c r="BG68" s="1">
        <v>3.6017999999999999</v>
      </c>
      <c r="BH68" s="1">
        <f t="shared" si="14"/>
        <v>-39800.000000000007</v>
      </c>
      <c r="BI68" s="1">
        <f t="shared" si="15"/>
        <v>-92337.949381605853</v>
      </c>
      <c r="BJ68" s="27">
        <v>1070.2</v>
      </c>
      <c r="BK68" s="27">
        <v>19.7</v>
      </c>
      <c r="BL68" s="27">
        <v>1071.5</v>
      </c>
      <c r="BM68" s="27">
        <v>28.6</v>
      </c>
      <c r="BN68" s="27">
        <v>1067.5999999999999</v>
      </c>
      <c r="BO68" s="27">
        <v>53.6</v>
      </c>
      <c r="BP68" s="27">
        <v>1070.4000000000001</v>
      </c>
      <c r="BQ68" s="27">
        <v>19.5</v>
      </c>
      <c r="BR68" s="27">
        <v>-0.1</v>
      </c>
    </row>
    <row r="69" spans="1:70" x14ac:dyDescent="0.2">
      <c r="A69" t="s">
        <v>617</v>
      </c>
      <c r="B69" t="s">
        <v>38</v>
      </c>
      <c r="C69" t="s">
        <v>618</v>
      </c>
      <c r="D69" t="s">
        <v>619</v>
      </c>
      <c r="E69">
        <v>83555</v>
      </c>
      <c r="F69">
        <v>52563</v>
      </c>
      <c r="G69" t="s">
        <v>619</v>
      </c>
      <c r="H69" s="1">
        <v>296</v>
      </c>
      <c r="I69" s="1">
        <v>143.6</v>
      </c>
      <c r="J69" s="10">
        <v>2.16</v>
      </c>
      <c r="K69" s="10">
        <f t="shared" ca="1" si="8"/>
        <v>7.3124824786114873E-2</v>
      </c>
      <c r="L69" s="7">
        <v>0.19159999999999999</v>
      </c>
      <c r="M69" s="7">
        <f t="shared" ca="1" si="9"/>
        <v>6.2204681495848851E-3</v>
      </c>
      <c r="N69" s="7">
        <v>0.99170000000000003</v>
      </c>
      <c r="O69" s="8">
        <v>5.2192069999999999</v>
      </c>
      <c r="P69" s="8">
        <f t="shared" ca="1" si="10"/>
        <v>0.16944630840210004</v>
      </c>
      <c r="Q69" s="9">
        <v>8.1989999999999993E-2</v>
      </c>
      <c r="R69" s="9">
        <f t="shared" ca="1" si="11"/>
        <v>1.6726757127429094E-3</v>
      </c>
      <c r="S69" s="8">
        <f t="shared" si="12"/>
        <v>0.40067840821193573</v>
      </c>
      <c r="T69" s="11">
        <v>6.9099999999999995E-2</v>
      </c>
      <c r="U69" s="11">
        <f t="shared" ca="1" si="13"/>
        <v>2.2693443987195951E-3</v>
      </c>
      <c r="V69" s="6" t="e">
        <f ca="1">IF(agePb6U8(1/O69)&lt;1400,age7corr(1/O69,Q69,$W$2),agePb76(Q69))</f>
        <v>#NAME?</v>
      </c>
      <c r="W69" s="6" t="e">
        <f ca="1">IF(agePb6U8(1/O69)&lt;1400,ageer7corr(V69,1/O69,P69/O69*(1/O69),Q69,R69,$W$2,0.05),ageerPb76(Q69,R69))</f>
        <v>#NAME?</v>
      </c>
      <c r="X69" s="4" t="e">
        <f ca="1">agePb6U8(L69)/agePb7u5(J69)</f>
        <v>#NAME?</v>
      </c>
      <c r="Y69" s="3"/>
      <c r="Z69" s="1">
        <v>2.16</v>
      </c>
      <c r="AA69" s="1">
        <v>5.8999999999999997E-2</v>
      </c>
      <c r="AB69" s="1">
        <v>0.19159999999999999</v>
      </c>
      <c r="AC69" s="1">
        <v>4.8999999999999998E-3</v>
      </c>
      <c r="AD69" s="1">
        <v>0.99170000000000003</v>
      </c>
      <c r="AE69" s="1">
        <v>5.2192069999999999</v>
      </c>
      <c r="AF69" s="1">
        <v>0.1334766</v>
      </c>
      <c r="AG69" s="1">
        <v>8.1989999999999993E-2</v>
      </c>
      <c r="AH69" s="1">
        <v>3.3E-4</v>
      </c>
      <c r="AI69" s="1">
        <v>-0.41513</v>
      </c>
      <c r="AJ69" s="1">
        <v>6.9099999999999995E-2</v>
      </c>
      <c r="AK69" s="1">
        <v>1.8E-3</v>
      </c>
      <c r="AL69" s="1">
        <v>6.1130000000000004</v>
      </c>
      <c r="AM69" s="1">
        <v>4.5999999999999999E-2</v>
      </c>
      <c r="AN69" s="1">
        <v>1167</v>
      </c>
      <c r="AO69" s="1">
        <v>19</v>
      </c>
      <c r="AP69" s="1">
        <v>1130</v>
      </c>
      <c r="AQ69" s="1">
        <v>26</v>
      </c>
      <c r="AR69" s="1">
        <v>1350</v>
      </c>
      <c r="AS69" s="1">
        <v>33</v>
      </c>
      <c r="AT69" s="1">
        <v>1245.2</v>
      </c>
      <c r="AU69" s="1">
        <v>7.8</v>
      </c>
      <c r="AV69" s="1">
        <v>64.199999999999989</v>
      </c>
      <c r="AW69" s="1">
        <v>3.3</v>
      </c>
      <c r="AX69" s="1">
        <v>11.32</v>
      </c>
      <c r="AY69" s="1">
        <v>0.17</v>
      </c>
      <c r="AZ69" s="1">
        <v>63652.500000000007</v>
      </c>
      <c r="BA69" s="1">
        <v>2049.3000000000002</v>
      </c>
      <c r="BB69" s="1">
        <v>39681.9</v>
      </c>
      <c r="BC69" s="1">
        <v>1552.5</v>
      </c>
      <c r="BD69" s="1">
        <v>487485</v>
      </c>
      <c r="BE69" s="1">
        <v>18009</v>
      </c>
      <c r="BF69" s="1">
        <v>43.47</v>
      </c>
      <c r="BG69" s="1">
        <v>6.8310000000000004</v>
      </c>
      <c r="BH69" s="1">
        <f t="shared" si="14"/>
        <v>11214.285714285714</v>
      </c>
      <c r="BI69" s="1">
        <f t="shared" si="15"/>
        <v>1810.287196398516</v>
      </c>
      <c r="BJ69" s="27">
        <v>1169.9000000000001</v>
      </c>
      <c r="BK69" s="27">
        <v>22.2</v>
      </c>
      <c r="BL69" s="27">
        <v>1129.9000000000001</v>
      </c>
      <c r="BM69" s="27">
        <v>33.799999999999997</v>
      </c>
      <c r="BN69" s="27">
        <v>1244.5999999999999</v>
      </c>
      <c r="BO69" s="27">
        <v>47.8</v>
      </c>
      <c r="BP69" s="27">
        <v>1172.8</v>
      </c>
      <c r="BQ69" s="27">
        <v>22.4</v>
      </c>
      <c r="BR69" s="27">
        <v>3.2</v>
      </c>
    </row>
    <row r="70" spans="1:70" x14ac:dyDescent="0.2">
      <c r="A70" t="s">
        <v>620</v>
      </c>
      <c r="B70" t="s">
        <v>38</v>
      </c>
      <c r="C70" t="s">
        <v>621</v>
      </c>
      <c r="D70" t="s">
        <v>622</v>
      </c>
      <c r="E70">
        <v>83508</v>
      </c>
      <c r="F70">
        <v>52735</v>
      </c>
      <c r="G70" t="s">
        <v>622</v>
      </c>
      <c r="H70" s="1">
        <v>317.7</v>
      </c>
      <c r="I70" s="1">
        <v>59.7</v>
      </c>
      <c r="J70" s="10">
        <v>1.792</v>
      </c>
      <c r="K70" s="10">
        <f t="shared" ca="1" si="8"/>
        <v>6.070836515670637E-2</v>
      </c>
      <c r="L70" s="7">
        <v>0.1716</v>
      </c>
      <c r="M70" s="7">
        <f t="shared" ca="1" si="9"/>
        <v>5.5016928303932055E-3</v>
      </c>
      <c r="N70" s="7">
        <v>0.98492000000000002</v>
      </c>
      <c r="O70" s="8">
        <v>5.8275059999999996</v>
      </c>
      <c r="P70" s="8">
        <f t="shared" ca="1" si="10"/>
        <v>0.18683648897325811</v>
      </c>
      <c r="Q70" s="9">
        <v>7.6340000000000005E-2</v>
      </c>
      <c r="R70" s="9">
        <f t="shared" ca="1" si="11"/>
        <v>1.5709927561895379E-3</v>
      </c>
      <c r="S70" s="8">
        <f t="shared" si="12"/>
        <v>0.40856642877508548</v>
      </c>
      <c r="T70" s="11">
        <v>6.2700000000000006E-2</v>
      </c>
      <c r="U70" s="11">
        <f t="shared" ca="1" si="13"/>
        <v>1.8794988693798143E-3</v>
      </c>
      <c r="V70" s="6" t="e">
        <f ca="1">IF(agePb6U8(1/O70)&lt;1400,age7corr(1/O70,Q70,$W$2),agePb76(Q70))</f>
        <v>#NAME?</v>
      </c>
      <c r="W70" s="6" t="e">
        <f ca="1">IF(agePb6U8(1/O70)&lt;1400,ageer7corr(V70,1/O70,P70/O70*(1/O70),Q70,R70,$W$2,0.05),ageerPb76(Q70,R70))</f>
        <v>#NAME?</v>
      </c>
      <c r="X70" s="4" t="e">
        <f ca="1">agePb6U8(L70)/agePb7u5(J70)</f>
        <v>#NAME?</v>
      </c>
      <c r="Y70" s="3"/>
      <c r="Z70" s="1">
        <v>1.792</v>
      </c>
      <c r="AA70" s="1">
        <v>4.9000000000000002E-2</v>
      </c>
      <c r="AB70" s="1">
        <v>0.1716</v>
      </c>
      <c r="AC70" s="1">
        <v>4.3E-3</v>
      </c>
      <c r="AD70" s="1">
        <v>0.98492000000000002</v>
      </c>
      <c r="AE70" s="1">
        <v>5.8275059999999996</v>
      </c>
      <c r="AF70" s="1">
        <v>0.1460272</v>
      </c>
      <c r="AG70" s="1">
        <v>7.6340000000000005E-2</v>
      </c>
      <c r="AH70" s="1">
        <v>3.6999999999999999E-4</v>
      </c>
      <c r="AI70" s="1">
        <v>0.17126</v>
      </c>
      <c r="AJ70" s="1">
        <v>6.2700000000000006E-2</v>
      </c>
      <c r="AK70" s="1">
        <v>1.4E-3</v>
      </c>
      <c r="AL70" s="1">
        <v>15.16</v>
      </c>
      <c r="AM70" s="1">
        <v>0.14000000000000001</v>
      </c>
      <c r="AN70" s="1">
        <v>1042</v>
      </c>
      <c r="AO70" s="1">
        <v>18</v>
      </c>
      <c r="AP70" s="1">
        <v>1021</v>
      </c>
      <c r="AQ70" s="1">
        <v>24</v>
      </c>
      <c r="AR70" s="1">
        <v>1228</v>
      </c>
      <c r="AS70" s="1">
        <v>27</v>
      </c>
      <c r="AT70" s="1">
        <v>1103.8</v>
      </c>
      <c r="AU70" s="1">
        <v>9.6</v>
      </c>
      <c r="AV70" s="1">
        <v>68.900000000000006</v>
      </c>
      <c r="AW70" s="1">
        <v>2</v>
      </c>
      <c r="AX70" s="1">
        <v>4.71</v>
      </c>
      <c r="AY70" s="1">
        <v>0.1</v>
      </c>
      <c r="AZ70" s="1">
        <v>24144.480000000003</v>
      </c>
      <c r="BA70" s="1">
        <v>478.17000000000007</v>
      </c>
      <c r="BB70" s="1">
        <v>34589.699999999997</v>
      </c>
      <c r="BC70" s="1">
        <v>807.3</v>
      </c>
      <c r="BD70" s="1">
        <v>457056</v>
      </c>
      <c r="BE70" s="1">
        <v>9936</v>
      </c>
      <c r="BF70" s="1">
        <v>37.26</v>
      </c>
      <c r="BG70" s="1">
        <v>7.4519999999999991</v>
      </c>
      <c r="BH70" s="1">
        <f t="shared" si="14"/>
        <v>12266.666666666668</v>
      </c>
      <c r="BI70" s="1">
        <f t="shared" si="15"/>
        <v>2467.7835309353118</v>
      </c>
      <c r="BJ70" s="27">
        <v>1044.2</v>
      </c>
      <c r="BK70" s="27">
        <v>21.2</v>
      </c>
      <c r="BL70" s="27">
        <v>1020.5</v>
      </c>
      <c r="BM70" s="27">
        <v>30.8</v>
      </c>
      <c r="BN70" s="27">
        <v>1094.2</v>
      </c>
      <c r="BO70" s="27">
        <v>52.7</v>
      </c>
      <c r="BP70" s="27">
        <v>1043.7</v>
      </c>
      <c r="BQ70" s="27">
        <v>21.3</v>
      </c>
      <c r="BR70" s="27">
        <v>2</v>
      </c>
    </row>
    <row r="71" spans="1:70" s="23" customFormat="1" x14ac:dyDescent="0.2">
      <c r="A71" s="23" t="s">
        <v>629</v>
      </c>
      <c r="B71" s="23" t="s">
        <v>38</v>
      </c>
      <c r="C71" s="23" t="s">
        <v>630</v>
      </c>
      <c r="D71" s="23" t="s">
        <v>631</v>
      </c>
      <c r="E71" s="23">
        <v>83419</v>
      </c>
      <c r="F71" s="23">
        <v>52861</v>
      </c>
      <c r="G71" s="23" t="s">
        <v>631</v>
      </c>
      <c r="H71" s="24">
        <v>30.08</v>
      </c>
      <c r="I71" s="24">
        <v>40.6</v>
      </c>
      <c r="J71" s="25">
        <v>14.25</v>
      </c>
      <c r="K71" s="25">
        <f t="shared" ca="1" si="8"/>
        <v>0.48303726564313859</v>
      </c>
      <c r="L71" s="26">
        <v>0.52700000000000002</v>
      </c>
      <c r="M71" s="26">
        <f t="shared" ca="1" si="9"/>
        <v>1.7524029217049372E-2</v>
      </c>
      <c r="N71" s="26">
        <v>0.82972999999999997</v>
      </c>
      <c r="O71" s="26">
        <v>1.8975329999999999</v>
      </c>
      <c r="P71" s="26">
        <f t="shared" ca="1" si="10"/>
        <v>6.3097581195780392E-2</v>
      </c>
      <c r="Q71" s="25">
        <v>0.19769999999999999</v>
      </c>
      <c r="R71" s="25">
        <f t="shared" ca="1" si="11"/>
        <v>5.0243522965652005E-3</v>
      </c>
      <c r="S71" s="26">
        <f t="shared" si="12"/>
        <v>0.65161997970068108</v>
      </c>
      <c r="T71" s="25">
        <v>0.1898</v>
      </c>
      <c r="U71" s="25">
        <f t="shared" ca="1" si="13"/>
        <v>8.6746536530284586E-3</v>
      </c>
      <c r="V71" s="24" t="e">
        <f ca="1">IF(agePb6U8(1/O71)&lt;1400,age7corr(1/O71,Q71,$W$2),agePb76(Q71))</f>
        <v>#NAME?</v>
      </c>
      <c r="W71" s="24" t="e">
        <f ca="1">IF(agePb6U8(1/O71)&lt;1400,ageer7corr(V71,1/O71,P71/O71*(1/O71),Q71,R71,$W$2,0.05),ageerPb76(Q71,R71))</f>
        <v>#NAME?</v>
      </c>
      <c r="X71" s="26" t="e">
        <f ca="1">agePb6U8(L71)/agePb7u5(J71)</f>
        <v>#NAME?</v>
      </c>
      <c r="Y71" s="24"/>
      <c r="Z71" s="24">
        <v>14.25</v>
      </c>
      <c r="AA71" s="24">
        <v>0.39</v>
      </c>
      <c r="AB71" s="24">
        <v>0.52700000000000002</v>
      </c>
      <c r="AC71" s="24">
        <v>1.4E-2</v>
      </c>
      <c r="AD71" s="24">
        <v>0.82972999999999997</v>
      </c>
      <c r="AE71" s="24">
        <v>1.8975329999999999</v>
      </c>
      <c r="AF71" s="24">
        <v>5.0408849999999998E-2</v>
      </c>
      <c r="AG71" s="24">
        <v>0.19769999999999999</v>
      </c>
      <c r="AH71" s="24">
        <v>3.0999999999999999E-3</v>
      </c>
      <c r="AI71" s="24">
        <v>-2.0735E-2</v>
      </c>
      <c r="AJ71" s="24">
        <v>0.1898</v>
      </c>
      <c r="AK71" s="24">
        <v>7.7999999999999996E-3</v>
      </c>
      <c r="AL71" s="24">
        <v>2.1659999999999999</v>
      </c>
      <c r="AM71" s="24">
        <v>2.5000000000000001E-2</v>
      </c>
      <c r="AN71" s="24">
        <v>2765</v>
      </c>
      <c r="AO71" s="24">
        <v>26</v>
      </c>
      <c r="AP71" s="24">
        <v>2727</v>
      </c>
      <c r="AQ71" s="24">
        <v>58</v>
      </c>
      <c r="AR71" s="24">
        <v>3510</v>
      </c>
      <c r="AS71" s="24">
        <v>130</v>
      </c>
      <c r="AT71" s="24">
        <v>2806</v>
      </c>
      <c r="AU71" s="24">
        <v>25</v>
      </c>
      <c r="AV71" s="24">
        <v>6.52</v>
      </c>
      <c r="AW71" s="24">
        <v>0.17</v>
      </c>
      <c r="AX71" s="24">
        <v>3.2</v>
      </c>
      <c r="AY71" s="24">
        <v>0.24000000000000002</v>
      </c>
      <c r="AZ71" s="24">
        <v>49121.100000000006</v>
      </c>
      <c r="BA71" s="24">
        <v>1055.7</v>
      </c>
      <c r="BB71" s="24">
        <v>26212.410000000003</v>
      </c>
      <c r="BC71" s="24">
        <v>521.64</v>
      </c>
      <c r="BD71" s="24">
        <v>133949.70000000001</v>
      </c>
      <c r="BE71" s="24">
        <v>4222.8</v>
      </c>
      <c r="BF71" s="24">
        <v>126.063</v>
      </c>
      <c r="BG71" s="24">
        <v>32.912999999999997</v>
      </c>
      <c r="BH71" s="24">
        <f t="shared" si="14"/>
        <v>1062.5615763546798</v>
      </c>
      <c r="BI71" s="24">
        <f t="shared" si="15"/>
        <v>279.43261169832533</v>
      </c>
      <c r="BJ71" s="27">
        <v>2773.9</v>
      </c>
      <c r="BK71" s="27">
        <v>23.2</v>
      </c>
      <c r="BL71" s="27">
        <v>2725.9</v>
      </c>
      <c r="BM71" s="27">
        <v>70.2</v>
      </c>
      <c r="BN71" s="27">
        <v>2809</v>
      </c>
      <c r="BO71" s="27">
        <v>41.3</v>
      </c>
      <c r="BP71" s="27">
        <v>2780.5</v>
      </c>
      <c r="BQ71" s="27">
        <v>21.7</v>
      </c>
      <c r="BR71" s="27">
        <v>1.8</v>
      </c>
    </row>
    <row r="72" spans="1:70" x14ac:dyDescent="0.2">
      <c r="A72" t="s">
        <v>632</v>
      </c>
      <c r="B72" t="s">
        <v>38</v>
      </c>
      <c r="C72" t="s">
        <v>633</v>
      </c>
      <c r="D72" t="s">
        <v>634</v>
      </c>
      <c r="E72">
        <v>83534</v>
      </c>
      <c r="F72">
        <v>53255</v>
      </c>
      <c r="G72" t="s">
        <v>634</v>
      </c>
      <c r="H72" s="1">
        <v>237</v>
      </c>
      <c r="I72" s="1">
        <v>200</v>
      </c>
      <c r="J72" s="10">
        <v>1.64</v>
      </c>
      <c r="K72" s="10">
        <f t="shared" ca="1" si="8"/>
        <v>0.10524181678401413</v>
      </c>
      <c r="L72" s="7">
        <v>0.1588</v>
      </c>
      <c r="M72" s="7">
        <f t="shared" ca="1" si="9"/>
        <v>1.0206712301226091E-2</v>
      </c>
      <c r="N72" s="7">
        <v>0.99780999999999997</v>
      </c>
      <c r="O72" s="8">
        <v>6.2972289999999997</v>
      </c>
      <c r="P72" s="8">
        <f t="shared" ca="1" si="10"/>
        <v>0.40474812497494833</v>
      </c>
      <c r="Q72" s="9">
        <v>7.5230000000000005E-2</v>
      </c>
      <c r="R72" s="9">
        <f t="shared" ca="1" si="11"/>
        <v>1.5268991977206616E-3</v>
      </c>
      <c r="S72" s="8">
        <f t="shared" si="12"/>
        <v>0.41790269759894838</v>
      </c>
      <c r="T72" s="11">
        <v>6.7199999999999996E-2</v>
      </c>
      <c r="U72" s="11">
        <f t="shared" ca="1" si="13"/>
        <v>3.5631918275613513E-3</v>
      </c>
      <c r="V72" s="6" t="e">
        <f ca="1">IF(agePb6U8(1/O72)&lt;1400,age7corr(1/O72,Q72,$W$2),agePb76(Q72))</f>
        <v>#NAME?</v>
      </c>
      <c r="W72" s="6" t="e">
        <f ca="1">IF(agePb6U8(1/O72)&lt;1400,ageer7corr(V72,1/O72,P72/O72*(1/O72),Q72,R72,$W$2,0.05),ageerPb76(Q72,R72))</f>
        <v>#NAME?</v>
      </c>
      <c r="X72" s="4" t="e">
        <f ca="1">agePb6U8(L72)/agePb7u5(J72)</f>
        <v>#NAME?</v>
      </c>
      <c r="Y72" s="3"/>
      <c r="Z72" s="1">
        <v>1.64</v>
      </c>
      <c r="AA72" s="1">
        <v>0.1</v>
      </c>
      <c r="AB72" s="1">
        <v>0.1588</v>
      </c>
      <c r="AC72" s="1">
        <v>9.7000000000000003E-3</v>
      </c>
      <c r="AD72" s="1">
        <v>0.99780999999999997</v>
      </c>
      <c r="AE72" s="1">
        <v>6.2972289999999997</v>
      </c>
      <c r="AF72" s="1">
        <v>0.38465440000000001</v>
      </c>
      <c r="AG72" s="1">
        <v>7.5230000000000005E-2</v>
      </c>
      <c r="AH72" s="1">
        <v>2.5999999999999998E-4</v>
      </c>
      <c r="AI72" s="1">
        <v>-0.21682000000000001</v>
      </c>
      <c r="AJ72" s="1">
        <v>6.7199999999999996E-2</v>
      </c>
      <c r="AK72" s="1">
        <v>3.3E-3</v>
      </c>
      <c r="AL72" s="1">
        <v>2.964</v>
      </c>
      <c r="AM72" s="1">
        <v>2.1999999999999999E-2</v>
      </c>
      <c r="AN72" s="1">
        <v>983</v>
      </c>
      <c r="AO72" s="1">
        <v>38</v>
      </c>
      <c r="AP72" s="1">
        <v>949</v>
      </c>
      <c r="AQ72" s="1">
        <v>54</v>
      </c>
      <c r="AR72" s="1">
        <v>1314</v>
      </c>
      <c r="AS72" s="1">
        <v>62</v>
      </c>
      <c r="AT72" s="1">
        <v>1074.5999999999999</v>
      </c>
      <c r="AU72" s="1">
        <v>6.8</v>
      </c>
      <c r="AV72" s="1">
        <v>51.4</v>
      </c>
      <c r="AW72" s="1">
        <v>3</v>
      </c>
      <c r="AX72" s="1">
        <v>15.76</v>
      </c>
      <c r="AY72" s="1">
        <v>0.93</v>
      </c>
      <c r="AZ72" s="1">
        <v>84828.6</v>
      </c>
      <c r="BA72" s="1">
        <v>3850.2</v>
      </c>
      <c r="BB72" s="1">
        <v>23473.8</v>
      </c>
      <c r="BC72" s="1">
        <v>931.50000000000011</v>
      </c>
      <c r="BD72" s="1">
        <v>314847</v>
      </c>
      <c r="BE72" s="1">
        <v>13041.000000000002</v>
      </c>
      <c r="BF72" s="1">
        <v>9.9359999999999999</v>
      </c>
      <c r="BG72" s="1">
        <v>5.5269000000000004</v>
      </c>
      <c r="BH72" s="1">
        <f t="shared" si="14"/>
        <v>31687.5</v>
      </c>
      <c r="BI72" s="1">
        <f t="shared" si="15"/>
        <v>17674.970755761973</v>
      </c>
      <c r="BJ72" s="27">
        <v>986</v>
      </c>
      <c r="BK72" s="27">
        <v>36.4</v>
      </c>
      <c r="BL72" s="27">
        <v>949.7</v>
      </c>
      <c r="BM72" s="27">
        <v>56.1</v>
      </c>
      <c r="BN72" s="27">
        <v>1067.5999999999999</v>
      </c>
      <c r="BO72" s="27">
        <v>53.6</v>
      </c>
      <c r="BP72" s="27">
        <v>1011.3</v>
      </c>
      <c r="BQ72" s="27">
        <v>30.4</v>
      </c>
      <c r="BR72" s="27">
        <v>4.8</v>
      </c>
    </row>
    <row r="73" spans="1:70" s="23" customFormat="1" x14ac:dyDescent="0.2">
      <c r="A73" s="23" t="s">
        <v>407</v>
      </c>
      <c r="B73" s="23" t="s">
        <v>38</v>
      </c>
      <c r="C73" s="23" t="s">
        <v>408</v>
      </c>
      <c r="D73" s="23" t="s">
        <v>409</v>
      </c>
      <c r="E73" s="23">
        <v>83766</v>
      </c>
      <c r="F73" s="23">
        <v>48943</v>
      </c>
      <c r="G73" s="23" t="s">
        <v>409</v>
      </c>
      <c r="H73" s="24">
        <v>90.7</v>
      </c>
      <c r="I73" s="24">
        <v>23.72</v>
      </c>
      <c r="J73" s="25">
        <v>3.0470000000000002</v>
      </c>
      <c r="K73" s="25">
        <f t="shared" ca="1" si="8"/>
        <v>0.10621997740538265</v>
      </c>
      <c r="L73" s="26">
        <v>0.21740000000000001</v>
      </c>
      <c r="M73" s="26">
        <f t="shared" ca="1" si="9"/>
        <v>6.7018731709873481E-3</v>
      </c>
      <c r="N73" s="26">
        <v>0.84036</v>
      </c>
      <c r="O73" s="26">
        <v>4.5998159999999997</v>
      </c>
      <c r="P73" s="26">
        <f t="shared" ca="1" si="10"/>
        <v>0.14180031688364592</v>
      </c>
      <c r="Q73" s="25">
        <v>0.1021</v>
      </c>
      <c r="R73" s="25">
        <f t="shared" ca="1" si="11"/>
        <v>2.9291234183625651E-3</v>
      </c>
      <c r="S73" s="26">
        <f t="shared" si="12"/>
        <v>0.42604452645412078</v>
      </c>
      <c r="T73" s="25">
        <v>0.10920000000000001</v>
      </c>
      <c r="U73" s="25">
        <f t="shared" ca="1" si="13"/>
        <v>6.3851277199442145E-3</v>
      </c>
      <c r="V73" s="24" t="e">
        <f ca="1">IF(agePb6U8(1/O73)&lt;1400,age7corr(1/O73,Q73,$W$2),agePb76(Q73))</f>
        <v>#NAME?</v>
      </c>
      <c r="W73" s="24" t="e">
        <f ca="1">IF(agePb6U8(1/O73)&lt;1400,ageer7corr(V73,1/O73,P73/O73*(1/O73),Q73,R73,$W$2,0.05),ageerPb76(Q73,R73))</f>
        <v>#NAME?</v>
      </c>
      <c r="X73" s="26" t="e">
        <f ca="1">agePb6U8(L73)/agePb7u5(J73)</f>
        <v>#NAME?</v>
      </c>
      <c r="Y73" s="24"/>
      <c r="Z73" s="24">
        <v>3.0470000000000002</v>
      </c>
      <c r="AA73" s="24">
        <v>8.6999999999999994E-2</v>
      </c>
      <c r="AB73" s="24">
        <v>0.21740000000000001</v>
      </c>
      <c r="AC73" s="24">
        <v>5.1000000000000004E-3</v>
      </c>
      <c r="AD73" s="24">
        <v>0.84036</v>
      </c>
      <c r="AE73" s="24">
        <v>4.5998159999999997</v>
      </c>
      <c r="AF73" s="24">
        <v>0.1079074</v>
      </c>
      <c r="AG73" s="24">
        <v>0.1021</v>
      </c>
      <c r="AH73" s="24">
        <v>2.0999999999999999E-3</v>
      </c>
      <c r="AI73" s="24">
        <v>-9.7658999999999992E-3</v>
      </c>
      <c r="AJ73" s="24">
        <v>0.10920000000000001</v>
      </c>
      <c r="AK73" s="24">
        <v>6.0000000000000001E-3</v>
      </c>
      <c r="AL73" s="24">
        <v>7.9320000000000004</v>
      </c>
      <c r="AM73" s="24">
        <v>9.0999999999999998E-2</v>
      </c>
      <c r="AN73" s="24">
        <v>1425</v>
      </c>
      <c r="AO73" s="24">
        <v>25</v>
      </c>
      <c r="AP73" s="24">
        <v>1268</v>
      </c>
      <c r="AQ73" s="24">
        <v>27</v>
      </c>
      <c r="AR73" s="24">
        <v>2090</v>
      </c>
      <c r="AS73" s="24">
        <v>110</v>
      </c>
      <c r="AT73" s="24">
        <v>1660</v>
      </c>
      <c r="AU73" s="24">
        <v>39</v>
      </c>
      <c r="AV73" s="24">
        <v>19.8</v>
      </c>
      <c r="AW73" s="24">
        <v>1.6</v>
      </c>
      <c r="AX73" s="24">
        <v>1.8760000000000001</v>
      </c>
      <c r="AY73" s="24">
        <v>3.6999999999999998E-2</v>
      </c>
      <c r="AZ73" s="24">
        <v>17139.599999999999</v>
      </c>
      <c r="BA73" s="24">
        <v>1242</v>
      </c>
      <c r="BB73" s="24">
        <v>17388</v>
      </c>
      <c r="BC73" s="24">
        <v>1552.5</v>
      </c>
      <c r="BD73" s="24">
        <v>169533</v>
      </c>
      <c r="BE73" s="24">
        <v>12420</v>
      </c>
      <c r="BF73" s="24">
        <v>175.12200000000001</v>
      </c>
      <c r="BG73" s="24">
        <v>36.638999999999996</v>
      </c>
      <c r="BH73" s="24">
        <f t="shared" si="14"/>
        <v>968.08510638297867</v>
      </c>
      <c r="BI73" s="24">
        <f t="shared" si="15"/>
        <v>214.60066283354243</v>
      </c>
      <c r="BJ73" s="27">
        <v>1421.7</v>
      </c>
      <c r="BK73" s="27">
        <v>24.5</v>
      </c>
      <c r="BL73" s="27">
        <v>1268.0999999999999</v>
      </c>
      <c r="BM73" s="27">
        <v>35</v>
      </c>
      <c r="BN73" s="27">
        <v>1660</v>
      </c>
      <c r="BO73" s="27">
        <v>54.5</v>
      </c>
      <c r="BP73" s="27">
        <v>1395.1</v>
      </c>
      <c r="BQ73" s="27">
        <v>25.8</v>
      </c>
      <c r="BR73" s="27">
        <v>10</v>
      </c>
    </row>
    <row r="74" spans="1:70" x14ac:dyDescent="0.2">
      <c r="A74" t="s">
        <v>635</v>
      </c>
      <c r="B74" t="s">
        <v>38</v>
      </c>
      <c r="C74" t="s">
        <v>636</v>
      </c>
      <c r="D74" t="s">
        <v>637</v>
      </c>
      <c r="E74">
        <v>83482</v>
      </c>
      <c r="F74">
        <v>53504</v>
      </c>
      <c r="G74" t="s">
        <v>637</v>
      </c>
      <c r="H74" s="1">
        <v>299.8</v>
      </c>
      <c r="I74" s="1">
        <v>73.099999999999994</v>
      </c>
      <c r="J74" s="10">
        <v>1.738</v>
      </c>
      <c r="K74" s="10">
        <f t="shared" ca="1" si="8"/>
        <v>6.0895464527335706E-2</v>
      </c>
      <c r="L74" s="7">
        <v>0.16500000000000001</v>
      </c>
      <c r="M74" s="7">
        <f t="shared" ca="1" si="9"/>
        <v>5.6612719418872651E-3</v>
      </c>
      <c r="N74" s="7">
        <v>0.98878999999999995</v>
      </c>
      <c r="O74" s="8">
        <v>6.0606059999999999</v>
      </c>
      <c r="P74" s="8">
        <f t="shared" ca="1" si="10"/>
        <v>0.20794391226639555</v>
      </c>
      <c r="Q74" s="9">
        <v>7.6670000000000002E-2</v>
      </c>
      <c r="R74" s="9">
        <f t="shared" ca="1" si="11"/>
        <v>1.6224104166332267E-3</v>
      </c>
      <c r="S74" s="8">
        <f t="shared" si="12"/>
        <v>0.39260155725617829</v>
      </c>
      <c r="T74" s="11">
        <v>6.6699999999999995E-2</v>
      </c>
      <c r="U74" s="11">
        <f t="shared" ca="1" si="13"/>
        <v>2.0831600994642729E-3</v>
      </c>
      <c r="V74" s="6" t="e">
        <f ca="1">IF(agePb6U8(1/O74)&lt;1400,age7corr(1/O74,Q74,$W$2),agePb76(Q74))</f>
        <v>#NAME?</v>
      </c>
      <c r="W74" s="6" t="e">
        <f ca="1">IF(agePb6U8(1/O74)&lt;1400,ageer7corr(V74,1/O74,P74/O74*(1/O74),Q74,R74,$W$2,0.05),ageerPb76(Q74,R74))</f>
        <v>#NAME?</v>
      </c>
      <c r="X74" s="4" t="e">
        <f ca="1">agePb6U8(L74)/agePb7u5(J74)</f>
        <v>#NAME?</v>
      </c>
      <c r="Y74" s="3"/>
      <c r="Z74" s="1">
        <v>1.738</v>
      </c>
      <c r="AA74" s="1">
        <v>0.05</v>
      </c>
      <c r="AB74" s="1">
        <v>0.16500000000000001</v>
      </c>
      <c r="AC74" s="1">
        <v>4.5999999999999999E-3</v>
      </c>
      <c r="AD74" s="1">
        <v>0.98878999999999995</v>
      </c>
      <c r="AE74" s="1">
        <v>6.0606059999999999</v>
      </c>
      <c r="AF74" s="1">
        <v>0.16896240000000001</v>
      </c>
      <c r="AG74" s="1">
        <v>7.6670000000000002E-2</v>
      </c>
      <c r="AH74" s="1">
        <v>5.2999999999999998E-4</v>
      </c>
      <c r="AI74" s="1">
        <v>-0.27500000000000002</v>
      </c>
      <c r="AJ74" s="1">
        <v>6.6699999999999995E-2</v>
      </c>
      <c r="AK74" s="1">
        <v>1.6000000000000001E-3</v>
      </c>
      <c r="AL74" s="1">
        <v>10.82</v>
      </c>
      <c r="AM74" s="1">
        <v>0.15</v>
      </c>
      <c r="AN74" s="1">
        <v>1022</v>
      </c>
      <c r="AO74" s="1">
        <v>19</v>
      </c>
      <c r="AP74" s="1">
        <v>984</v>
      </c>
      <c r="AQ74" s="1">
        <v>25</v>
      </c>
      <c r="AR74" s="1">
        <v>1306</v>
      </c>
      <c r="AS74" s="1">
        <v>30</v>
      </c>
      <c r="AT74" s="1">
        <v>1112</v>
      </c>
      <c r="AU74" s="1">
        <v>14</v>
      </c>
      <c r="AV74" s="1">
        <v>65</v>
      </c>
      <c r="AW74" s="1">
        <v>1.9</v>
      </c>
      <c r="AX74" s="1">
        <v>5.758</v>
      </c>
      <c r="AY74" s="1">
        <v>8.7999999999999995E-2</v>
      </c>
      <c r="AZ74" s="1">
        <v>31236.3</v>
      </c>
      <c r="BA74" s="1">
        <v>993.6</v>
      </c>
      <c r="BB74" s="1">
        <v>32354.100000000002</v>
      </c>
      <c r="BC74" s="1">
        <v>931.50000000000011</v>
      </c>
      <c r="BD74" s="1">
        <v>426005.99999999994</v>
      </c>
      <c r="BE74" s="1">
        <v>9936</v>
      </c>
      <c r="BF74" s="1">
        <v>7.7625000000000002</v>
      </c>
      <c r="BG74" s="1">
        <v>4.6574999999999998</v>
      </c>
      <c r="BH74" s="1">
        <f t="shared" si="14"/>
        <v>54879.999999999993</v>
      </c>
      <c r="BI74" s="1">
        <f t="shared" si="15"/>
        <v>32952.869131533902</v>
      </c>
      <c r="BJ74" s="27">
        <v>1027.5999999999999</v>
      </c>
      <c r="BK74" s="27">
        <v>22.1</v>
      </c>
      <c r="BL74" s="27">
        <v>984.6</v>
      </c>
      <c r="BM74" s="27">
        <v>31.6</v>
      </c>
      <c r="BN74" s="27">
        <v>1120.3</v>
      </c>
      <c r="BO74" s="27">
        <v>51.8</v>
      </c>
      <c r="BP74" s="27">
        <v>1028.3</v>
      </c>
      <c r="BQ74" s="27">
        <v>22.5</v>
      </c>
      <c r="BR74" s="27">
        <v>3.8</v>
      </c>
    </row>
    <row r="75" spans="1:70" x14ac:dyDescent="0.2">
      <c r="A75" t="s">
        <v>638</v>
      </c>
      <c r="B75" t="s">
        <v>38</v>
      </c>
      <c r="C75" t="s">
        <v>639</v>
      </c>
      <c r="D75" t="s">
        <v>640</v>
      </c>
      <c r="E75">
        <v>83465</v>
      </c>
      <c r="F75">
        <v>53641</v>
      </c>
      <c r="G75" t="s">
        <v>640</v>
      </c>
      <c r="H75" s="1">
        <v>51.6</v>
      </c>
      <c r="I75" s="1">
        <v>28.3</v>
      </c>
      <c r="J75" s="10">
        <v>1.929</v>
      </c>
      <c r="K75" s="10">
        <f t="shared" ca="1" si="8"/>
        <v>8.5231545803182526E-2</v>
      </c>
      <c r="L75" s="7">
        <v>0.18770000000000001</v>
      </c>
      <c r="M75" s="7">
        <f t="shared" ca="1" si="9"/>
        <v>7.7674008522799947E-3</v>
      </c>
      <c r="N75" s="7">
        <v>0.98177999999999999</v>
      </c>
      <c r="O75" s="8">
        <v>5.3276510000000004</v>
      </c>
      <c r="P75" s="8">
        <f t="shared" ca="1" si="10"/>
        <v>0.22046878095358627</v>
      </c>
      <c r="Q75" s="9">
        <v>7.5310000000000002E-2</v>
      </c>
      <c r="R75" s="9">
        <f t="shared" ca="1" si="11"/>
        <v>1.6365324439191543E-3</v>
      </c>
      <c r="S75" s="8">
        <f t="shared" si="12"/>
        <v>0.48950954187033791</v>
      </c>
      <c r="T75" s="11">
        <v>7.2700000000000001E-2</v>
      </c>
      <c r="U75" s="11">
        <f t="shared" ca="1" si="13"/>
        <v>3.1550144215201303E-3</v>
      </c>
      <c r="V75" s="6" t="e">
        <f ca="1">IF(agePb6U8(1/O75)&lt;1400,age7corr(1/O75,Q75,$W$2),agePb76(Q75))</f>
        <v>#NAME?</v>
      </c>
      <c r="W75" s="6" t="e">
        <f ca="1">IF(agePb6U8(1/O75)&lt;1400,ageer7corr(V75,1/O75,P75/O75*(1/O75),Q75,R75,$W$2,0.05),ageerPb76(Q75,R75))</f>
        <v>#NAME?</v>
      </c>
      <c r="X75" s="4" t="e">
        <f ca="1">agePb6U8(L75)/agePb7u5(J75)</f>
        <v>#NAME?</v>
      </c>
      <c r="Y75" s="3"/>
      <c r="Z75" s="1">
        <v>1.929</v>
      </c>
      <c r="AA75" s="1">
        <v>7.5999999999999998E-2</v>
      </c>
      <c r="AB75" s="1">
        <v>0.18770000000000001</v>
      </c>
      <c r="AC75" s="1">
        <v>6.7999999999999996E-3</v>
      </c>
      <c r="AD75" s="1">
        <v>0.98177999999999999</v>
      </c>
      <c r="AE75" s="1">
        <v>5.3276510000000004</v>
      </c>
      <c r="AF75" s="1">
        <v>0.19301019999999999</v>
      </c>
      <c r="AG75" s="1">
        <v>7.5310000000000002E-2</v>
      </c>
      <c r="AH75" s="1">
        <v>6.4000000000000005E-4</v>
      </c>
      <c r="AI75" s="1">
        <v>0.10471999999999999</v>
      </c>
      <c r="AJ75" s="1">
        <v>7.2700000000000001E-2</v>
      </c>
      <c r="AK75" s="1">
        <v>2.8E-3</v>
      </c>
      <c r="AL75" s="1">
        <v>4.9829999999999997</v>
      </c>
      <c r="AM75" s="1">
        <v>6.6000000000000003E-2</v>
      </c>
      <c r="AN75" s="1">
        <v>1090</v>
      </c>
      <c r="AO75" s="1">
        <v>26</v>
      </c>
      <c r="AP75" s="1">
        <v>1109</v>
      </c>
      <c r="AQ75" s="1">
        <v>37</v>
      </c>
      <c r="AR75" s="1">
        <v>1418</v>
      </c>
      <c r="AS75" s="1">
        <v>53</v>
      </c>
      <c r="AT75" s="1">
        <v>1076</v>
      </c>
      <c r="AU75" s="1">
        <v>17</v>
      </c>
      <c r="AV75" s="1">
        <v>11.19</v>
      </c>
      <c r="AW75" s="1">
        <v>0.46</v>
      </c>
      <c r="AX75" s="1">
        <v>2.2300000000000004</v>
      </c>
      <c r="AY75" s="1">
        <v>0.11</v>
      </c>
      <c r="AZ75" s="1">
        <v>13308.03</v>
      </c>
      <c r="BA75" s="1">
        <v>329.13</v>
      </c>
      <c r="BB75" s="1">
        <v>6172.74</v>
      </c>
      <c r="BC75" s="1">
        <v>192.51</v>
      </c>
      <c r="BD75" s="1">
        <v>82468.800000000003</v>
      </c>
      <c r="BE75" s="1">
        <v>2918.7</v>
      </c>
      <c r="BF75" s="1">
        <v>-5.9615999999999998</v>
      </c>
      <c r="BG75" s="1">
        <v>5.5269000000000004</v>
      </c>
      <c r="BH75" s="1">
        <f t="shared" si="14"/>
        <v>-13833.333333333334</v>
      </c>
      <c r="BI75" s="1">
        <f t="shared" si="15"/>
        <v>-12833.994339676214</v>
      </c>
      <c r="BJ75" s="27">
        <v>1094.7</v>
      </c>
      <c r="BK75" s="27">
        <v>24.5</v>
      </c>
      <c r="BL75" s="27">
        <v>1108.5</v>
      </c>
      <c r="BM75" s="27">
        <v>42</v>
      </c>
      <c r="BN75" s="27">
        <v>1067.5999999999999</v>
      </c>
      <c r="BO75" s="27">
        <v>53.6</v>
      </c>
      <c r="BP75" s="27">
        <v>1091.3</v>
      </c>
      <c r="BQ75" s="27">
        <v>23.5</v>
      </c>
      <c r="BR75" s="27">
        <v>-1.2</v>
      </c>
    </row>
    <row r="76" spans="1:70" x14ac:dyDescent="0.2">
      <c r="A76" t="s">
        <v>641</v>
      </c>
      <c r="B76" t="s">
        <v>38</v>
      </c>
      <c r="C76" t="s">
        <v>642</v>
      </c>
      <c r="D76" t="s">
        <v>643</v>
      </c>
      <c r="E76">
        <v>83509</v>
      </c>
      <c r="F76">
        <v>53788</v>
      </c>
      <c r="G76" t="s">
        <v>643</v>
      </c>
      <c r="H76" s="1">
        <v>353.4</v>
      </c>
      <c r="I76" s="1">
        <v>87.8</v>
      </c>
      <c r="J76" s="10">
        <v>1.895</v>
      </c>
      <c r="K76" s="10">
        <f t="shared" ca="1" si="8"/>
        <v>8.403219621073818E-2</v>
      </c>
      <c r="L76" s="7">
        <v>0.1779</v>
      </c>
      <c r="M76" s="7">
        <f t="shared" ca="1" si="9"/>
        <v>7.1483819148112108E-3</v>
      </c>
      <c r="N76" s="7">
        <v>0.98502999999999996</v>
      </c>
      <c r="O76" s="8">
        <v>5.6211349999999998</v>
      </c>
      <c r="P76" s="8">
        <f t="shared" ca="1" si="10"/>
        <v>0.22586857639133867</v>
      </c>
      <c r="Q76" s="9">
        <v>7.8770000000000007E-2</v>
      </c>
      <c r="R76" s="9">
        <f t="shared" ca="1" si="11"/>
        <v>1.715891942984756E-3</v>
      </c>
      <c r="S76" s="8">
        <f t="shared" si="12"/>
        <v>0.54239768188198179</v>
      </c>
      <c r="T76" s="11">
        <v>7.2900000000000006E-2</v>
      </c>
      <c r="U76" s="11">
        <f t="shared" ca="1" si="13"/>
        <v>3.2458841630594276E-3</v>
      </c>
      <c r="V76" s="6" t="e">
        <f ca="1">IF(agePb6U8(1/O76)&lt;1400,age7corr(1/O76,Q76,$W$2),agePb76(Q76))</f>
        <v>#NAME?</v>
      </c>
      <c r="W76" s="6" t="e">
        <f ca="1">IF(agePb6U8(1/O76)&lt;1400,ageer7corr(V76,1/O76,P76/O76*(1/O76),Q76,R76,$W$2,0.05),ageerPb76(Q76,R76))</f>
        <v>#NAME?</v>
      </c>
      <c r="X76" s="4" t="e">
        <f ca="1">agePb6U8(L76)/agePb7u5(J76)</f>
        <v>#NAME?</v>
      </c>
      <c r="Y76" s="3"/>
      <c r="Z76" s="1">
        <v>1.895</v>
      </c>
      <c r="AA76" s="1">
        <v>7.4999999999999997E-2</v>
      </c>
      <c r="AB76" s="1">
        <v>0.1779</v>
      </c>
      <c r="AC76" s="1">
        <v>6.1999999999999998E-3</v>
      </c>
      <c r="AD76" s="1">
        <v>0.98502999999999996</v>
      </c>
      <c r="AE76" s="1">
        <v>5.6211349999999998</v>
      </c>
      <c r="AF76" s="1">
        <v>0.1959024</v>
      </c>
      <c r="AG76" s="1">
        <v>7.8770000000000007E-2</v>
      </c>
      <c r="AH76" s="1">
        <v>6.8000000000000005E-4</v>
      </c>
      <c r="AI76" s="1">
        <v>-0.16905000000000001</v>
      </c>
      <c r="AJ76" s="1">
        <v>7.2900000000000006E-2</v>
      </c>
      <c r="AK76" s="1">
        <v>2.8999999999999998E-3</v>
      </c>
      <c r="AL76" s="1">
        <v>10.257</v>
      </c>
      <c r="AM76" s="1">
        <v>8.6999999999999994E-2</v>
      </c>
      <c r="AN76" s="1">
        <v>1090</v>
      </c>
      <c r="AO76" s="1">
        <v>26</v>
      </c>
      <c r="AP76" s="1">
        <v>1055</v>
      </c>
      <c r="AQ76" s="1">
        <v>34</v>
      </c>
      <c r="AR76" s="1">
        <v>1421</v>
      </c>
      <c r="AS76" s="1">
        <v>54</v>
      </c>
      <c r="AT76" s="1">
        <v>1166</v>
      </c>
      <c r="AU76" s="1">
        <v>17</v>
      </c>
      <c r="AV76" s="1">
        <v>76.599999999999994</v>
      </c>
      <c r="AW76" s="1">
        <v>1.6</v>
      </c>
      <c r="AX76" s="1">
        <v>6.92</v>
      </c>
      <c r="AY76" s="1">
        <v>0.32</v>
      </c>
      <c r="AZ76" s="1">
        <v>41172.299999999996</v>
      </c>
      <c r="BA76" s="1">
        <v>1366.1999999999998</v>
      </c>
      <c r="BB76" s="1">
        <v>41110.200000000004</v>
      </c>
      <c r="BC76" s="1">
        <v>993.6</v>
      </c>
      <c r="BD76" s="1">
        <v>531576</v>
      </c>
      <c r="BE76" s="1">
        <v>13041.000000000002</v>
      </c>
      <c r="BF76" s="1">
        <v>7.3898999999999999</v>
      </c>
      <c r="BG76" s="1">
        <v>5.5269000000000004</v>
      </c>
      <c r="BH76" s="1">
        <f t="shared" si="14"/>
        <v>71932.773109243702</v>
      </c>
      <c r="BI76" s="1">
        <f t="shared" si="15"/>
        <v>53827.395864483842</v>
      </c>
      <c r="BJ76" s="27">
        <v>1094.0999999999999</v>
      </c>
      <c r="BK76" s="27">
        <v>23.2</v>
      </c>
      <c r="BL76" s="27">
        <v>1055.7</v>
      </c>
      <c r="BM76" s="27">
        <v>39.9</v>
      </c>
      <c r="BN76" s="27">
        <v>1171.2</v>
      </c>
      <c r="BO76" s="27">
        <v>50.1</v>
      </c>
      <c r="BP76" s="27">
        <v>1105</v>
      </c>
      <c r="BQ76" s="27">
        <v>22</v>
      </c>
      <c r="BR76" s="27">
        <v>3.6</v>
      </c>
    </row>
    <row r="77" spans="1:70" x14ac:dyDescent="0.2">
      <c r="A77" t="s">
        <v>644</v>
      </c>
      <c r="B77" t="s">
        <v>38</v>
      </c>
      <c r="C77" t="s">
        <v>645</v>
      </c>
      <c r="D77" t="s">
        <v>646</v>
      </c>
      <c r="E77">
        <v>83378</v>
      </c>
      <c r="F77">
        <v>53963</v>
      </c>
      <c r="G77" t="s">
        <v>646</v>
      </c>
      <c r="H77" s="1">
        <v>112.4</v>
      </c>
      <c r="I77" s="1">
        <v>46.9</v>
      </c>
      <c r="J77" s="10">
        <v>2.153</v>
      </c>
      <c r="K77" s="10">
        <f t="shared" ca="1" si="8"/>
        <v>9.88694270237266E-2</v>
      </c>
      <c r="L77" s="7">
        <v>0.1973</v>
      </c>
      <c r="M77" s="7">
        <f t="shared" ca="1" si="9"/>
        <v>9.1902620202037755E-3</v>
      </c>
      <c r="N77" s="7">
        <v>0.99644999999999995</v>
      </c>
      <c r="O77" s="8">
        <v>5.0684240000000003</v>
      </c>
      <c r="P77" s="8">
        <f t="shared" ca="1" si="10"/>
        <v>0.23608787402471645</v>
      </c>
      <c r="Q77" s="9">
        <v>7.9310000000000005E-2</v>
      </c>
      <c r="R77" s="9">
        <f t="shared" ca="1" si="11"/>
        <v>1.6243553921479132E-3</v>
      </c>
      <c r="S77" s="8">
        <f t="shared" si="12"/>
        <v>0.47882509896291475</v>
      </c>
      <c r="T77" s="11">
        <v>7.46E-2</v>
      </c>
      <c r="U77" s="11">
        <f t="shared" ca="1" si="13"/>
        <v>3.3505318980723044E-3</v>
      </c>
      <c r="V77" s="6" t="e">
        <f ca="1">IF(agePb6U8(1/O77)&lt;1400,age7corr(1/O77,Q77,$W$2),agePb76(Q77))</f>
        <v>#NAME?</v>
      </c>
      <c r="W77" s="6" t="e">
        <f ca="1">IF(agePb6U8(1/O77)&lt;1400,ageer7corr(V77,1/O77,P77/O77*(1/O77),Q77,R77,$W$2,0.05),ageerPb76(Q77,R77))</f>
        <v>#NAME?</v>
      </c>
      <c r="X77" s="4" t="e">
        <f ca="1">agePb6U8(L77)/agePb7u5(J77)</f>
        <v>#NAME?</v>
      </c>
      <c r="Y77" s="3"/>
      <c r="Z77" s="1">
        <v>2.153</v>
      </c>
      <c r="AA77" s="1">
        <v>8.8999999999999996E-2</v>
      </c>
      <c r="AB77" s="1">
        <v>0.1973</v>
      </c>
      <c r="AC77" s="1">
        <v>8.3000000000000001E-3</v>
      </c>
      <c r="AD77" s="1">
        <v>0.99644999999999995</v>
      </c>
      <c r="AE77" s="1">
        <v>5.0684240000000003</v>
      </c>
      <c r="AF77" s="1">
        <v>0.21321799999999999</v>
      </c>
      <c r="AG77" s="1">
        <v>7.9310000000000005E-2</v>
      </c>
      <c r="AH77" s="1">
        <v>3.5E-4</v>
      </c>
      <c r="AI77" s="1">
        <v>0.17660999999999999</v>
      </c>
      <c r="AJ77" s="1">
        <v>7.46E-2</v>
      </c>
      <c r="AK77" s="1">
        <v>3.0000000000000001E-3</v>
      </c>
      <c r="AL77" s="1">
        <v>6.77</v>
      </c>
      <c r="AM77" s="1">
        <v>0.12</v>
      </c>
      <c r="AN77" s="1">
        <v>1164</v>
      </c>
      <c r="AO77" s="1">
        <v>28</v>
      </c>
      <c r="AP77" s="1">
        <v>1160</v>
      </c>
      <c r="AQ77" s="1">
        <v>44</v>
      </c>
      <c r="AR77" s="1">
        <v>1453</v>
      </c>
      <c r="AS77" s="1">
        <v>56</v>
      </c>
      <c r="AT77" s="1">
        <v>1179.7</v>
      </c>
      <c r="AU77" s="1">
        <v>8.8000000000000007</v>
      </c>
      <c r="AV77" s="1">
        <v>24.36</v>
      </c>
      <c r="AW77" s="1">
        <v>0.66</v>
      </c>
      <c r="AX77" s="1">
        <v>3.7</v>
      </c>
      <c r="AY77" s="1">
        <v>0.22</v>
      </c>
      <c r="AZ77" s="1">
        <v>22231.8</v>
      </c>
      <c r="BA77" s="1">
        <v>683.09999999999991</v>
      </c>
      <c r="BB77" s="1">
        <v>14605.92</v>
      </c>
      <c r="BC77" s="1">
        <v>304.28999999999996</v>
      </c>
      <c r="BD77" s="1">
        <v>186610.5</v>
      </c>
      <c r="BE77" s="1">
        <v>4284.8999999999996</v>
      </c>
      <c r="BF77" s="1">
        <v>2.7944999999999998</v>
      </c>
      <c r="BG77" s="1">
        <v>4.5332999999999997</v>
      </c>
      <c r="BH77" s="1">
        <f t="shared" si="14"/>
        <v>66777.777777777781</v>
      </c>
      <c r="BI77" s="1">
        <f t="shared" si="15"/>
        <v>108339.24629496467</v>
      </c>
      <c r="BJ77" s="27">
        <v>1164.2</v>
      </c>
      <c r="BK77" s="27">
        <v>28.8</v>
      </c>
      <c r="BL77" s="27">
        <v>1160.5</v>
      </c>
      <c r="BM77" s="27">
        <v>50.3</v>
      </c>
      <c r="BN77" s="27">
        <v>1171.2</v>
      </c>
      <c r="BO77" s="27">
        <v>50.1</v>
      </c>
      <c r="BP77" s="27">
        <v>1165.9000000000001</v>
      </c>
      <c r="BQ77" s="27">
        <v>25.7</v>
      </c>
      <c r="BR77" s="27">
        <v>0.36</v>
      </c>
    </row>
    <row r="78" spans="1:70" x14ac:dyDescent="0.2">
      <c r="A78" t="s">
        <v>647</v>
      </c>
      <c r="B78" t="s">
        <v>38</v>
      </c>
      <c r="C78" t="s">
        <v>648</v>
      </c>
      <c r="D78" t="s">
        <v>649</v>
      </c>
      <c r="E78">
        <v>83504</v>
      </c>
      <c r="F78">
        <v>54131</v>
      </c>
      <c r="G78" t="s">
        <v>649</v>
      </c>
      <c r="H78" s="1">
        <v>35.950000000000003</v>
      </c>
      <c r="I78" s="1">
        <v>8.92</v>
      </c>
      <c r="J78" s="10">
        <v>1.9410000000000001</v>
      </c>
      <c r="K78" s="10">
        <f t="shared" ca="1" si="8"/>
        <v>7.3999948648630826E-2</v>
      </c>
      <c r="L78" s="7">
        <v>0.18779999999999999</v>
      </c>
      <c r="M78" s="7">
        <f t="shared" ca="1" si="9"/>
        <v>7.0786676712500073E-3</v>
      </c>
      <c r="N78" s="7">
        <v>0.99077000000000004</v>
      </c>
      <c r="O78" s="8">
        <v>5.3248139999999999</v>
      </c>
      <c r="P78" s="8">
        <f t="shared" ca="1" si="10"/>
        <v>0.2007059652553416</v>
      </c>
      <c r="Q78" s="9">
        <v>7.5109999999999996E-2</v>
      </c>
      <c r="R78" s="9">
        <f t="shared" ca="1" si="11"/>
        <v>1.5710521442651099E-3</v>
      </c>
      <c r="S78" s="8">
        <f t="shared" si="12"/>
        <v>0.48137047412209683</v>
      </c>
      <c r="T78" s="11">
        <v>7.5899999999999995E-2</v>
      </c>
      <c r="U78" s="11">
        <f t="shared" ca="1" si="13"/>
        <v>3.5417967191808176E-3</v>
      </c>
      <c r="V78" s="6" t="e">
        <f ca="1">IF(agePb6U8(1/O78)&lt;1400,age7corr(1/O78,Q78,$W$2),agePb76(Q78))</f>
        <v>#NAME?</v>
      </c>
      <c r="W78" s="6" t="e">
        <f ca="1">IF(agePb6U8(1/O78)&lt;1400,ageer7corr(V78,1/O78,P78/O78*(1/O78),Q78,R78,$W$2,0.05),ageerPb76(Q78,R78))</f>
        <v>#NAME?</v>
      </c>
      <c r="X78" s="4" t="e">
        <f ca="1">agePb6U8(L78)/agePb7u5(J78)</f>
        <v>#NAME?</v>
      </c>
      <c r="Y78" s="3"/>
      <c r="Z78" s="1">
        <v>1.9410000000000001</v>
      </c>
      <c r="AA78" s="1">
        <v>6.3E-2</v>
      </c>
      <c r="AB78" s="1">
        <v>0.18779999999999999</v>
      </c>
      <c r="AC78" s="1">
        <v>6.0000000000000001E-3</v>
      </c>
      <c r="AD78" s="1">
        <v>0.99077000000000004</v>
      </c>
      <c r="AE78" s="1">
        <v>5.3248139999999999</v>
      </c>
      <c r="AF78" s="1">
        <v>0.17012179999999999</v>
      </c>
      <c r="AG78" s="1">
        <v>7.5109999999999996E-2</v>
      </c>
      <c r="AH78" s="1">
        <v>4.6000000000000001E-4</v>
      </c>
      <c r="AI78" s="1">
        <v>-0.27378000000000002</v>
      </c>
      <c r="AJ78" s="1">
        <v>7.5899999999999995E-2</v>
      </c>
      <c r="AK78" s="1">
        <v>3.2000000000000002E-3</v>
      </c>
      <c r="AL78" s="1">
        <v>10.81</v>
      </c>
      <c r="AM78" s="1">
        <v>0.17</v>
      </c>
      <c r="AN78" s="1">
        <v>1094</v>
      </c>
      <c r="AO78" s="1">
        <v>22</v>
      </c>
      <c r="AP78" s="1">
        <v>1109</v>
      </c>
      <c r="AQ78" s="1">
        <v>32</v>
      </c>
      <c r="AR78" s="1">
        <v>1477</v>
      </c>
      <c r="AS78" s="1">
        <v>60</v>
      </c>
      <c r="AT78" s="1">
        <v>1071</v>
      </c>
      <c r="AU78" s="1">
        <v>12</v>
      </c>
      <c r="AV78" s="1">
        <v>7.79</v>
      </c>
      <c r="AW78" s="1">
        <v>0.17</v>
      </c>
      <c r="AX78" s="1">
        <v>0.70299999999999996</v>
      </c>
      <c r="AY78" s="1">
        <v>2.5000000000000001E-2</v>
      </c>
      <c r="AZ78" s="1">
        <v>4241.4300000000012</v>
      </c>
      <c r="BA78" s="1">
        <v>124.2</v>
      </c>
      <c r="BB78" s="1">
        <v>4272.4799999999996</v>
      </c>
      <c r="BC78" s="1">
        <v>117.99</v>
      </c>
      <c r="BD78" s="1">
        <v>57380.4</v>
      </c>
      <c r="BE78" s="1">
        <v>1366.1999999999998</v>
      </c>
      <c r="BF78" s="1">
        <v>3.3533999999999997</v>
      </c>
      <c r="BG78" s="1">
        <v>5.5889999999999995</v>
      </c>
      <c r="BH78" s="1">
        <f t="shared" si="14"/>
        <v>17111.111111111113</v>
      </c>
      <c r="BI78" s="1">
        <f t="shared" si="15"/>
        <v>28521.428422971636</v>
      </c>
      <c r="BJ78" s="27">
        <v>1096</v>
      </c>
      <c r="BK78" s="27">
        <v>22.9</v>
      </c>
      <c r="BL78" s="27">
        <v>1110.4000000000001</v>
      </c>
      <c r="BM78" s="27">
        <v>38.299999999999997</v>
      </c>
      <c r="BN78" s="27">
        <v>1067.5999999999999</v>
      </c>
      <c r="BO78" s="27">
        <v>53.6</v>
      </c>
      <c r="BP78" s="27">
        <v>1093.7</v>
      </c>
      <c r="BQ78" s="27">
        <v>22.4</v>
      </c>
      <c r="BR78" s="27">
        <v>-1.2</v>
      </c>
    </row>
    <row r="79" spans="1:70" x14ac:dyDescent="0.2">
      <c r="A79" t="s">
        <v>650</v>
      </c>
      <c r="B79" t="s">
        <v>38</v>
      </c>
      <c r="C79" t="s">
        <v>651</v>
      </c>
      <c r="D79" t="s">
        <v>652</v>
      </c>
      <c r="E79">
        <v>83388</v>
      </c>
      <c r="F79">
        <v>54406</v>
      </c>
      <c r="G79" t="s">
        <v>652</v>
      </c>
      <c r="H79" s="1">
        <v>38.049999999999997</v>
      </c>
      <c r="I79" s="1">
        <v>20.69</v>
      </c>
      <c r="J79" s="10">
        <v>2.72</v>
      </c>
      <c r="K79" s="10">
        <f t="shared" ca="1" si="8"/>
        <v>0.12271658404633011</v>
      </c>
      <c r="L79" s="7">
        <v>0.23300000000000001</v>
      </c>
      <c r="M79" s="7">
        <f t="shared" ca="1" si="9"/>
        <v>1.040219207667307E-2</v>
      </c>
      <c r="N79" s="7">
        <v>0.98806000000000005</v>
      </c>
      <c r="O79" s="8">
        <v>4.2918450000000004</v>
      </c>
      <c r="P79" s="8">
        <f t="shared" ca="1" si="10"/>
        <v>0.19160770723217266</v>
      </c>
      <c r="Q79" s="9">
        <v>8.5580000000000003E-2</v>
      </c>
      <c r="R79" s="9">
        <f t="shared" ca="1" si="11"/>
        <v>1.8104349090757171E-3</v>
      </c>
      <c r="S79" s="8">
        <f t="shared" si="12"/>
        <v>0.48540455136641258</v>
      </c>
      <c r="T79" s="11">
        <v>9.4100000000000003E-2</v>
      </c>
      <c r="U79" s="11">
        <f t="shared" ca="1" si="13"/>
        <v>3.1292050108613851E-3</v>
      </c>
      <c r="V79" s="6" t="e">
        <f ca="1">IF(agePb6U8(1/O79)&lt;1400,age7corr(1/O79,Q79,$W$2),agePb76(Q79))</f>
        <v>#NAME?</v>
      </c>
      <c r="W79" s="6" t="e">
        <f ca="1">IF(agePb6U8(1/O79)&lt;1400,ageer7corr(V79,1/O79,P79/O79*(1/O79),Q79,R79,$W$2,0.05),ageerPb76(Q79,R79))</f>
        <v>#NAME?</v>
      </c>
      <c r="X79" s="4" t="e">
        <f ca="1">agePb6U8(L79)/agePb7u5(J79)</f>
        <v>#NAME?</v>
      </c>
      <c r="Y79" s="3"/>
      <c r="Z79" s="1">
        <v>2.72</v>
      </c>
      <c r="AA79" s="1">
        <v>0.11</v>
      </c>
      <c r="AB79" s="1">
        <v>0.23300000000000001</v>
      </c>
      <c r="AC79" s="1">
        <v>9.2999999999999992E-3</v>
      </c>
      <c r="AD79" s="1">
        <v>0.98806000000000005</v>
      </c>
      <c r="AE79" s="1">
        <v>4.2918450000000004</v>
      </c>
      <c r="AF79" s="1">
        <v>0.1713054</v>
      </c>
      <c r="AG79" s="1">
        <v>8.5580000000000003E-2</v>
      </c>
      <c r="AH79" s="1">
        <v>5.9000000000000003E-4</v>
      </c>
      <c r="AI79" s="1">
        <v>-0.56247000000000003</v>
      </c>
      <c r="AJ79" s="1">
        <v>9.4100000000000003E-2</v>
      </c>
      <c r="AK79" s="1">
        <v>2.5000000000000001E-3</v>
      </c>
      <c r="AL79" s="1">
        <v>4.8810000000000002</v>
      </c>
      <c r="AM79" s="1">
        <v>2.9000000000000001E-2</v>
      </c>
      <c r="AN79" s="1">
        <v>1347</v>
      </c>
      <c r="AO79" s="1">
        <v>31</v>
      </c>
      <c r="AP79" s="1">
        <v>1349</v>
      </c>
      <c r="AQ79" s="1">
        <v>49</v>
      </c>
      <c r="AR79" s="1">
        <v>1817</v>
      </c>
      <c r="AS79" s="1">
        <v>46</v>
      </c>
      <c r="AT79" s="1">
        <v>1328</v>
      </c>
      <c r="AU79" s="1">
        <v>13</v>
      </c>
      <c r="AV79" s="1">
        <v>8.24</v>
      </c>
      <c r="AW79" s="1">
        <v>0.18000000000000002</v>
      </c>
      <c r="AX79" s="1">
        <v>1.63</v>
      </c>
      <c r="AY79" s="1">
        <v>0.04</v>
      </c>
      <c r="AZ79" s="1">
        <v>12357.900000000001</v>
      </c>
      <c r="BA79" s="1">
        <v>310.5</v>
      </c>
      <c r="BB79" s="1">
        <v>6421.14</v>
      </c>
      <c r="BC79" s="1">
        <v>186.3</v>
      </c>
      <c r="BD79" s="1">
        <v>75451.499999999985</v>
      </c>
      <c r="BE79" s="1">
        <v>1863.0000000000002</v>
      </c>
      <c r="BF79" s="1">
        <v>49.679999999999993</v>
      </c>
      <c r="BG79" s="1">
        <v>8.0729999999999986</v>
      </c>
      <c r="BH79" s="1">
        <f t="shared" si="14"/>
        <v>1518.75</v>
      </c>
      <c r="BI79" s="1">
        <f t="shared" si="15"/>
        <v>249.62962065781704</v>
      </c>
      <c r="BJ79" s="27">
        <v>1345.5</v>
      </c>
      <c r="BK79" s="27">
        <v>28.8</v>
      </c>
      <c r="BL79" s="27">
        <v>1350.7</v>
      </c>
      <c r="BM79" s="27">
        <v>54</v>
      </c>
      <c r="BN79" s="27">
        <v>1337.3</v>
      </c>
      <c r="BO79" s="27">
        <v>45</v>
      </c>
      <c r="BP79" s="27">
        <v>1343.2</v>
      </c>
      <c r="BQ79" s="27">
        <v>24.7</v>
      </c>
      <c r="BR79" s="27">
        <v>-0.44</v>
      </c>
    </row>
    <row r="80" spans="1:70" x14ac:dyDescent="0.2">
      <c r="A80" t="s">
        <v>653</v>
      </c>
      <c r="B80" t="s">
        <v>38</v>
      </c>
      <c r="C80" t="s">
        <v>654</v>
      </c>
      <c r="D80" t="s">
        <v>655</v>
      </c>
      <c r="E80">
        <v>83438</v>
      </c>
      <c r="F80">
        <v>54725</v>
      </c>
      <c r="G80" t="s">
        <v>655</v>
      </c>
      <c r="H80" s="1">
        <v>113.3</v>
      </c>
      <c r="I80" s="1">
        <v>34.5</v>
      </c>
      <c r="J80" s="10">
        <v>1.911</v>
      </c>
      <c r="K80" s="10">
        <f t="shared" ca="1" si="8"/>
        <v>7.8878187098842478E-2</v>
      </c>
      <c r="L80" s="7">
        <v>0.18390000000000001</v>
      </c>
      <c r="M80" s="7">
        <f t="shared" ca="1" si="9"/>
        <v>7.5556392184910467E-3</v>
      </c>
      <c r="N80" s="7">
        <v>0.98238000000000003</v>
      </c>
      <c r="O80" s="8">
        <v>5.4377380000000004</v>
      </c>
      <c r="P80" s="8">
        <f t="shared" ca="1" si="10"/>
        <v>0.22341268534221062</v>
      </c>
      <c r="Q80" s="9">
        <v>7.5740000000000002E-2</v>
      </c>
      <c r="R80" s="9">
        <f t="shared" ca="1" si="11"/>
        <v>1.6048423723219675E-3</v>
      </c>
      <c r="S80" s="8">
        <f t="shared" si="12"/>
        <v>0.52311966705291468</v>
      </c>
      <c r="T80" s="11">
        <v>7.5800000000000006E-2</v>
      </c>
      <c r="U80" s="11">
        <f t="shared" ca="1" si="13"/>
        <v>3.0096936721201377E-3</v>
      </c>
      <c r="V80" s="6" t="e">
        <f ca="1">IF(agePb6U8(1/O80)&lt;1400,age7corr(1/O80,Q80,$W$2),agePb76(Q80))</f>
        <v>#NAME?</v>
      </c>
      <c r="W80" s="6" t="e">
        <f ca="1">IF(agePb6U8(1/O80)&lt;1400,ageer7corr(V80,1/O80,P80/O80*(1/O80),Q80,R80,$W$2,0.05),ageerPb76(Q80,R80))</f>
        <v>#NAME?</v>
      </c>
      <c r="X80" s="4" t="e">
        <f ca="1">agePb6U8(L80)/agePb7u5(J80)</f>
        <v>#NAME?</v>
      </c>
      <c r="Y80" s="3"/>
      <c r="Z80" s="1">
        <v>1.911</v>
      </c>
      <c r="AA80" s="1">
        <v>6.9000000000000006E-2</v>
      </c>
      <c r="AB80" s="1">
        <v>0.18390000000000001</v>
      </c>
      <c r="AC80" s="1">
        <v>6.6E-3</v>
      </c>
      <c r="AD80" s="1">
        <v>0.98238000000000003</v>
      </c>
      <c r="AE80" s="1">
        <v>5.4377380000000004</v>
      </c>
      <c r="AF80" s="1">
        <v>0.19515540000000001</v>
      </c>
      <c r="AG80" s="1">
        <v>7.5740000000000002E-2</v>
      </c>
      <c r="AH80" s="1">
        <v>5.2999999999999998E-4</v>
      </c>
      <c r="AI80" s="1">
        <v>0.11811000000000001</v>
      </c>
      <c r="AJ80" s="1">
        <v>7.5800000000000006E-2</v>
      </c>
      <c r="AK80" s="1">
        <v>2.5999999999999999E-3</v>
      </c>
      <c r="AL80" s="1">
        <v>8.234</v>
      </c>
      <c r="AM80" s="1">
        <v>4.5999999999999999E-2</v>
      </c>
      <c r="AN80" s="1">
        <v>1084</v>
      </c>
      <c r="AO80" s="1">
        <v>24</v>
      </c>
      <c r="AP80" s="1">
        <v>1088</v>
      </c>
      <c r="AQ80" s="1">
        <v>36</v>
      </c>
      <c r="AR80" s="1">
        <v>1477</v>
      </c>
      <c r="AS80" s="1">
        <v>48</v>
      </c>
      <c r="AT80" s="1">
        <v>1088</v>
      </c>
      <c r="AU80" s="1">
        <v>14</v>
      </c>
      <c r="AV80" s="1">
        <v>24.54</v>
      </c>
      <c r="AW80" s="1">
        <v>0.43</v>
      </c>
      <c r="AX80" s="1">
        <v>2.7210000000000001</v>
      </c>
      <c r="AY80" s="1">
        <v>8.3999999999999991E-2</v>
      </c>
      <c r="AZ80" s="1">
        <v>16686.270000000004</v>
      </c>
      <c r="BA80" s="1">
        <v>428.49</v>
      </c>
      <c r="BB80" s="1">
        <v>12773.970000000001</v>
      </c>
      <c r="BC80" s="1">
        <v>366.39</v>
      </c>
      <c r="BD80" s="1">
        <v>171644.4</v>
      </c>
      <c r="BE80" s="1">
        <v>4160.7</v>
      </c>
      <c r="BF80" s="1">
        <v>-4.968</v>
      </c>
      <c r="BG80" s="1">
        <v>3.9123000000000001</v>
      </c>
      <c r="BH80" s="1">
        <f t="shared" si="14"/>
        <v>-34550</v>
      </c>
      <c r="BI80" s="1">
        <f t="shared" si="15"/>
        <v>-27221.011595192875</v>
      </c>
      <c r="BJ80" s="27">
        <v>1089.9000000000001</v>
      </c>
      <c r="BK80" s="27">
        <v>23.4</v>
      </c>
      <c r="BL80" s="27">
        <v>1087.8</v>
      </c>
      <c r="BM80" s="27">
        <v>40.5</v>
      </c>
      <c r="BN80" s="27">
        <v>1094.2</v>
      </c>
      <c r="BO80" s="27">
        <v>52.7</v>
      </c>
      <c r="BP80" s="27">
        <v>1090.5</v>
      </c>
      <c r="BQ80" s="27">
        <v>22.4</v>
      </c>
      <c r="BR80" s="27">
        <v>0.19</v>
      </c>
    </row>
    <row r="81" spans="1:70" x14ac:dyDescent="0.2">
      <c r="A81" t="s">
        <v>656</v>
      </c>
      <c r="B81" t="s">
        <v>38</v>
      </c>
      <c r="C81" t="s">
        <v>657</v>
      </c>
      <c r="D81" t="s">
        <v>658</v>
      </c>
      <c r="E81">
        <v>83435</v>
      </c>
      <c r="F81">
        <v>54851</v>
      </c>
      <c r="G81" t="s">
        <v>658</v>
      </c>
      <c r="H81" s="1">
        <v>122.1</v>
      </c>
      <c r="I81" s="1">
        <v>56.45</v>
      </c>
      <c r="J81" s="10">
        <v>3.25</v>
      </c>
      <c r="K81" s="10">
        <f t="shared" ca="1" si="8"/>
        <v>0.17269916039170544</v>
      </c>
      <c r="L81" s="7">
        <v>0.252</v>
      </c>
      <c r="M81" s="7">
        <f t="shared" ca="1" si="9"/>
        <v>1.3015436988437998E-2</v>
      </c>
      <c r="N81" s="7">
        <v>0.98965999999999998</v>
      </c>
      <c r="O81" s="8">
        <v>3.9682539999999999</v>
      </c>
      <c r="P81" s="8">
        <f t="shared" ca="1" si="10"/>
        <v>0.20495462469448303</v>
      </c>
      <c r="Q81" s="9">
        <v>9.3560000000000004E-2</v>
      </c>
      <c r="R81" s="9">
        <f t="shared" ca="1" si="11"/>
        <v>1.9943644200596843E-3</v>
      </c>
      <c r="S81" s="8">
        <f t="shared" si="12"/>
        <v>0.52645088455513356</v>
      </c>
      <c r="T81" s="11">
        <v>0.1</v>
      </c>
      <c r="U81" s="11">
        <f t="shared" ca="1" si="13"/>
        <v>4.5617978911828179E-3</v>
      </c>
      <c r="V81" s="6" t="e">
        <f ca="1">IF(agePb6U8(1/O81)&lt;1400,age7corr(1/O81,Q81,$W$2),agePb76(Q81))</f>
        <v>#NAME?</v>
      </c>
      <c r="W81" s="6" t="e">
        <f ca="1">IF(agePb6U8(1/O81)&lt;1400,ageer7corr(V81,1/O81,P81/O81*(1/O81),Q81,R81,$W$2,0.05),ageerPb76(Q81,R81))</f>
        <v>#NAME?</v>
      </c>
      <c r="X81" s="4" t="e">
        <f ca="1">agePb6U8(L81)/agePb7u5(J81)</f>
        <v>#NAME?</v>
      </c>
      <c r="Y81" s="3"/>
      <c r="Z81" s="1">
        <v>3.25</v>
      </c>
      <c r="AA81" s="1">
        <v>0.16</v>
      </c>
      <c r="AB81" s="1">
        <v>0.252</v>
      </c>
      <c r="AC81" s="1">
        <v>1.2E-2</v>
      </c>
      <c r="AD81" s="1">
        <v>0.98965999999999998</v>
      </c>
      <c r="AE81" s="1">
        <v>3.9682539999999999</v>
      </c>
      <c r="AF81" s="1">
        <v>0.18896450000000001</v>
      </c>
      <c r="AG81" s="1">
        <v>9.3560000000000004E-2</v>
      </c>
      <c r="AH81" s="1">
        <v>6.8999999999999997E-4</v>
      </c>
      <c r="AI81" s="1">
        <v>-0.33600999999999998</v>
      </c>
      <c r="AJ81" s="1">
        <v>0.1</v>
      </c>
      <c r="AK81" s="1">
        <v>4.1000000000000003E-3</v>
      </c>
      <c r="AL81" s="1">
        <v>5.8179999999999996</v>
      </c>
      <c r="AM81" s="1">
        <v>4.1000000000000002E-2</v>
      </c>
      <c r="AN81" s="1">
        <v>1465</v>
      </c>
      <c r="AO81" s="1">
        <v>37</v>
      </c>
      <c r="AP81" s="1">
        <v>1446</v>
      </c>
      <c r="AQ81" s="1">
        <v>60</v>
      </c>
      <c r="AR81" s="1">
        <v>1926</v>
      </c>
      <c r="AS81" s="1">
        <v>75</v>
      </c>
      <c r="AT81" s="1">
        <v>1499</v>
      </c>
      <c r="AU81" s="1">
        <v>14</v>
      </c>
      <c r="AV81" s="1">
        <v>26.44</v>
      </c>
      <c r="AW81" s="1">
        <v>0.76999999999999991</v>
      </c>
      <c r="AX81" s="1">
        <v>4.4470000000000001</v>
      </c>
      <c r="AY81" s="1">
        <v>7.2999999999999995E-2</v>
      </c>
      <c r="AZ81" s="1">
        <v>36080.100000000006</v>
      </c>
      <c r="BA81" s="1">
        <v>1428.3</v>
      </c>
      <c r="BB81" s="1">
        <v>24343.200000000001</v>
      </c>
      <c r="BC81" s="1">
        <v>931.50000000000011</v>
      </c>
      <c r="BD81" s="1">
        <v>262061.99999999997</v>
      </c>
      <c r="BE81" s="1">
        <v>9315</v>
      </c>
      <c r="BF81" s="1">
        <v>18.63</v>
      </c>
      <c r="BG81" s="1">
        <v>8.0729999999999986</v>
      </c>
      <c r="BH81" s="1">
        <f t="shared" si="14"/>
        <v>14066.666666666666</v>
      </c>
      <c r="BI81" s="1">
        <f t="shared" si="15"/>
        <v>6116.0279210337312</v>
      </c>
      <c r="BJ81" s="27">
        <v>1472.3</v>
      </c>
      <c r="BK81" s="27">
        <v>33.5</v>
      </c>
      <c r="BL81" s="27">
        <v>1448.2</v>
      </c>
      <c r="BM81" s="27">
        <v>65.3</v>
      </c>
      <c r="BN81" s="27">
        <v>1507.3</v>
      </c>
      <c r="BO81" s="27">
        <v>40.200000000000003</v>
      </c>
      <c r="BP81" s="27">
        <v>1487</v>
      </c>
      <c r="BQ81" s="27">
        <v>24</v>
      </c>
      <c r="BR81" s="27">
        <v>2.1</v>
      </c>
    </row>
    <row r="82" spans="1:70" x14ac:dyDescent="0.2">
      <c r="A82" t="s">
        <v>665</v>
      </c>
      <c r="B82" t="s">
        <v>38</v>
      </c>
      <c r="C82" t="s">
        <v>666</v>
      </c>
      <c r="D82" t="s">
        <v>667</v>
      </c>
      <c r="E82">
        <v>83397</v>
      </c>
      <c r="F82">
        <v>55258</v>
      </c>
      <c r="G82" t="s">
        <v>667</v>
      </c>
      <c r="H82" s="1">
        <v>212</v>
      </c>
      <c r="I82" s="1">
        <v>77.2</v>
      </c>
      <c r="J82" s="10">
        <v>1.968</v>
      </c>
      <c r="K82" s="10">
        <f t="shared" ca="1" si="8"/>
        <v>7.4284652519884614E-2</v>
      </c>
      <c r="L82" s="7">
        <v>0.18</v>
      </c>
      <c r="M82" s="7">
        <f t="shared" ca="1" si="9"/>
        <v>6.9115844782509893E-3</v>
      </c>
      <c r="N82" s="7">
        <v>0.97265999999999997</v>
      </c>
      <c r="O82" s="8">
        <v>5.5555560000000002</v>
      </c>
      <c r="P82" s="8">
        <f t="shared" ca="1" si="10"/>
        <v>0.21332054272642004</v>
      </c>
      <c r="Q82" s="9">
        <v>7.9479999999999995E-2</v>
      </c>
      <c r="R82" s="9">
        <f t="shared" ca="1" si="11"/>
        <v>1.757648474524983E-3</v>
      </c>
      <c r="S82" s="8">
        <f t="shared" si="12"/>
        <v>0.40110070658455832</v>
      </c>
      <c r="T82" s="11">
        <v>8.4099999999999994E-2</v>
      </c>
      <c r="U82" s="11">
        <f t="shared" ca="1" si="13"/>
        <v>2.8494076577422192E-3</v>
      </c>
      <c r="V82" s="6" t="e">
        <f ca="1">IF(agePb6U8(1/O82)&lt;1400,age7corr(1/O82,Q82,$W$2),agePb76(Q82))</f>
        <v>#NAME?</v>
      </c>
      <c r="W82" s="6" t="e">
        <f ca="1">IF(agePb6U8(1/O82)&lt;1400,ageer7corr(V82,1/O82,P82/O82*(1/O82),Q82,R82,$W$2,0.05),ageerPb76(Q82,R82))</f>
        <v>#NAME?</v>
      </c>
      <c r="X82" s="4" t="e">
        <f ca="1">agePb6U8(L82)/agePb7u5(J82)</f>
        <v>#NAME?</v>
      </c>
      <c r="Y82" s="3"/>
      <c r="Z82" s="1">
        <v>1.968</v>
      </c>
      <c r="AA82" s="1">
        <v>6.3E-2</v>
      </c>
      <c r="AB82" s="1">
        <v>0.18</v>
      </c>
      <c r="AC82" s="1">
        <v>5.8999999999999999E-3</v>
      </c>
      <c r="AD82" s="1">
        <v>0.97265999999999997</v>
      </c>
      <c r="AE82" s="1">
        <v>5.5555560000000002</v>
      </c>
      <c r="AF82" s="1">
        <v>0.18209880000000001</v>
      </c>
      <c r="AG82" s="1">
        <v>7.9479999999999995E-2</v>
      </c>
      <c r="AH82" s="1">
        <v>7.5000000000000002E-4</v>
      </c>
      <c r="AI82" s="1">
        <v>0.1789</v>
      </c>
      <c r="AJ82" s="1">
        <v>8.4099999999999994E-2</v>
      </c>
      <c r="AK82" s="1">
        <v>2.3E-3</v>
      </c>
      <c r="AL82" s="1">
        <v>6.21</v>
      </c>
      <c r="AM82" s="1">
        <v>0.62</v>
      </c>
      <c r="AN82" s="1">
        <v>1103</v>
      </c>
      <c r="AO82" s="1">
        <v>22</v>
      </c>
      <c r="AP82" s="1">
        <v>1067</v>
      </c>
      <c r="AQ82" s="1">
        <v>32</v>
      </c>
      <c r="AR82" s="1">
        <v>1631</v>
      </c>
      <c r="AS82" s="1">
        <v>43</v>
      </c>
      <c r="AT82" s="1">
        <v>1184</v>
      </c>
      <c r="AU82" s="1">
        <v>19</v>
      </c>
      <c r="AV82" s="1">
        <v>45.900000000000006</v>
      </c>
      <c r="AW82" s="1">
        <v>4</v>
      </c>
      <c r="AX82" s="1">
        <v>6.08</v>
      </c>
      <c r="AY82" s="1">
        <v>0.32</v>
      </c>
      <c r="AZ82" s="1">
        <v>41544.9</v>
      </c>
      <c r="BA82" s="1">
        <v>1552.5</v>
      </c>
      <c r="BB82" s="1">
        <v>24777.9</v>
      </c>
      <c r="BC82" s="1">
        <v>1800.9</v>
      </c>
      <c r="BD82" s="1">
        <v>313605</v>
      </c>
      <c r="BE82" s="1">
        <v>20493</v>
      </c>
      <c r="BF82" s="1">
        <v>-12.419999999999998</v>
      </c>
      <c r="BG82" s="1">
        <v>6.2099999999999991</v>
      </c>
      <c r="BH82" s="1">
        <f t="shared" si="14"/>
        <v>-25250.000000000004</v>
      </c>
      <c r="BI82" s="1">
        <f t="shared" si="15"/>
        <v>-12732.365255521067</v>
      </c>
      <c r="BJ82" s="27">
        <v>1101.3</v>
      </c>
      <c r="BK82" s="27">
        <v>24.3</v>
      </c>
      <c r="BL82" s="27">
        <v>1066.2</v>
      </c>
      <c r="BM82" s="27">
        <v>37.1</v>
      </c>
      <c r="BN82" s="27">
        <v>1171.2</v>
      </c>
      <c r="BO82" s="27">
        <v>50.1</v>
      </c>
      <c r="BP82" s="27">
        <v>1107.3</v>
      </c>
      <c r="BQ82" s="27">
        <v>24.1</v>
      </c>
      <c r="BR82" s="27">
        <v>3.1</v>
      </c>
    </row>
    <row r="83" spans="1:70" x14ac:dyDescent="0.2">
      <c r="A83" t="s">
        <v>668</v>
      </c>
      <c r="B83" t="s">
        <v>38</v>
      </c>
      <c r="C83" t="s">
        <v>669</v>
      </c>
      <c r="D83" t="s">
        <v>670</v>
      </c>
      <c r="E83">
        <v>83430</v>
      </c>
      <c r="F83">
        <v>55469</v>
      </c>
      <c r="G83" t="s">
        <v>670</v>
      </c>
      <c r="H83" s="1">
        <v>127.4</v>
      </c>
      <c r="I83" s="1">
        <v>65.099999999999994</v>
      </c>
      <c r="J83" s="10">
        <v>2.84</v>
      </c>
      <c r="K83" s="10">
        <f t="shared" ca="1" si="8"/>
        <v>0.12379919224292217</v>
      </c>
      <c r="L83" s="7">
        <v>0.23300000000000001</v>
      </c>
      <c r="M83" s="7">
        <f t="shared" ca="1" si="9"/>
        <v>1.049169195125362E-2</v>
      </c>
      <c r="N83" s="7">
        <v>0.98926000000000003</v>
      </c>
      <c r="O83" s="8">
        <v>4.2918450000000004</v>
      </c>
      <c r="P83" s="8">
        <f t="shared" ca="1" si="10"/>
        <v>0.19325629492559876</v>
      </c>
      <c r="Q83" s="9">
        <v>8.9260000000000006E-2</v>
      </c>
      <c r="R83" s="9">
        <f t="shared" ca="1" si="11"/>
        <v>1.8486046197064424E-3</v>
      </c>
      <c r="S83" s="8">
        <f t="shared" si="12"/>
        <v>0.4801090575116348</v>
      </c>
      <c r="T83" s="11">
        <v>9.9500000000000005E-2</v>
      </c>
      <c r="U83" s="11">
        <f t="shared" ca="1" si="13"/>
        <v>4.3783672755948648E-3</v>
      </c>
      <c r="V83" s="6" t="e">
        <f ca="1">IF(agePb6U8(1/O83)&lt;1400,age7corr(1/O83,Q83,$W$2),agePb76(Q83))</f>
        <v>#NAME?</v>
      </c>
      <c r="W83" s="6" t="e">
        <f ca="1">IF(agePb6U8(1/O83)&lt;1400,ageer7corr(V83,1/O83,P83/O83*(1/O83),Q83,R83,$W$2,0.05),ageerPb76(Q83,R83))</f>
        <v>#NAME?</v>
      </c>
      <c r="X83" s="4" t="e">
        <f ca="1">agePb6U8(L83)/agePb7u5(J83)</f>
        <v>#NAME?</v>
      </c>
      <c r="Y83" s="3"/>
      <c r="Z83" s="1">
        <v>2.84</v>
      </c>
      <c r="AA83" s="1">
        <v>0.11</v>
      </c>
      <c r="AB83" s="1">
        <v>0.23300000000000001</v>
      </c>
      <c r="AC83" s="1">
        <v>9.4000000000000004E-3</v>
      </c>
      <c r="AD83" s="1">
        <v>0.98926000000000003</v>
      </c>
      <c r="AE83" s="1">
        <v>4.2918450000000004</v>
      </c>
      <c r="AF83" s="1">
        <v>0.17314740000000001</v>
      </c>
      <c r="AG83" s="1">
        <v>8.9260000000000006E-2</v>
      </c>
      <c r="AH83" s="1">
        <v>4.8000000000000001E-4</v>
      </c>
      <c r="AI83" s="1">
        <v>-0.313</v>
      </c>
      <c r="AJ83" s="1">
        <v>9.9500000000000005E-2</v>
      </c>
      <c r="AK83" s="1">
        <v>3.8999999999999998E-3</v>
      </c>
      <c r="AL83" s="1">
        <v>4.7460000000000004</v>
      </c>
      <c r="AM83" s="1">
        <v>2.3E-2</v>
      </c>
      <c r="AN83" s="1">
        <v>1363</v>
      </c>
      <c r="AO83" s="1">
        <v>29</v>
      </c>
      <c r="AP83" s="1">
        <v>1349</v>
      </c>
      <c r="AQ83" s="1">
        <v>49</v>
      </c>
      <c r="AR83" s="1">
        <v>1916</v>
      </c>
      <c r="AS83" s="1">
        <v>71</v>
      </c>
      <c r="AT83" s="1">
        <v>1410</v>
      </c>
      <c r="AU83" s="1">
        <v>10</v>
      </c>
      <c r="AV83" s="1">
        <v>27.59</v>
      </c>
      <c r="AW83" s="1">
        <v>0.62</v>
      </c>
      <c r="AX83" s="1">
        <v>5.13</v>
      </c>
      <c r="AY83" s="1">
        <v>0.12999999999999998</v>
      </c>
      <c r="AZ83" s="1">
        <v>42414.3</v>
      </c>
      <c r="BA83" s="1">
        <v>993.6</v>
      </c>
      <c r="BB83" s="1">
        <v>22182.120000000003</v>
      </c>
      <c r="BC83" s="1">
        <v>459.54</v>
      </c>
      <c r="BD83" s="1">
        <v>251380.8</v>
      </c>
      <c r="BE83" s="1">
        <v>5216.3999999999996</v>
      </c>
      <c r="BF83" s="1">
        <v>0.12420000000000002</v>
      </c>
      <c r="BG83" s="1">
        <v>7.4519999999999991</v>
      </c>
      <c r="BH83" s="1">
        <f t="shared" si="14"/>
        <v>2023999.9999999995</v>
      </c>
      <c r="BI83" s="1">
        <f t="shared" si="15"/>
        <v>121440007.26284558</v>
      </c>
      <c r="BJ83" s="27">
        <v>1371.2</v>
      </c>
      <c r="BK83" s="27">
        <v>29.2</v>
      </c>
      <c r="BL83" s="27">
        <v>1350.7</v>
      </c>
      <c r="BM83" s="27">
        <v>54</v>
      </c>
      <c r="BN83" s="27">
        <v>1403.3</v>
      </c>
      <c r="BO83" s="27">
        <v>43</v>
      </c>
      <c r="BP83" s="27">
        <v>1381.1</v>
      </c>
      <c r="BQ83" s="27">
        <v>24.6</v>
      </c>
      <c r="BR83" s="27">
        <v>1.7</v>
      </c>
    </row>
    <row r="84" spans="1:70" x14ac:dyDescent="0.2">
      <c r="A84" t="s">
        <v>416</v>
      </c>
      <c r="B84" t="s">
        <v>38</v>
      </c>
      <c r="C84" t="s">
        <v>417</v>
      </c>
      <c r="D84" t="s">
        <v>418</v>
      </c>
      <c r="E84">
        <v>83803</v>
      </c>
      <c r="F84">
        <v>49148</v>
      </c>
      <c r="G84" t="s">
        <v>418</v>
      </c>
      <c r="H84" s="1">
        <v>106.7</v>
      </c>
      <c r="I84" s="1">
        <v>57.9</v>
      </c>
      <c r="J84" s="10">
        <v>2.234</v>
      </c>
      <c r="K84" s="10">
        <f t="shared" ca="1" si="8"/>
        <v>7.4808438026735993E-2</v>
      </c>
      <c r="L84" s="7">
        <v>0.20069999999999999</v>
      </c>
      <c r="M84" s="7">
        <f t="shared" ca="1" si="9"/>
        <v>6.8900069666147645E-3</v>
      </c>
      <c r="N84" s="7">
        <v>0.98463999999999996</v>
      </c>
      <c r="O84" s="8">
        <v>4.9825609999999996</v>
      </c>
      <c r="P84" s="8">
        <f t="shared" ca="1" si="10"/>
        <v>0.17105070615901707</v>
      </c>
      <c r="Q84" s="9">
        <v>8.0729999999999996E-2</v>
      </c>
      <c r="R84" s="9">
        <f t="shared" ca="1" si="11"/>
        <v>1.6542470069490832E-3</v>
      </c>
      <c r="S84" s="8">
        <f t="shared" si="12"/>
        <v>0.49249269049002886</v>
      </c>
      <c r="T84" s="11">
        <v>6.93E-2</v>
      </c>
      <c r="U84" s="11">
        <f t="shared" ca="1" si="13"/>
        <v>2.0423016427550556E-3</v>
      </c>
      <c r="V84" s="6" t="e">
        <f ca="1">IF(agePb6U8(1/O84)&lt;1400,age7corr(1/O84,Q84,$W$2),agePb76(Q84))</f>
        <v>#NAME?</v>
      </c>
      <c r="W84" s="6" t="e">
        <f ca="1">IF(agePb6U8(1/O84)&lt;1400,ageer7corr(V84,1/O84,P84/O84*(1/O84),Q84,R84,$W$2,0.05),ageerPb76(Q84,R84))</f>
        <v>#NAME?</v>
      </c>
      <c r="X84" s="4" t="e">
        <f ca="1">agePb6U8(L84)/agePb7u5(J84)</f>
        <v>#NAME?</v>
      </c>
      <c r="Y84" s="3"/>
      <c r="Z84" s="1">
        <v>2.234</v>
      </c>
      <c r="AA84" s="1">
        <v>0.06</v>
      </c>
      <c r="AB84" s="1">
        <v>0.20069999999999999</v>
      </c>
      <c r="AC84" s="1">
        <v>5.5999999999999999E-3</v>
      </c>
      <c r="AD84" s="1">
        <v>0.98463999999999996</v>
      </c>
      <c r="AE84" s="1">
        <v>4.9825609999999996</v>
      </c>
      <c r="AF84" s="1">
        <v>0.13902510000000001</v>
      </c>
      <c r="AG84" s="1">
        <v>8.0729999999999996E-2</v>
      </c>
      <c r="AH84" s="1">
        <v>3.6000000000000002E-4</v>
      </c>
      <c r="AI84" s="1">
        <v>0.12705</v>
      </c>
      <c r="AJ84" s="1">
        <v>6.93E-2</v>
      </c>
      <c r="AK84" s="1">
        <v>1.5E-3</v>
      </c>
      <c r="AL84" s="1">
        <v>5.64</v>
      </c>
      <c r="AM84" s="1">
        <v>0.12</v>
      </c>
      <c r="AN84" s="1">
        <v>1191</v>
      </c>
      <c r="AO84" s="1">
        <v>19</v>
      </c>
      <c r="AP84" s="1">
        <v>1179</v>
      </c>
      <c r="AQ84" s="1">
        <v>30</v>
      </c>
      <c r="AR84" s="1">
        <v>1354</v>
      </c>
      <c r="AS84" s="1">
        <v>29</v>
      </c>
      <c r="AT84" s="1">
        <v>1214.7</v>
      </c>
      <c r="AU84" s="1">
        <v>8.6999999999999993</v>
      </c>
      <c r="AV84" s="1">
        <v>23.310000000000002</v>
      </c>
      <c r="AW84" s="1">
        <v>0.9</v>
      </c>
      <c r="AX84" s="1">
        <v>4.58</v>
      </c>
      <c r="AY84" s="1">
        <v>0.17</v>
      </c>
      <c r="AZ84" s="1">
        <v>25895.699999999997</v>
      </c>
      <c r="BA84" s="1">
        <v>1490.4</v>
      </c>
      <c r="BB84" s="1">
        <v>14593.5</v>
      </c>
      <c r="BC84" s="1">
        <v>552.68999999999994</v>
      </c>
      <c r="BD84" s="1">
        <v>181332</v>
      </c>
      <c r="BE84" s="1">
        <v>6831</v>
      </c>
      <c r="BF84" s="1">
        <v>-6.2099999999999991</v>
      </c>
      <c r="BG84" s="1">
        <v>8.6940000000000008</v>
      </c>
      <c r="BH84" s="1">
        <f t="shared" si="14"/>
        <v>-29200.000000000004</v>
      </c>
      <c r="BI84" s="1">
        <f t="shared" si="15"/>
        <v>-40894.796735037104</v>
      </c>
      <c r="BJ84" s="27">
        <v>1194.2</v>
      </c>
      <c r="BK84" s="27">
        <v>21.6</v>
      </c>
      <c r="BL84" s="27">
        <v>1179.5999999999999</v>
      </c>
      <c r="BM84" s="27">
        <v>36.799999999999997</v>
      </c>
      <c r="BN84" s="27">
        <v>1220.5999999999999</v>
      </c>
      <c r="BO84" s="27">
        <v>48.5</v>
      </c>
      <c r="BP84" s="27">
        <v>1196.3</v>
      </c>
      <c r="BQ84" s="27">
        <v>21.3</v>
      </c>
      <c r="BR84" s="27">
        <v>1.1000000000000001</v>
      </c>
    </row>
    <row r="85" spans="1:70" s="23" customFormat="1" x14ac:dyDescent="0.2">
      <c r="A85" s="23" t="s">
        <v>671</v>
      </c>
      <c r="B85" s="23" t="s">
        <v>38</v>
      </c>
      <c r="C85" s="23" t="s">
        <v>672</v>
      </c>
      <c r="D85" s="23" t="s">
        <v>673</v>
      </c>
      <c r="E85" s="23">
        <v>82683</v>
      </c>
      <c r="F85" s="23">
        <v>47641</v>
      </c>
      <c r="G85" s="23" t="s">
        <v>673</v>
      </c>
      <c r="H85" s="24">
        <v>308</v>
      </c>
      <c r="I85" s="24">
        <v>102.3</v>
      </c>
      <c r="J85" s="25">
        <v>2.6880000000000002</v>
      </c>
      <c r="K85" s="25">
        <f t="shared" ca="1" si="8"/>
        <v>9.888952219522551E-2</v>
      </c>
      <c r="L85" s="26">
        <v>0.19209999999999999</v>
      </c>
      <c r="M85" s="26">
        <f t="shared" ca="1" si="9"/>
        <v>6.7090210910385429E-3</v>
      </c>
      <c r="N85" s="26">
        <v>0.93852000000000002</v>
      </c>
      <c r="O85" s="26">
        <v>5.205622</v>
      </c>
      <c r="P85" s="26">
        <f t="shared" ca="1" si="10"/>
        <v>0.18180445074308166</v>
      </c>
      <c r="Q85" s="25">
        <v>0.1017</v>
      </c>
      <c r="R85" s="25">
        <f t="shared" ca="1" si="11"/>
        <v>2.4139502894633107E-3</v>
      </c>
      <c r="S85" s="26">
        <f t="shared" si="12"/>
        <v>0.51216145447250383</v>
      </c>
      <c r="T85" s="25">
        <v>9.6299999999999997E-2</v>
      </c>
      <c r="U85" s="25">
        <f t="shared" ca="1" si="13"/>
        <v>3.6495857299151087E-3</v>
      </c>
      <c r="V85" s="24" t="e">
        <f ca="1">IF(agePb6U8(1/O85)&lt;1400,age7corr(1/O85,Q85,$W$2),agePb76(Q85))</f>
        <v>#NAME?</v>
      </c>
      <c r="W85" s="24" t="e">
        <f ca="1">IF(agePb6U8(1/O85)&lt;1400,ageer7corr(V85,1/O85,P85/O85*(1/O85),Q85,R85,$W$2,0.05),ageerPb76(Q85,R85))</f>
        <v>#NAME?</v>
      </c>
      <c r="X85" s="26" t="e">
        <f ca="1">agePb6U8(L85)/agePb7u5(J85)</f>
        <v>#NAME?</v>
      </c>
      <c r="Y85" s="24"/>
      <c r="Z85" s="24">
        <v>2.6880000000000002</v>
      </c>
      <c r="AA85" s="24">
        <v>8.3000000000000004E-2</v>
      </c>
      <c r="AB85" s="24">
        <v>0.19209999999999999</v>
      </c>
      <c r="AC85" s="24">
        <v>5.4999999999999997E-3</v>
      </c>
      <c r="AD85" s="24">
        <v>0.93852000000000002</v>
      </c>
      <c r="AE85" s="24">
        <v>5.205622</v>
      </c>
      <c r="AF85" s="24">
        <v>0.1490418</v>
      </c>
      <c r="AG85" s="24">
        <v>0.1017</v>
      </c>
      <c r="AH85" s="24">
        <v>1.2999999999999999E-3</v>
      </c>
      <c r="AI85" s="24">
        <v>-5.6931000000000002E-2</v>
      </c>
      <c r="AJ85" s="24">
        <v>9.6299999999999997E-2</v>
      </c>
      <c r="AK85" s="24">
        <v>3.0999999999999999E-3</v>
      </c>
      <c r="AL85" s="24">
        <v>6.27</v>
      </c>
      <c r="AM85" s="24">
        <v>0.17</v>
      </c>
      <c r="AN85" s="24">
        <v>1324</v>
      </c>
      <c r="AO85" s="24">
        <v>23</v>
      </c>
      <c r="AP85" s="24">
        <v>1133</v>
      </c>
      <c r="AQ85" s="24">
        <v>30</v>
      </c>
      <c r="AR85" s="24">
        <v>1858</v>
      </c>
      <c r="AS85" s="24">
        <v>58</v>
      </c>
      <c r="AT85" s="24">
        <v>1654</v>
      </c>
      <c r="AU85" s="24">
        <v>24</v>
      </c>
      <c r="AV85" s="24">
        <v>66.699999999999989</v>
      </c>
      <c r="AW85" s="24">
        <v>3.1</v>
      </c>
      <c r="AX85" s="24">
        <v>8.0599999999999987</v>
      </c>
      <c r="AY85" s="24">
        <v>0.27999999999999997</v>
      </c>
      <c r="AZ85" s="24">
        <v>64087.200000000004</v>
      </c>
      <c r="BA85" s="24">
        <v>1366.1999999999998</v>
      </c>
      <c r="BB85" s="24">
        <v>50611.5</v>
      </c>
      <c r="BC85" s="24">
        <v>1552.5</v>
      </c>
      <c r="BD85" s="24">
        <v>502389</v>
      </c>
      <c r="BE85" s="24">
        <v>19872</v>
      </c>
      <c r="BF85" s="24">
        <v>870.02099999999996</v>
      </c>
      <c r="BG85" s="24">
        <v>32.912999999999997</v>
      </c>
      <c r="BH85" s="24">
        <f t="shared" si="14"/>
        <v>577.44468236973592</v>
      </c>
      <c r="BI85" s="24">
        <f t="shared" si="15"/>
        <v>31.605360539112901</v>
      </c>
      <c r="BJ85" s="27">
        <v>1328</v>
      </c>
      <c r="BK85" s="27">
        <v>22.1</v>
      </c>
      <c r="BL85" s="27">
        <v>1131.9000000000001</v>
      </c>
      <c r="BM85" s="27">
        <v>35.9</v>
      </c>
      <c r="BN85" s="27">
        <v>1660</v>
      </c>
      <c r="BO85" s="27">
        <v>36.299999999999997</v>
      </c>
      <c r="BP85" s="27">
        <v>1400.9</v>
      </c>
      <c r="BQ85" s="27">
        <v>20.5</v>
      </c>
      <c r="BR85" s="27">
        <v>17</v>
      </c>
    </row>
    <row r="86" spans="1:70" x14ac:dyDescent="0.2">
      <c r="A86" t="s">
        <v>674</v>
      </c>
      <c r="B86" t="s">
        <v>38</v>
      </c>
      <c r="C86" t="s">
        <v>675</v>
      </c>
      <c r="D86" t="s">
        <v>676</v>
      </c>
      <c r="E86">
        <v>82741</v>
      </c>
      <c r="F86">
        <v>48035</v>
      </c>
      <c r="G86" t="s">
        <v>676</v>
      </c>
      <c r="H86" s="1">
        <v>300.3</v>
      </c>
      <c r="I86" s="1">
        <v>78.7</v>
      </c>
      <c r="J86" s="10">
        <v>2.069</v>
      </c>
      <c r="K86" s="10">
        <f t="shared" ca="1" si="8"/>
        <v>5.3556553287156181E-2</v>
      </c>
      <c r="L86" s="7">
        <v>0.187</v>
      </c>
      <c r="M86" s="7">
        <f t="shared" ca="1" si="9"/>
        <v>5.1911077815818846E-3</v>
      </c>
      <c r="N86" s="7">
        <v>0.98180999999999996</v>
      </c>
      <c r="O86" s="8">
        <v>5.347594</v>
      </c>
      <c r="P86" s="8">
        <f t="shared" ca="1" si="10"/>
        <v>0.14844883666915143</v>
      </c>
      <c r="Q86" s="9">
        <v>7.9920000000000005E-2</v>
      </c>
      <c r="R86" s="9">
        <f t="shared" ca="1" si="11"/>
        <v>1.6281838225458451E-3</v>
      </c>
      <c r="S86" s="8">
        <f t="shared" si="12"/>
        <v>0.40671575763075257</v>
      </c>
      <c r="T86" s="11">
        <v>5.9299999999999999E-2</v>
      </c>
      <c r="U86" s="11">
        <f t="shared" ca="1" si="13"/>
        <v>1.8348286023495491E-3</v>
      </c>
      <c r="V86" s="6" t="e">
        <f ca="1">IF(agePb6U8(1/O86)&lt;1400,age7corr(1/O86,Q86,$W$2),agePb76(Q86))</f>
        <v>#NAME?</v>
      </c>
      <c r="W86" s="6" t="e">
        <f ca="1">IF(agePb6U8(1/O86)&lt;1400,ageer7corr(V86,1/O86,P86/O86*(1/O86),Q86,R86,$W$2,0.05),ageerPb76(Q86,R86))</f>
        <v>#NAME?</v>
      </c>
      <c r="X86" s="4" t="e">
        <f ca="1">agePb6U8(L86)/agePb7u5(J86)</f>
        <v>#NAME?</v>
      </c>
      <c r="Y86" s="3"/>
      <c r="Z86" s="1">
        <v>2.069</v>
      </c>
      <c r="AA86" s="1">
        <v>3.4000000000000002E-2</v>
      </c>
      <c r="AB86" s="1">
        <v>0.187</v>
      </c>
      <c r="AC86" s="1">
        <v>3.5999999999999999E-3</v>
      </c>
      <c r="AD86" s="1">
        <v>0.98180999999999996</v>
      </c>
      <c r="AE86" s="1">
        <v>5.347594</v>
      </c>
      <c r="AF86" s="1">
        <v>0.10294830000000001</v>
      </c>
      <c r="AG86" s="1">
        <v>7.9920000000000005E-2</v>
      </c>
      <c r="AH86" s="1">
        <v>3.1E-4</v>
      </c>
      <c r="AI86" s="1">
        <v>0.39460000000000001</v>
      </c>
      <c r="AJ86" s="1">
        <v>5.9299999999999999E-2</v>
      </c>
      <c r="AK86" s="1">
        <v>1.4E-3</v>
      </c>
      <c r="AL86" s="1">
        <v>12.64</v>
      </c>
      <c r="AM86" s="1">
        <v>0.12</v>
      </c>
      <c r="AN86" s="1">
        <v>1138</v>
      </c>
      <c r="AO86" s="1">
        <v>11</v>
      </c>
      <c r="AP86" s="1">
        <v>1105</v>
      </c>
      <c r="AQ86" s="1">
        <v>19</v>
      </c>
      <c r="AR86" s="1">
        <v>1164</v>
      </c>
      <c r="AS86" s="1">
        <v>27</v>
      </c>
      <c r="AT86" s="1">
        <v>1194.8</v>
      </c>
      <c r="AU86" s="1">
        <v>7.7</v>
      </c>
      <c r="AV86" s="1">
        <v>65</v>
      </c>
      <c r="AW86" s="1">
        <v>1.3</v>
      </c>
      <c r="AX86" s="1">
        <v>6.2</v>
      </c>
      <c r="AY86" s="1">
        <v>0.12000000000000001</v>
      </c>
      <c r="AZ86" s="1">
        <v>29932.2</v>
      </c>
      <c r="BA86" s="1">
        <v>521.64</v>
      </c>
      <c r="BB86" s="1">
        <v>37607.760000000002</v>
      </c>
      <c r="BC86" s="1">
        <v>565.1099999999999</v>
      </c>
      <c r="BD86" s="1">
        <v>471960</v>
      </c>
      <c r="BE86" s="1">
        <v>6831</v>
      </c>
      <c r="BF86" s="1">
        <v>14.345099999999999</v>
      </c>
      <c r="BG86" s="1">
        <v>5.9615999999999998</v>
      </c>
      <c r="BH86" s="1">
        <f t="shared" si="14"/>
        <v>32900.432900432905</v>
      </c>
      <c r="BI86" s="1">
        <f t="shared" si="15"/>
        <v>13681.196881344898</v>
      </c>
      <c r="BJ86" s="27">
        <v>1135.9000000000001</v>
      </c>
      <c r="BK86" s="27">
        <v>19.8</v>
      </c>
      <c r="BL86" s="27">
        <v>1104.5999999999999</v>
      </c>
      <c r="BM86" s="27">
        <v>28.5</v>
      </c>
      <c r="BN86" s="27">
        <v>1196.0999999999999</v>
      </c>
      <c r="BO86" s="27">
        <v>49.3</v>
      </c>
      <c r="BP86" s="27">
        <v>1133</v>
      </c>
      <c r="BQ86" s="27">
        <v>19.899999999999999</v>
      </c>
      <c r="BR86" s="27">
        <v>2.4</v>
      </c>
    </row>
    <row r="87" spans="1:70" x14ac:dyDescent="0.2">
      <c r="A87" t="s">
        <v>677</v>
      </c>
      <c r="B87" t="s">
        <v>38</v>
      </c>
      <c r="C87" t="s">
        <v>678</v>
      </c>
      <c r="D87" t="s">
        <v>679</v>
      </c>
      <c r="E87">
        <v>82709</v>
      </c>
      <c r="F87">
        <v>48152</v>
      </c>
      <c r="G87" t="s">
        <v>679</v>
      </c>
      <c r="H87" s="1">
        <v>131.69999999999999</v>
      </c>
      <c r="I87" s="1">
        <v>72.28</v>
      </c>
      <c r="J87" s="10">
        <v>2.1240000000000001</v>
      </c>
      <c r="K87" s="10">
        <f t="shared" ca="1" si="8"/>
        <v>5.9737345103377339E-2</v>
      </c>
      <c r="L87" s="7">
        <v>0.19389999999999999</v>
      </c>
      <c r="M87" s="7">
        <f t="shared" ca="1" si="9"/>
        <v>5.3599332085390765E-3</v>
      </c>
      <c r="N87" s="7">
        <v>0.97460999999999998</v>
      </c>
      <c r="O87" s="8">
        <v>5.1572979999999999</v>
      </c>
      <c r="P87" s="8">
        <f t="shared" ca="1" si="10"/>
        <v>0.14256200126946592</v>
      </c>
      <c r="Q87" s="9">
        <v>7.961E-2</v>
      </c>
      <c r="R87" s="9">
        <f t="shared" ca="1" si="11"/>
        <v>1.6346255962757957E-3</v>
      </c>
      <c r="S87" s="8">
        <f t="shared" si="12"/>
        <v>0.38852223201203306</v>
      </c>
      <c r="T87" s="11">
        <v>6.3100000000000003E-2</v>
      </c>
      <c r="U87" s="11">
        <f t="shared" ca="1" si="13"/>
        <v>1.811806832970888E-3</v>
      </c>
      <c r="V87" s="6" t="e">
        <f ca="1">IF(agePb6U8(1/O87)&lt;1400,age7corr(1/O87,Q87,$W$2),agePb76(Q87))</f>
        <v>#NAME?</v>
      </c>
      <c r="W87" s="6" t="e">
        <f ca="1">IF(agePb6U8(1/O87)&lt;1400,ageer7corr(V87,1/O87,P87/O87*(1/O87),Q87,R87,$W$2,0.05),ageerPb76(Q87,R87))</f>
        <v>#NAME?</v>
      </c>
      <c r="X87" s="4" t="e">
        <f ca="1">agePb6U8(L87)/agePb7u5(J87)</f>
        <v>#NAME?</v>
      </c>
      <c r="Y87" s="3"/>
      <c r="Z87" s="1">
        <v>2.1240000000000001</v>
      </c>
      <c r="AA87" s="1">
        <v>4.2000000000000003E-2</v>
      </c>
      <c r="AB87" s="1">
        <v>0.19389999999999999</v>
      </c>
      <c r="AC87" s="1">
        <v>3.7000000000000002E-3</v>
      </c>
      <c r="AD87" s="1">
        <v>0.97460999999999998</v>
      </c>
      <c r="AE87" s="1">
        <v>5.1572979999999999</v>
      </c>
      <c r="AF87" s="1">
        <v>9.8411559999999995E-2</v>
      </c>
      <c r="AG87" s="1">
        <v>7.961E-2</v>
      </c>
      <c r="AH87" s="1">
        <v>3.6999999999999999E-4</v>
      </c>
      <c r="AI87" s="1">
        <v>-1.2903E-2</v>
      </c>
      <c r="AJ87" s="1">
        <v>6.3100000000000003E-2</v>
      </c>
      <c r="AK87" s="1">
        <v>1.2999999999999999E-3</v>
      </c>
      <c r="AL87" s="1">
        <v>5.827</v>
      </c>
      <c r="AM87" s="1">
        <v>4.4999999999999998E-2</v>
      </c>
      <c r="AN87" s="1">
        <v>1156</v>
      </c>
      <c r="AO87" s="1">
        <v>14</v>
      </c>
      <c r="AP87" s="1">
        <v>1142</v>
      </c>
      <c r="AQ87" s="1">
        <v>20</v>
      </c>
      <c r="AR87" s="1">
        <v>1237</v>
      </c>
      <c r="AS87" s="1">
        <v>25</v>
      </c>
      <c r="AT87" s="1">
        <v>1187.2</v>
      </c>
      <c r="AU87" s="1">
        <v>9.1</v>
      </c>
      <c r="AV87" s="1">
        <v>28.5</v>
      </c>
      <c r="AW87" s="1">
        <v>1.2</v>
      </c>
      <c r="AX87" s="1">
        <v>5.6920000000000002</v>
      </c>
      <c r="AY87" s="1">
        <v>7.2999999999999995E-2</v>
      </c>
      <c r="AZ87" s="1">
        <v>29187</v>
      </c>
      <c r="BA87" s="1">
        <v>683.09999999999991</v>
      </c>
      <c r="BB87" s="1">
        <v>16767</v>
      </c>
      <c r="BC87" s="1">
        <v>515.42999999999995</v>
      </c>
      <c r="BD87" s="1">
        <v>212319.9</v>
      </c>
      <c r="BE87" s="1">
        <v>6147.9</v>
      </c>
      <c r="BF87" s="1">
        <v>55.89</v>
      </c>
      <c r="BG87" s="1">
        <v>6.8310000000000004</v>
      </c>
      <c r="BH87" s="1">
        <f t="shared" si="14"/>
        <v>3798.8888888888887</v>
      </c>
      <c r="BI87" s="1">
        <f t="shared" si="15"/>
        <v>477.16089007058753</v>
      </c>
      <c r="BJ87" s="27">
        <v>1160.8</v>
      </c>
      <c r="BK87" s="27">
        <v>20</v>
      </c>
      <c r="BL87" s="27">
        <v>1141.9000000000001</v>
      </c>
      <c r="BM87" s="27">
        <v>28.4</v>
      </c>
      <c r="BN87" s="27">
        <v>1196.0999999999999</v>
      </c>
      <c r="BO87" s="27">
        <v>49.3</v>
      </c>
      <c r="BP87" s="27">
        <v>1158.5999999999999</v>
      </c>
      <c r="BQ87" s="27">
        <v>19.899999999999999</v>
      </c>
      <c r="BR87" s="27">
        <v>1.4</v>
      </c>
    </row>
    <row r="88" spans="1:70" x14ac:dyDescent="0.2">
      <c r="A88" t="s">
        <v>680</v>
      </c>
      <c r="B88" t="s">
        <v>38</v>
      </c>
      <c r="C88" t="s">
        <v>681</v>
      </c>
      <c r="D88" t="s">
        <v>682</v>
      </c>
      <c r="E88">
        <v>82755</v>
      </c>
      <c r="F88">
        <v>48387</v>
      </c>
      <c r="G88" t="s">
        <v>682</v>
      </c>
      <c r="H88" s="1">
        <v>82</v>
      </c>
      <c r="I88" s="1">
        <v>50.69</v>
      </c>
      <c r="J88" s="10">
        <v>2.048</v>
      </c>
      <c r="K88" s="10">
        <f t="shared" ca="1" si="8"/>
        <v>5.9386207152839786E-2</v>
      </c>
      <c r="L88" s="7">
        <v>0.18990000000000001</v>
      </c>
      <c r="M88" s="7">
        <f t="shared" ca="1" si="9"/>
        <v>5.3725975095850979E-3</v>
      </c>
      <c r="N88" s="7">
        <v>0.98226000000000002</v>
      </c>
      <c r="O88" s="8">
        <v>5.2659289999999999</v>
      </c>
      <c r="P88" s="8">
        <f t="shared" ca="1" si="10"/>
        <v>0.14898215721762254</v>
      </c>
      <c r="Q88" s="9">
        <v>7.8310000000000005E-2</v>
      </c>
      <c r="R88" s="9">
        <f t="shared" ca="1" si="11"/>
        <v>1.6116396743689329E-3</v>
      </c>
      <c r="S88" s="8">
        <f t="shared" si="12"/>
        <v>0.37637654100453871</v>
      </c>
      <c r="T88" s="11">
        <v>5.9700000000000003E-2</v>
      </c>
      <c r="U88" s="11">
        <f t="shared" ca="1" si="13"/>
        <v>1.8400097825826906E-3</v>
      </c>
      <c r="V88" s="6" t="e">
        <f ca="1">IF(agePb6U8(1/O88)&lt;1400,age7corr(1/O88,Q88,$W$2),agePb76(Q88))</f>
        <v>#NAME?</v>
      </c>
      <c r="W88" s="6" t="e">
        <f ca="1">IF(agePb6U8(1/O88)&lt;1400,ageer7corr(V88,1/O88,P88/O88*(1/O88),Q88,R88,$W$2,0.05),ageerPb76(Q88,R88))</f>
        <v>#NAME?</v>
      </c>
      <c r="X88" s="4" t="e">
        <f ca="1">agePb6U8(L88)/agePb7u5(J88)</f>
        <v>#NAME?</v>
      </c>
      <c r="Y88" s="3"/>
      <c r="Z88" s="1">
        <v>2.048</v>
      </c>
      <c r="AA88" s="1">
        <v>4.2999999999999997E-2</v>
      </c>
      <c r="AB88" s="1">
        <v>0.18990000000000001</v>
      </c>
      <c r="AC88" s="1">
        <v>3.8E-3</v>
      </c>
      <c r="AD88" s="1">
        <v>0.98226000000000002</v>
      </c>
      <c r="AE88" s="1">
        <v>5.2659289999999999</v>
      </c>
      <c r="AF88" s="1">
        <v>0.105374</v>
      </c>
      <c r="AG88" s="1">
        <v>7.8310000000000005E-2</v>
      </c>
      <c r="AH88" s="1">
        <v>3.8000000000000002E-4</v>
      </c>
      <c r="AI88" s="1">
        <v>9.5291000000000001E-2</v>
      </c>
      <c r="AJ88" s="1">
        <v>5.9700000000000003E-2</v>
      </c>
      <c r="AK88" s="1">
        <v>1.4E-3</v>
      </c>
      <c r="AL88" s="1">
        <v>5.3970000000000002</v>
      </c>
      <c r="AM88" s="1">
        <v>2.1999999999999999E-2</v>
      </c>
      <c r="AN88" s="1">
        <v>1131</v>
      </c>
      <c r="AO88" s="1">
        <v>14</v>
      </c>
      <c r="AP88" s="1">
        <v>1121</v>
      </c>
      <c r="AQ88" s="1">
        <v>21</v>
      </c>
      <c r="AR88" s="1">
        <v>1173</v>
      </c>
      <c r="AS88" s="1">
        <v>27</v>
      </c>
      <c r="AT88" s="1">
        <v>1154.5999999999999</v>
      </c>
      <c r="AU88" s="1">
        <v>9.6999999999999993</v>
      </c>
      <c r="AV88" s="1">
        <v>17.760000000000002</v>
      </c>
      <c r="AW88" s="1">
        <v>0.27999999999999997</v>
      </c>
      <c r="AX88" s="1">
        <v>3.992</v>
      </c>
      <c r="AY88" s="1">
        <v>6.7000000000000004E-2</v>
      </c>
      <c r="AZ88" s="1">
        <v>19555.29</v>
      </c>
      <c r="BA88" s="1">
        <v>242.19</v>
      </c>
      <c r="BB88" s="1">
        <v>10209.240000000002</v>
      </c>
      <c r="BC88" s="1">
        <v>149.04</v>
      </c>
      <c r="BD88" s="1">
        <v>131652</v>
      </c>
      <c r="BE88" s="1">
        <v>1552.5</v>
      </c>
      <c r="BF88" s="1">
        <v>2.9807999999999999</v>
      </c>
      <c r="BG88" s="1">
        <v>4.7816999999999998</v>
      </c>
      <c r="BH88" s="1">
        <f t="shared" si="14"/>
        <v>44166.666666666672</v>
      </c>
      <c r="BI88" s="1">
        <f t="shared" si="15"/>
        <v>70852.6087778082</v>
      </c>
      <c r="BJ88" s="27">
        <v>1128.9000000000001</v>
      </c>
      <c r="BK88" s="27">
        <v>20.6</v>
      </c>
      <c r="BL88" s="27">
        <v>1120</v>
      </c>
      <c r="BM88" s="27">
        <v>29.3</v>
      </c>
      <c r="BN88" s="27">
        <v>1146</v>
      </c>
      <c r="BO88" s="27">
        <v>50.9</v>
      </c>
      <c r="BP88" s="27">
        <v>1128</v>
      </c>
      <c r="BQ88" s="27">
        <v>20.5</v>
      </c>
      <c r="BR88" s="27">
        <v>0.69</v>
      </c>
    </row>
    <row r="89" spans="1:70" x14ac:dyDescent="0.2">
      <c r="A89" t="s">
        <v>683</v>
      </c>
      <c r="B89" t="s">
        <v>38</v>
      </c>
      <c r="C89" t="s">
        <v>684</v>
      </c>
      <c r="D89" t="s">
        <v>685</v>
      </c>
      <c r="E89">
        <v>82676</v>
      </c>
      <c r="F89">
        <v>48611</v>
      </c>
      <c r="G89" t="s">
        <v>685</v>
      </c>
      <c r="H89" s="1">
        <v>353</v>
      </c>
      <c r="I89" s="1">
        <v>174</v>
      </c>
      <c r="J89" s="10">
        <v>4.26</v>
      </c>
      <c r="K89" s="10">
        <f t="shared" ca="1" si="8"/>
        <v>0.31186381643275002</v>
      </c>
      <c r="L89" s="7">
        <v>0.27800000000000002</v>
      </c>
      <c r="M89" s="7">
        <f t="shared" ca="1" si="9"/>
        <v>2.075845851695159E-2</v>
      </c>
      <c r="N89" s="7">
        <v>0.99563000000000001</v>
      </c>
      <c r="O89" s="8">
        <v>3.5971220000000002</v>
      </c>
      <c r="P89" s="8">
        <f t="shared" ca="1" si="10"/>
        <v>0.26859971138255828</v>
      </c>
      <c r="Q89" s="9">
        <v>0.10968</v>
      </c>
      <c r="R89" s="9">
        <f t="shared" ca="1" si="11"/>
        <v>2.2614997147910498E-3</v>
      </c>
      <c r="S89" s="8">
        <f t="shared" si="12"/>
        <v>0.35422481819091522</v>
      </c>
      <c r="T89" s="11">
        <v>0.1024</v>
      </c>
      <c r="U89" s="11">
        <f t="shared" ca="1" si="13"/>
        <v>7.0060191264369239E-3</v>
      </c>
      <c r="V89" s="6" t="e">
        <f ca="1">IF(agePb6U8(1/O89)&lt;1400,age7corr(1/O89,Q89,$W$2),agePb76(Q89))</f>
        <v>#NAME?</v>
      </c>
      <c r="W89" s="6" t="e">
        <f ca="1">IF(agePb6U8(1/O89)&lt;1400,ageer7corr(V89,1/O89,P89/O89*(1/O89),Q89,R89,$W$2,0.05),ageerPb76(Q89,R89))</f>
        <v>#NAME?</v>
      </c>
      <c r="X89" s="4" t="e">
        <f ca="1">agePb6U8(L89)/agePb7u5(J89)</f>
        <v>#NAME?</v>
      </c>
      <c r="Y89" s="3"/>
      <c r="Z89" s="1">
        <v>4.26</v>
      </c>
      <c r="AA89" s="1">
        <v>0.3</v>
      </c>
      <c r="AB89" s="1">
        <v>0.27800000000000002</v>
      </c>
      <c r="AC89" s="1">
        <v>0.02</v>
      </c>
      <c r="AD89" s="1">
        <v>0.99563000000000001</v>
      </c>
      <c r="AE89" s="1">
        <v>3.5971220000000002</v>
      </c>
      <c r="AF89" s="1">
        <v>0.25878580000000001</v>
      </c>
      <c r="AG89" s="1">
        <v>0.10968</v>
      </c>
      <c r="AH89" s="1">
        <v>5.5000000000000003E-4</v>
      </c>
      <c r="AI89" s="1">
        <v>-0.72792999999999997</v>
      </c>
      <c r="AJ89" s="1">
        <v>0.1024</v>
      </c>
      <c r="AK89" s="1">
        <v>6.7000000000000002E-3</v>
      </c>
      <c r="AL89" s="1">
        <v>6.35</v>
      </c>
      <c r="AM89" s="1">
        <v>0.5</v>
      </c>
      <c r="AN89" s="1">
        <v>1677</v>
      </c>
      <c r="AO89" s="1">
        <v>61</v>
      </c>
      <c r="AP89" s="1">
        <v>1603</v>
      </c>
      <c r="AQ89" s="1">
        <v>94</v>
      </c>
      <c r="AR89" s="1">
        <v>1970</v>
      </c>
      <c r="AS89" s="1">
        <v>120</v>
      </c>
      <c r="AT89" s="1">
        <v>1794</v>
      </c>
      <c r="AU89" s="1">
        <v>9.1999999999999993</v>
      </c>
      <c r="AV89" s="1">
        <v>76.5</v>
      </c>
      <c r="AW89" s="1">
        <v>6</v>
      </c>
      <c r="AX89" s="1">
        <v>13.700000000000001</v>
      </c>
      <c r="AY89" s="1">
        <v>1.3</v>
      </c>
      <c r="AZ89" s="1">
        <v>108675</v>
      </c>
      <c r="BA89" s="1">
        <v>7452.0000000000009</v>
      </c>
      <c r="BB89" s="1">
        <v>90666</v>
      </c>
      <c r="BC89" s="1">
        <v>3477.6</v>
      </c>
      <c r="BD89" s="1">
        <v>846422.99999999988</v>
      </c>
      <c r="BE89" s="1">
        <v>36018</v>
      </c>
      <c r="BF89" s="1">
        <v>6.8310000000000004</v>
      </c>
      <c r="BG89" s="1">
        <v>7.4519999999999991</v>
      </c>
      <c r="BH89" s="1">
        <f t="shared" si="14"/>
        <v>123909.09090909088</v>
      </c>
      <c r="BI89" s="1">
        <f t="shared" si="15"/>
        <v>135276.35151022577</v>
      </c>
      <c r="BJ89" s="27">
        <v>1676.2</v>
      </c>
      <c r="BK89" s="27">
        <v>58</v>
      </c>
      <c r="BL89" s="27">
        <v>1580.2</v>
      </c>
      <c r="BM89" s="27">
        <v>105.1</v>
      </c>
      <c r="BN89" s="27">
        <v>1798.6</v>
      </c>
      <c r="BO89" s="27">
        <v>33.1</v>
      </c>
      <c r="BP89" s="27">
        <v>1767.4</v>
      </c>
      <c r="BQ89" s="27">
        <v>25.2</v>
      </c>
      <c r="BR89" s="27">
        <v>9.6999999999999993</v>
      </c>
    </row>
    <row r="90" spans="1:70" x14ac:dyDescent="0.2">
      <c r="A90" t="s">
        <v>686</v>
      </c>
      <c r="B90" t="s">
        <v>38</v>
      </c>
      <c r="C90" t="s">
        <v>687</v>
      </c>
      <c r="D90" t="s">
        <v>688</v>
      </c>
      <c r="E90">
        <v>82729</v>
      </c>
      <c r="F90">
        <v>48949</v>
      </c>
      <c r="G90" t="s">
        <v>688</v>
      </c>
      <c r="H90" s="1">
        <v>68.7</v>
      </c>
      <c r="I90" s="1">
        <v>22.24</v>
      </c>
      <c r="J90" s="10">
        <v>2.8410000000000002</v>
      </c>
      <c r="K90" s="10">
        <f t="shared" ca="1" si="8"/>
        <v>0.10728239557355157</v>
      </c>
      <c r="L90" s="7">
        <v>0.23630000000000001</v>
      </c>
      <c r="M90" s="7">
        <f t="shared" ca="1" si="9"/>
        <v>9.2916670194319803E-3</v>
      </c>
      <c r="N90" s="7">
        <v>0.98123000000000005</v>
      </c>
      <c r="O90" s="8">
        <v>4.2319089999999999</v>
      </c>
      <c r="P90" s="8">
        <f t="shared" ca="1" si="10"/>
        <v>0.16640493416804802</v>
      </c>
      <c r="Q90" s="9">
        <v>8.8249999999999995E-2</v>
      </c>
      <c r="R90" s="9">
        <f t="shared" ca="1" si="11"/>
        <v>1.8487090090114236E-3</v>
      </c>
      <c r="S90" s="8">
        <f t="shared" si="12"/>
        <v>0.47631672182519774</v>
      </c>
      <c r="T90" s="11">
        <v>7.6100000000000001E-2</v>
      </c>
      <c r="U90" s="11">
        <f t="shared" ca="1" si="13"/>
        <v>3.2751311424124682E-3</v>
      </c>
      <c r="V90" s="6" t="e">
        <f ca="1">IF(agePb6U8(1/O90)&lt;1400,age7corr(1/O90,Q90,$W$2),agePb76(Q90))</f>
        <v>#NAME?</v>
      </c>
      <c r="W90" s="6" t="e">
        <f ca="1">IF(agePb6U8(1/O90)&lt;1400,ageer7corr(V90,1/O90,P90/O90*(1/O90),Q90,R90,$W$2,0.05),ageerPb76(Q90,R90))</f>
        <v>#NAME?</v>
      </c>
      <c r="X90" s="4" t="e">
        <f ca="1">agePb6U8(L90)/agePb7u5(J90)</f>
        <v>#NAME?</v>
      </c>
      <c r="Y90" s="3"/>
      <c r="Z90" s="1">
        <v>2.8410000000000002</v>
      </c>
      <c r="AA90" s="1">
        <v>9.0999999999999998E-2</v>
      </c>
      <c r="AB90" s="1">
        <v>0.23630000000000001</v>
      </c>
      <c r="AC90" s="1">
        <v>8.0000000000000002E-3</v>
      </c>
      <c r="AD90" s="1">
        <v>0.98123000000000005</v>
      </c>
      <c r="AE90" s="1">
        <v>4.2319089999999999</v>
      </c>
      <c r="AF90" s="1">
        <v>0.14327239999999999</v>
      </c>
      <c r="AG90" s="1">
        <v>8.8249999999999995E-2</v>
      </c>
      <c r="AH90" s="1">
        <v>5.5000000000000003E-4</v>
      </c>
      <c r="AI90" s="1">
        <v>0.11744</v>
      </c>
      <c r="AJ90" s="1">
        <v>7.6100000000000001E-2</v>
      </c>
      <c r="AK90" s="1">
        <v>2.8999999999999998E-3</v>
      </c>
      <c r="AL90" s="1">
        <v>10.16</v>
      </c>
      <c r="AM90" s="1">
        <v>6.0999999999999999E-2</v>
      </c>
      <c r="AN90" s="1">
        <v>1365</v>
      </c>
      <c r="AO90" s="1">
        <v>24</v>
      </c>
      <c r="AP90" s="1">
        <v>1367</v>
      </c>
      <c r="AQ90" s="1">
        <v>42</v>
      </c>
      <c r="AR90" s="1">
        <v>1482</v>
      </c>
      <c r="AS90" s="1">
        <v>55</v>
      </c>
      <c r="AT90" s="1">
        <v>1388</v>
      </c>
      <c r="AU90" s="1">
        <v>12</v>
      </c>
      <c r="AV90" s="1">
        <v>14.87</v>
      </c>
      <c r="AW90" s="1">
        <v>0.32</v>
      </c>
      <c r="AX90" s="1">
        <v>1.752</v>
      </c>
      <c r="AY90" s="1">
        <v>4.5999999999999999E-2</v>
      </c>
      <c r="AZ90" s="1">
        <v>10811.61</v>
      </c>
      <c r="BA90" s="1">
        <v>211.14000000000001</v>
      </c>
      <c r="BB90" s="1">
        <v>11892.15</v>
      </c>
      <c r="BC90" s="1">
        <v>242.19</v>
      </c>
      <c r="BD90" s="1">
        <v>136806.30000000002</v>
      </c>
      <c r="BE90" s="1">
        <v>2732.3999999999996</v>
      </c>
      <c r="BF90" s="1">
        <v>24.839999999999996</v>
      </c>
      <c r="BG90" s="1">
        <v>6.8310000000000004</v>
      </c>
      <c r="BH90" s="1">
        <f t="shared" si="14"/>
        <v>5507.5000000000018</v>
      </c>
      <c r="BI90" s="1">
        <f t="shared" si="15"/>
        <v>1518.5517990527201</v>
      </c>
      <c r="BJ90" s="27">
        <v>1373.3</v>
      </c>
      <c r="BK90" s="27">
        <v>26.7</v>
      </c>
      <c r="BL90" s="27">
        <v>1368</v>
      </c>
      <c r="BM90" s="27">
        <v>49.5</v>
      </c>
      <c r="BN90" s="27">
        <v>1381.6</v>
      </c>
      <c r="BO90" s="27">
        <v>43.7</v>
      </c>
      <c r="BP90" s="27">
        <v>1375.4</v>
      </c>
      <c r="BQ90" s="27">
        <v>23.7</v>
      </c>
      <c r="BR90" s="27">
        <v>0.42</v>
      </c>
    </row>
    <row r="91" spans="1:70" x14ac:dyDescent="0.2">
      <c r="A91" t="s">
        <v>689</v>
      </c>
      <c r="B91" t="s">
        <v>38</v>
      </c>
      <c r="C91" t="s">
        <v>690</v>
      </c>
      <c r="D91" t="s">
        <v>691</v>
      </c>
      <c r="E91">
        <v>82968</v>
      </c>
      <c r="F91">
        <v>49288</v>
      </c>
      <c r="G91" t="s">
        <v>691</v>
      </c>
      <c r="H91" s="1">
        <v>144.9</v>
      </c>
      <c r="I91" s="1">
        <v>32.5</v>
      </c>
      <c r="J91" s="10">
        <v>1.8660000000000001</v>
      </c>
      <c r="K91" s="10">
        <f t="shared" ca="1" si="8"/>
        <v>5.1853470472090872E-2</v>
      </c>
      <c r="L91" s="7">
        <v>0.17810000000000001</v>
      </c>
      <c r="M91" s="7">
        <f t="shared" ca="1" si="9"/>
        <v>4.7883028308577146E-3</v>
      </c>
      <c r="N91" s="7">
        <v>0.94825999999999999</v>
      </c>
      <c r="O91" s="8">
        <v>5.6148230000000003</v>
      </c>
      <c r="P91" s="8">
        <f t="shared" ca="1" si="10"/>
        <v>0.15095720050574468</v>
      </c>
      <c r="Q91" s="9">
        <v>7.5850000000000001E-2</v>
      </c>
      <c r="R91" s="9">
        <f t="shared" ca="1" si="11"/>
        <v>1.5823365634402816E-3</v>
      </c>
      <c r="S91" s="8">
        <f t="shared" si="12"/>
        <v>0.56965926118392596</v>
      </c>
      <c r="T91" s="11">
        <v>6.0100000000000001E-2</v>
      </c>
      <c r="U91" s="11">
        <f t="shared" ca="1" si="13"/>
        <v>1.6293569283616161E-3</v>
      </c>
      <c r="V91" s="6" t="e">
        <f ca="1">IF(agePb6U8(1/O91)&lt;1400,age7corr(1/O91,Q91,$W$2),agePb76(Q91))</f>
        <v>#NAME?</v>
      </c>
      <c r="W91" s="6" t="e">
        <f ca="1">IF(agePb6U8(1/O91)&lt;1400,ageer7corr(V91,1/O91,P91/O91*(1/O91),Q91,R91,$W$2,0.05),ageerPb76(Q91,R91))</f>
        <v>#NAME?</v>
      </c>
      <c r="X91" s="4" t="e">
        <f ca="1">agePb6U8(L91)/agePb7u5(J91)</f>
        <v>#NAME?</v>
      </c>
      <c r="Y91" s="3"/>
      <c r="Z91" s="1">
        <v>1.8660000000000001</v>
      </c>
      <c r="AA91" s="1">
        <v>3.5999999999999997E-2</v>
      </c>
      <c r="AB91" s="1">
        <v>0.17810000000000001</v>
      </c>
      <c r="AC91" s="1">
        <v>3.2000000000000002E-3</v>
      </c>
      <c r="AD91" s="1">
        <v>0.94825999999999999</v>
      </c>
      <c r="AE91" s="1">
        <v>5.6148230000000003</v>
      </c>
      <c r="AF91" s="1">
        <v>0.100884</v>
      </c>
      <c r="AG91" s="1">
        <v>7.5850000000000001E-2</v>
      </c>
      <c r="AH91" s="1">
        <v>4.4999999999999999E-4</v>
      </c>
      <c r="AI91" s="1">
        <v>3.9241999999999999E-2</v>
      </c>
      <c r="AJ91" s="1">
        <v>6.0100000000000001E-2</v>
      </c>
      <c r="AK91" s="1">
        <v>1.1000000000000001E-3</v>
      </c>
      <c r="AL91" s="1">
        <v>13.98</v>
      </c>
      <c r="AM91" s="1">
        <v>0.11</v>
      </c>
      <c r="AN91" s="1">
        <v>1069</v>
      </c>
      <c r="AO91" s="1">
        <v>13</v>
      </c>
      <c r="AP91" s="1">
        <v>1057</v>
      </c>
      <c r="AQ91" s="1">
        <v>17</v>
      </c>
      <c r="AR91" s="1">
        <v>1179</v>
      </c>
      <c r="AS91" s="1">
        <v>21</v>
      </c>
      <c r="AT91" s="1">
        <v>1091</v>
      </c>
      <c r="AU91" s="1">
        <v>12</v>
      </c>
      <c r="AV91" s="1">
        <v>31.36</v>
      </c>
      <c r="AW91" s="1">
        <v>0.41</v>
      </c>
      <c r="AX91" s="1">
        <v>2.5590000000000002</v>
      </c>
      <c r="AY91" s="1">
        <v>8.7999999999999995E-2</v>
      </c>
      <c r="AZ91" s="1">
        <v>12631.14</v>
      </c>
      <c r="BA91" s="1">
        <v>186.3</v>
      </c>
      <c r="BB91" s="1">
        <v>16456.5</v>
      </c>
      <c r="BC91" s="1">
        <v>229.77</v>
      </c>
      <c r="BD91" s="1">
        <v>219585.6</v>
      </c>
      <c r="BE91" s="1">
        <v>3415.5</v>
      </c>
      <c r="BF91" s="1">
        <v>-1.4282999999999999</v>
      </c>
      <c r="BG91" s="1">
        <v>5.8373999999999997</v>
      </c>
      <c r="BH91" s="1">
        <f t="shared" si="14"/>
        <v>-153739.13043478262</v>
      </c>
      <c r="BI91" s="1">
        <f t="shared" si="15"/>
        <v>-628329.69222016947</v>
      </c>
      <c r="BJ91" s="27">
        <v>1069.5</v>
      </c>
      <c r="BK91" s="27">
        <v>16.3</v>
      </c>
      <c r="BL91" s="27">
        <v>1057.4000000000001</v>
      </c>
      <c r="BM91" s="27">
        <v>26.1</v>
      </c>
      <c r="BN91" s="27">
        <v>1094.2</v>
      </c>
      <c r="BO91" s="27">
        <v>52.7</v>
      </c>
      <c r="BP91" s="27">
        <v>1068.0999999999999</v>
      </c>
      <c r="BQ91" s="27">
        <v>16.100000000000001</v>
      </c>
      <c r="BR91" s="27">
        <v>0.99</v>
      </c>
    </row>
    <row r="92" spans="1:70" x14ac:dyDescent="0.2">
      <c r="A92" t="s">
        <v>692</v>
      </c>
      <c r="B92" t="s">
        <v>38</v>
      </c>
      <c r="C92" t="s">
        <v>693</v>
      </c>
      <c r="D92" t="s">
        <v>694</v>
      </c>
      <c r="E92">
        <v>82921</v>
      </c>
      <c r="F92">
        <v>49450</v>
      </c>
      <c r="G92" t="s">
        <v>694</v>
      </c>
      <c r="H92" s="1">
        <v>151.80000000000001</v>
      </c>
      <c r="I92" s="1">
        <v>94.9</v>
      </c>
      <c r="J92" s="10">
        <v>2.7930000000000001</v>
      </c>
      <c r="K92" s="10">
        <f t="shared" ca="1" si="8"/>
        <v>0.11367207044828559</v>
      </c>
      <c r="L92" s="7">
        <v>0.2321</v>
      </c>
      <c r="M92" s="7">
        <f t="shared" ca="1" si="9"/>
        <v>8.4828158060870334E-3</v>
      </c>
      <c r="N92" s="7">
        <v>0.99348000000000003</v>
      </c>
      <c r="O92" s="8">
        <v>4.3084879999999997</v>
      </c>
      <c r="P92" s="8">
        <f t="shared" ca="1" si="10"/>
        <v>0.15746710012982901</v>
      </c>
      <c r="Q92" s="9">
        <v>8.8080000000000006E-2</v>
      </c>
      <c r="R92" s="9">
        <f t="shared" ca="1" si="11"/>
        <v>1.8206687123142422E-3</v>
      </c>
      <c r="S92" s="8">
        <f t="shared" si="12"/>
        <v>0.38907008877467242</v>
      </c>
      <c r="T92" s="11">
        <v>7.6799999999999993E-2</v>
      </c>
      <c r="U92" s="11">
        <f t="shared" ca="1" si="13"/>
        <v>2.5217644616418876E-3</v>
      </c>
      <c r="V92" s="6" t="e">
        <f ca="1">IF(agePb6U8(1/O92)&lt;1400,age7corr(1/O92,Q92,$W$2),agePb76(Q92))</f>
        <v>#NAME?</v>
      </c>
      <c r="W92" s="6" t="e">
        <f ca="1">IF(agePb6U8(1/O92)&lt;1400,ageer7corr(V92,1/O92,P92/O92*(1/O92),Q92,R92,$W$2,0.05),ageerPb76(Q92,R92))</f>
        <v>#NAME?</v>
      </c>
      <c r="X92" s="4" t="e">
        <f ca="1">agePb6U8(L92)/agePb7u5(J92)</f>
        <v>#NAME?</v>
      </c>
      <c r="Y92" s="3"/>
      <c r="Z92" s="1">
        <v>2.7930000000000001</v>
      </c>
      <c r="AA92" s="1">
        <v>9.9000000000000005E-2</v>
      </c>
      <c r="AB92" s="1">
        <v>0.2321</v>
      </c>
      <c r="AC92" s="1">
        <v>7.1000000000000004E-3</v>
      </c>
      <c r="AD92" s="1">
        <v>0.99348000000000003</v>
      </c>
      <c r="AE92" s="1">
        <v>4.3084879999999997</v>
      </c>
      <c r="AF92" s="1">
        <v>0.13179779999999999</v>
      </c>
      <c r="AG92" s="1">
        <v>8.8080000000000006E-2</v>
      </c>
      <c r="AH92" s="1">
        <v>4.6000000000000001E-4</v>
      </c>
      <c r="AI92" s="1">
        <v>-0.45193</v>
      </c>
      <c r="AJ92" s="1">
        <v>7.6799999999999993E-2</v>
      </c>
      <c r="AK92" s="1">
        <v>2E-3</v>
      </c>
      <c r="AL92" s="1">
        <v>5.0839999999999996</v>
      </c>
      <c r="AM92" s="1">
        <v>1.9E-2</v>
      </c>
      <c r="AN92" s="1">
        <v>1358</v>
      </c>
      <c r="AO92" s="1">
        <v>25</v>
      </c>
      <c r="AP92" s="1">
        <v>1345</v>
      </c>
      <c r="AQ92" s="1">
        <v>37</v>
      </c>
      <c r="AR92" s="1">
        <v>1495</v>
      </c>
      <c r="AS92" s="1">
        <v>37</v>
      </c>
      <c r="AT92" s="1">
        <v>1384</v>
      </c>
      <c r="AU92" s="1">
        <v>10</v>
      </c>
      <c r="AV92" s="1">
        <v>32.840000000000003</v>
      </c>
      <c r="AW92" s="1">
        <v>0.67</v>
      </c>
      <c r="AX92" s="1">
        <v>7.4799999999999995</v>
      </c>
      <c r="AY92" s="1">
        <v>0.28999999999999998</v>
      </c>
      <c r="AZ92" s="1">
        <v>46637.1</v>
      </c>
      <c r="BA92" s="1">
        <v>807.3</v>
      </c>
      <c r="BB92" s="1">
        <v>25790.13</v>
      </c>
      <c r="BC92" s="1">
        <v>453.33</v>
      </c>
      <c r="BD92" s="1">
        <v>295223.40000000002</v>
      </c>
      <c r="BE92" s="1">
        <v>4471.2000000000007</v>
      </c>
      <c r="BF92" s="1">
        <v>-1.1799000000000002</v>
      </c>
      <c r="BG92" s="1">
        <v>3.8502000000000001</v>
      </c>
      <c r="BH92" s="1">
        <f t="shared" si="14"/>
        <v>-250210.52631578947</v>
      </c>
      <c r="BI92" s="1">
        <f t="shared" si="15"/>
        <v>-816485.24819907139</v>
      </c>
      <c r="BJ92" s="27">
        <v>1359.2</v>
      </c>
      <c r="BK92" s="27">
        <v>26.3</v>
      </c>
      <c r="BL92" s="27">
        <v>1345.1</v>
      </c>
      <c r="BM92" s="27">
        <v>45.1</v>
      </c>
      <c r="BN92" s="27">
        <v>1381.6</v>
      </c>
      <c r="BO92" s="27">
        <v>43.7</v>
      </c>
      <c r="BP92" s="27">
        <v>1363.8</v>
      </c>
      <c r="BQ92" s="27">
        <v>24.7</v>
      </c>
      <c r="BR92" s="27">
        <v>1.1000000000000001</v>
      </c>
    </row>
    <row r="93" spans="1:70" x14ac:dyDescent="0.2">
      <c r="A93" t="s">
        <v>701</v>
      </c>
      <c r="B93" t="s">
        <v>38</v>
      </c>
      <c r="C93" t="s">
        <v>702</v>
      </c>
      <c r="D93" t="s">
        <v>703</v>
      </c>
      <c r="E93">
        <v>82979</v>
      </c>
      <c r="F93">
        <v>49780</v>
      </c>
      <c r="G93" t="s">
        <v>703</v>
      </c>
      <c r="H93" s="1">
        <v>183.4</v>
      </c>
      <c r="I93" s="1">
        <v>133.80000000000001</v>
      </c>
      <c r="J93" s="10">
        <v>4.47</v>
      </c>
      <c r="K93" s="10">
        <f t="shared" ca="1" si="8"/>
        <v>0.14174752202419624</v>
      </c>
      <c r="L93" s="7">
        <v>0.2878</v>
      </c>
      <c r="M93" s="7">
        <f t="shared" ca="1" si="9"/>
        <v>9.6938916849735844E-3</v>
      </c>
      <c r="N93" s="7">
        <v>0.99621000000000004</v>
      </c>
      <c r="O93" s="8">
        <v>3.4746350000000001</v>
      </c>
      <c r="P93" s="8">
        <f t="shared" ca="1" si="10"/>
        <v>0.11703522156727009</v>
      </c>
      <c r="Q93" s="9">
        <v>0.112</v>
      </c>
      <c r="R93" s="9">
        <f t="shared" ca="1" si="11"/>
        <v>2.2574321695235941E-3</v>
      </c>
      <c r="S93" s="8">
        <f t="shared" si="12"/>
        <v>0.43844390703378999</v>
      </c>
      <c r="T93" s="11">
        <v>8.9200000000000002E-2</v>
      </c>
      <c r="U93" s="11">
        <f t="shared" ca="1" si="13"/>
        <v>3.9284419303331946E-3</v>
      </c>
      <c r="V93" s="6" t="e">
        <f ca="1">IF(agePb6U8(1/O93)&lt;1400,age7corr(1/O93,Q93,$W$2),agePb76(Q93))</f>
        <v>#NAME?</v>
      </c>
      <c r="W93" s="6" t="e">
        <f ca="1">IF(agePb6U8(1/O93)&lt;1400,ageer7corr(V93,1/O93,P93/O93*(1/O93),Q93,R93,$W$2,0.05),ageerPb76(Q93,R93))</f>
        <v>#NAME?</v>
      </c>
      <c r="X93" s="4" t="e">
        <f ca="1">agePb6U8(L93)/agePb7u5(J93)</f>
        <v>#NAME?</v>
      </c>
      <c r="Y93" s="3"/>
      <c r="Z93" s="1">
        <v>4.47</v>
      </c>
      <c r="AA93" s="1">
        <v>0.11</v>
      </c>
      <c r="AB93" s="1">
        <v>0.2878</v>
      </c>
      <c r="AC93" s="1">
        <v>7.7999999999999996E-3</v>
      </c>
      <c r="AD93" s="1">
        <v>0.99621000000000004</v>
      </c>
      <c r="AE93" s="1">
        <v>3.4746350000000001</v>
      </c>
      <c r="AF93" s="1">
        <v>9.4170100000000007E-2</v>
      </c>
      <c r="AG93" s="1">
        <v>0.112</v>
      </c>
      <c r="AH93" s="1">
        <v>2.7999999999999998E-4</v>
      </c>
      <c r="AI93" s="1">
        <v>-0.22109999999999999</v>
      </c>
      <c r="AJ93" s="1">
        <v>8.9200000000000002E-2</v>
      </c>
      <c r="AK93" s="1">
        <v>3.5000000000000001E-3</v>
      </c>
      <c r="AL93" s="1">
        <v>4.7549999999999999</v>
      </c>
      <c r="AM93" s="1">
        <v>4.5999999999999999E-2</v>
      </c>
      <c r="AN93" s="1">
        <v>1724</v>
      </c>
      <c r="AO93" s="1">
        <v>21</v>
      </c>
      <c r="AP93" s="1">
        <v>1630</v>
      </c>
      <c r="AQ93" s="1">
        <v>39</v>
      </c>
      <c r="AR93" s="1">
        <v>1726</v>
      </c>
      <c r="AS93" s="1">
        <v>65</v>
      </c>
      <c r="AT93" s="1">
        <v>1832.1</v>
      </c>
      <c r="AU93" s="1">
        <v>4.5</v>
      </c>
      <c r="AV93" s="1">
        <v>39.699999999999996</v>
      </c>
      <c r="AW93" s="1">
        <v>1.1000000000000001</v>
      </c>
      <c r="AX93" s="1">
        <v>10.53</v>
      </c>
      <c r="AY93" s="1">
        <v>0.43</v>
      </c>
      <c r="AZ93" s="1">
        <v>75824.100000000006</v>
      </c>
      <c r="BA93" s="1">
        <v>2173.5</v>
      </c>
      <c r="BB93" s="1">
        <v>49866.3</v>
      </c>
      <c r="BC93" s="1">
        <v>1117.8000000000002</v>
      </c>
      <c r="BD93" s="1">
        <v>448983</v>
      </c>
      <c r="BE93" s="1">
        <v>9936</v>
      </c>
      <c r="BF93" s="1">
        <v>-6.2099999999999991</v>
      </c>
      <c r="BG93" s="1">
        <v>6.8310000000000004</v>
      </c>
      <c r="BH93" s="1">
        <f t="shared" si="14"/>
        <v>-72300.000000000015</v>
      </c>
      <c r="BI93" s="1">
        <f t="shared" si="15"/>
        <v>-79546.092927308535</v>
      </c>
      <c r="BJ93" s="27">
        <v>1721.4</v>
      </c>
      <c r="BK93" s="27">
        <v>25.8</v>
      </c>
      <c r="BL93" s="27">
        <v>1632.5</v>
      </c>
      <c r="BM93" s="27">
        <v>49.9</v>
      </c>
      <c r="BN93" s="27">
        <v>1831.3</v>
      </c>
      <c r="BO93" s="27">
        <v>32.4</v>
      </c>
      <c r="BP93" s="27">
        <v>1762.8</v>
      </c>
      <c r="BQ93" s="27">
        <v>20.9</v>
      </c>
      <c r="BR93" s="27">
        <v>6.1</v>
      </c>
    </row>
    <row r="94" spans="1:70" x14ac:dyDescent="0.2">
      <c r="A94" t="s">
        <v>704</v>
      </c>
      <c r="B94" t="s">
        <v>38</v>
      </c>
      <c r="C94" t="s">
        <v>705</v>
      </c>
      <c r="D94" t="s">
        <v>706</v>
      </c>
      <c r="E94">
        <v>82942</v>
      </c>
      <c r="F94">
        <v>49920</v>
      </c>
      <c r="G94" t="s">
        <v>706</v>
      </c>
      <c r="H94" s="1">
        <v>171.7</v>
      </c>
      <c r="I94" s="1">
        <v>130</v>
      </c>
      <c r="J94" s="10">
        <v>1.8380000000000001</v>
      </c>
      <c r="K94" s="10">
        <f t="shared" ca="1" si="8"/>
        <v>6.951472937442825E-2</v>
      </c>
      <c r="L94" s="7">
        <v>0.1719</v>
      </c>
      <c r="M94" s="7">
        <f t="shared" ca="1" si="9"/>
        <v>6.4015501247744683E-3</v>
      </c>
      <c r="N94" s="7">
        <v>0.98109000000000002</v>
      </c>
      <c r="O94" s="8">
        <v>5.8173360000000001</v>
      </c>
      <c r="P94" s="8">
        <f t="shared" ca="1" si="10"/>
        <v>0.21663736069064449</v>
      </c>
      <c r="Q94" s="9">
        <v>7.7729999999999994E-2</v>
      </c>
      <c r="R94" s="9">
        <f t="shared" ca="1" si="11"/>
        <v>1.6663676545108524E-3</v>
      </c>
      <c r="S94" s="8">
        <f t="shared" si="12"/>
        <v>0.4955334824950216</v>
      </c>
      <c r="T94" s="11">
        <v>6.2399999999999997E-2</v>
      </c>
      <c r="U94" s="11">
        <f t="shared" ca="1" si="13"/>
        <v>2.1903205244895095E-3</v>
      </c>
      <c r="V94" s="6" t="e">
        <f ca="1">IF(agePb6U8(1/O94)&lt;1400,age7corr(1/O94,Q94,$W$2),agePb76(Q94))</f>
        <v>#NAME?</v>
      </c>
      <c r="W94" s="6" t="e">
        <f ca="1">IF(agePb6U8(1/O94)&lt;1400,ageer7corr(V94,1/O94,P94/O94*(1/O94),Q94,R94,$W$2,0.05),ageerPb76(Q94,R94))</f>
        <v>#NAME?</v>
      </c>
      <c r="X94" s="4" t="e">
        <f ca="1">agePb6U8(L94)/agePb7u5(J94)</f>
        <v>#NAME?</v>
      </c>
      <c r="Y94" s="3"/>
      <c r="Z94" s="1">
        <v>1.8380000000000001</v>
      </c>
      <c r="AA94" s="1">
        <v>5.8999999999999997E-2</v>
      </c>
      <c r="AB94" s="1">
        <v>0.1719</v>
      </c>
      <c r="AC94" s="1">
        <v>5.4000000000000003E-3</v>
      </c>
      <c r="AD94" s="1">
        <v>0.98109000000000002</v>
      </c>
      <c r="AE94" s="1">
        <v>5.8173360000000001</v>
      </c>
      <c r="AF94" s="1">
        <v>0.1827435</v>
      </c>
      <c r="AG94" s="1">
        <v>7.7729999999999994E-2</v>
      </c>
      <c r="AH94" s="1">
        <v>5.9999999999999995E-4</v>
      </c>
      <c r="AI94" s="1">
        <v>-2.4462999999999999E-2</v>
      </c>
      <c r="AJ94" s="1">
        <v>6.2399999999999997E-2</v>
      </c>
      <c r="AK94" s="1">
        <v>1.8E-3</v>
      </c>
      <c r="AL94" s="1">
        <v>4.03</v>
      </c>
      <c r="AM94" s="1">
        <v>0.33</v>
      </c>
      <c r="AN94" s="1">
        <v>1058</v>
      </c>
      <c r="AO94" s="1">
        <v>21</v>
      </c>
      <c r="AP94" s="1">
        <v>1022</v>
      </c>
      <c r="AQ94" s="1">
        <v>30</v>
      </c>
      <c r="AR94" s="1">
        <v>1223</v>
      </c>
      <c r="AS94" s="1">
        <v>33</v>
      </c>
      <c r="AT94" s="1">
        <v>1140</v>
      </c>
      <c r="AU94" s="1">
        <v>15</v>
      </c>
      <c r="AV94" s="1">
        <v>37.1</v>
      </c>
      <c r="AW94" s="1">
        <v>1.7</v>
      </c>
      <c r="AX94" s="1">
        <v>10.200000000000001</v>
      </c>
      <c r="AY94" s="1">
        <v>1.4</v>
      </c>
      <c r="AZ94" s="1">
        <v>50301</v>
      </c>
      <c r="BA94" s="1">
        <v>5464.7999999999993</v>
      </c>
      <c r="BB94" s="1">
        <v>19126.8</v>
      </c>
      <c r="BC94" s="1">
        <v>683.09999999999991</v>
      </c>
      <c r="BD94" s="1">
        <v>245916</v>
      </c>
      <c r="BE94" s="1">
        <v>9936</v>
      </c>
      <c r="BF94" s="1">
        <v>37.881</v>
      </c>
      <c r="BG94" s="1">
        <v>9.9359999999999999</v>
      </c>
      <c r="BH94" s="1">
        <f t="shared" si="14"/>
        <v>6491.8032786885242</v>
      </c>
      <c r="BI94" s="1">
        <f t="shared" si="15"/>
        <v>1722.8516537381292</v>
      </c>
      <c r="BJ94" s="27">
        <v>1062.4000000000001</v>
      </c>
      <c r="BK94" s="27">
        <v>22</v>
      </c>
      <c r="BL94" s="27">
        <v>1022.1</v>
      </c>
      <c r="BM94" s="27">
        <v>35.700000000000003</v>
      </c>
      <c r="BN94" s="27">
        <v>1146</v>
      </c>
      <c r="BO94" s="27">
        <v>50.9</v>
      </c>
      <c r="BP94" s="27">
        <v>1069.5</v>
      </c>
      <c r="BQ94" s="27">
        <v>21.7</v>
      </c>
      <c r="BR94" s="27">
        <v>3.6</v>
      </c>
    </row>
    <row r="95" spans="1:70" x14ac:dyDescent="0.2">
      <c r="A95" t="s">
        <v>419</v>
      </c>
      <c r="B95" t="s">
        <v>38</v>
      </c>
      <c r="C95" t="s">
        <v>420</v>
      </c>
      <c r="D95" t="s">
        <v>421</v>
      </c>
      <c r="E95">
        <v>83875</v>
      </c>
      <c r="F95">
        <v>49305</v>
      </c>
      <c r="G95" t="s">
        <v>421</v>
      </c>
      <c r="H95" s="1">
        <v>390</v>
      </c>
      <c r="I95" s="1">
        <v>105.6</v>
      </c>
      <c r="J95" s="10">
        <v>1.806</v>
      </c>
      <c r="K95" s="10">
        <f t="shared" ca="1" si="8"/>
        <v>8.4146624412391013E-2</v>
      </c>
      <c r="L95" s="7">
        <v>0.17330000000000001</v>
      </c>
      <c r="M95" s="7">
        <f t="shared" ca="1" si="9"/>
        <v>7.8110918570965483E-3</v>
      </c>
      <c r="N95" s="7">
        <v>0.99682000000000004</v>
      </c>
      <c r="O95" s="8">
        <v>5.77034</v>
      </c>
      <c r="P95" s="8">
        <f t="shared" ca="1" si="10"/>
        <v>0.26008458304766929</v>
      </c>
      <c r="Q95" s="9">
        <v>7.5469999999999995E-2</v>
      </c>
      <c r="R95" s="9">
        <f t="shared" ca="1" si="11"/>
        <v>1.5517372071327026E-3</v>
      </c>
      <c r="S95" s="8">
        <f t="shared" si="12"/>
        <v>0.49925596676880829</v>
      </c>
      <c r="T95" s="11">
        <v>5.9299999999999999E-2</v>
      </c>
      <c r="U95" s="11">
        <f t="shared" ca="1" si="13"/>
        <v>2.6770498687921371E-3</v>
      </c>
      <c r="V95" s="6" t="e">
        <f ca="1">IF(agePb6U8(1/O95)&lt;1400,age7corr(1/O95,Q95,$W$2),agePb76(Q95))</f>
        <v>#NAME?</v>
      </c>
      <c r="W95" s="6" t="e">
        <f ca="1">IF(agePb6U8(1/O95)&lt;1400,ageer7corr(V95,1/O95,P95/O95*(1/O95),Q95,R95,$W$2,0.05),ageerPb76(Q95,R95))</f>
        <v>#NAME?</v>
      </c>
      <c r="X95" s="4" t="e">
        <f ca="1">agePb6U8(L95)/agePb7u5(J95)</f>
        <v>#NAME?</v>
      </c>
      <c r="Y95" s="3"/>
      <c r="Z95" s="1">
        <v>1.806</v>
      </c>
      <c r="AA95" s="1">
        <v>7.5999999999999998E-2</v>
      </c>
      <c r="AB95" s="1">
        <v>0.17330000000000001</v>
      </c>
      <c r="AC95" s="1">
        <v>7.0000000000000001E-3</v>
      </c>
      <c r="AD95" s="1">
        <v>0.99682000000000004</v>
      </c>
      <c r="AE95" s="1">
        <v>5.77034</v>
      </c>
      <c r="AF95" s="1">
        <v>0.2330778</v>
      </c>
      <c r="AG95" s="1">
        <v>7.5469999999999995E-2</v>
      </c>
      <c r="AH95" s="1">
        <v>3.6000000000000002E-4</v>
      </c>
      <c r="AI95" s="1">
        <v>-0.47574</v>
      </c>
      <c r="AJ95" s="1">
        <v>5.9299999999999999E-2</v>
      </c>
      <c r="AK95" s="1">
        <v>2.3999999999999998E-3</v>
      </c>
      <c r="AL95" s="1">
        <v>11.49</v>
      </c>
      <c r="AM95" s="1">
        <v>0.1</v>
      </c>
      <c r="AN95" s="1">
        <v>1046</v>
      </c>
      <c r="AO95" s="1">
        <v>27</v>
      </c>
      <c r="AP95" s="1">
        <v>1030</v>
      </c>
      <c r="AQ95" s="1">
        <v>38</v>
      </c>
      <c r="AR95" s="1">
        <v>1164</v>
      </c>
      <c r="AS95" s="1">
        <v>46</v>
      </c>
      <c r="AT95" s="1">
        <v>1080.8</v>
      </c>
      <c r="AU95" s="1">
        <v>9.5</v>
      </c>
      <c r="AV95" s="1">
        <v>85.1</v>
      </c>
      <c r="AW95" s="1">
        <v>2.2999999999999998</v>
      </c>
      <c r="AX95" s="1">
        <v>8.35</v>
      </c>
      <c r="AY95" s="1">
        <v>0.27999999999999997</v>
      </c>
      <c r="AZ95" s="1">
        <v>40116.6</v>
      </c>
      <c r="BA95" s="1">
        <v>1366.1999999999998</v>
      </c>
      <c r="BB95" s="1">
        <v>42849</v>
      </c>
      <c r="BC95" s="1">
        <v>1366.1999999999998</v>
      </c>
      <c r="BD95" s="1">
        <v>570078.00000000012</v>
      </c>
      <c r="BE95" s="1">
        <v>16767</v>
      </c>
      <c r="BF95" s="1">
        <v>3.9744000000000006</v>
      </c>
      <c r="BG95" s="1">
        <v>4.7196000000000007</v>
      </c>
      <c r="BH95" s="1">
        <f t="shared" si="14"/>
        <v>143437.5</v>
      </c>
      <c r="BI95" s="1">
        <f t="shared" si="15"/>
        <v>170384.26782221848</v>
      </c>
      <c r="BJ95" s="27">
        <v>1042.3</v>
      </c>
      <c r="BK95" s="27">
        <v>25.6</v>
      </c>
      <c r="BL95" s="27">
        <v>1030.3</v>
      </c>
      <c r="BM95" s="27">
        <v>42.9</v>
      </c>
      <c r="BN95" s="27">
        <v>1067.5999999999999</v>
      </c>
      <c r="BO95" s="27">
        <v>53.6</v>
      </c>
      <c r="BP95" s="27">
        <v>1046.2</v>
      </c>
      <c r="BQ95" s="27">
        <v>24</v>
      </c>
      <c r="BR95" s="27">
        <v>1.2</v>
      </c>
    </row>
    <row r="96" spans="1:70" x14ac:dyDescent="0.2">
      <c r="A96" t="s">
        <v>707</v>
      </c>
      <c r="B96" t="s">
        <v>38</v>
      </c>
      <c r="C96" t="s">
        <v>708</v>
      </c>
      <c r="D96" t="s">
        <v>709</v>
      </c>
      <c r="E96">
        <v>82983</v>
      </c>
      <c r="F96">
        <v>50155</v>
      </c>
      <c r="G96" t="s">
        <v>709</v>
      </c>
      <c r="H96" s="1">
        <v>587.70000000000005</v>
      </c>
      <c r="I96" s="1">
        <v>268.2</v>
      </c>
      <c r="J96" s="10">
        <v>2.6190000000000002</v>
      </c>
      <c r="K96" s="10">
        <f t="shared" ca="1" si="8"/>
        <v>8.0403136754731153E-2</v>
      </c>
      <c r="L96" s="7">
        <v>0.2147</v>
      </c>
      <c r="M96" s="7">
        <f t="shared" ca="1" si="9"/>
        <v>6.5152464266518733E-3</v>
      </c>
      <c r="N96" s="7">
        <v>0.99644999999999995</v>
      </c>
      <c r="O96" s="8">
        <v>4.6576620000000002</v>
      </c>
      <c r="P96" s="8">
        <f t="shared" ca="1" si="10"/>
        <v>0.14134055448662849</v>
      </c>
      <c r="Q96" s="9">
        <v>8.8660000000000003E-2</v>
      </c>
      <c r="R96" s="9">
        <f t="shared" ca="1" si="11"/>
        <v>1.7855918458595178E-3</v>
      </c>
      <c r="S96" s="8">
        <f t="shared" si="12"/>
        <v>0.51838648816950761</v>
      </c>
      <c r="T96" s="11">
        <v>7.3599999999999999E-2</v>
      </c>
      <c r="U96" s="11">
        <f t="shared" ca="1" si="13"/>
        <v>2.483301028872658E-3</v>
      </c>
      <c r="V96" s="6" t="e">
        <f ca="1">IF(agePb6U8(1/O96)&lt;1400,age7corr(1/O96,Q96,$W$2),agePb76(Q96))</f>
        <v>#NAME?</v>
      </c>
      <c r="W96" s="6" t="e">
        <f ca="1">IF(agePb6U8(1/O96)&lt;1400,ageer7corr(V96,1/O96,P96/O96*(1/O96),Q96,R96,$W$2,0.05),ageerPb76(Q96,R96))</f>
        <v>#NAME?</v>
      </c>
      <c r="X96" s="4" t="e">
        <f ca="1">agePb6U8(L96)/agePb7u5(J96)</f>
        <v>#NAME?</v>
      </c>
      <c r="Y96" s="3"/>
      <c r="Z96" s="1">
        <v>2.6190000000000002</v>
      </c>
      <c r="AA96" s="1">
        <v>6.0999999999999999E-2</v>
      </c>
      <c r="AB96" s="1">
        <v>0.2147</v>
      </c>
      <c r="AC96" s="1">
        <v>4.8999999999999998E-3</v>
      </c>
      <c r="AD96" s="1">
        <v>0.99644999999999995</v>
      </c>
      <c r="AE96" s="1">
        <v>4.6576620000000002</v>
      </c>
      <c r="AF96" s="1">
        <v>0.1062997</v>
      </c>
      <c r="AG96" s="1">
        <v>8.8660000000000003E-2</v>
      </c>
      <c r="AH96" s="1">
        <v>2.1000000000000001E-4</v>
      </c>
      <c r="AI96" s="1">
        <v>0.11771</v>
      </c>
      <c r="AJ96" s="1">
        <v>7.3599999999999999E-2</v>
      </c>
      <c r="AK96" s="1">
        <v>2E-3</v>
      </c>
      <c r="AL96" s="1">
        <v>6.79</v>
      </c>
      <c r="AM96" s="1">
        <v>4.9000000000000002E-2</v>
      </c>
      <c r="AN96" s="1">
        <v>1305</v>
      </c>
      <c r="AO96" s="1">
        <v>17</v>
      </c>
      <c r="AP96" s="1">
        <v>1253</v>
      </c>
      <c r="AQ96" s="1">
        <v>26</v>
      </c>
      <c r="AR96" s="1">
        <v>1436</v>
      </c>
      <c r="AS96" s="1">
        <v>37</v>
      </c>
      <c r="AT96" s="1">
        <v>1396.9</v>
      </c>
      <c r="AU96" s="1">
        <v>4.5</v>
      </c>
      <c r="AV96" s="1">
        <v>127.1</v>
      </c>
      <c r="AW96" s="1">
        <v>2.1</v>
      </c>
      <c r="AX96" s="1">
        <v>21.12</v>
      </c>
      <c r="AY96" s="1">
        <v>0.76999999999999991</v>
      </c>
      <c r="AZ96" s="1">
        <v>127988.09999999999</v>
      </c>
      <c r="BA96" s="1">
        <v>2608.1999999999998</v>
      </c>
      <c r="BB96" s="1">
        <v>94826.7</v>
      </c>
      <c r="BC96" s="1">
        <v>1366.1999999999998</v>
      </c>
      <c r="BD96" s="1">
        <v>1083645</v>
      </c>
      <c r="BE96" s="1">
        <v>17388</v>
      </c>
      <c r="BF96" s="1">
        <v>14.345099999999999</v>
      </c>
      <c r="BG96" s="1">
        <v>4.7816999999999998</v>
      </c>
      <c r="BH96" s="1">
        <f t="shared" si="14"/>
        <v>75541.125541125555</v>
      </c>
      <c r="BI96" s="1">
        <f t="shared" si="15"/>
        <v>25209.532563245375</v>
      </c>
      <c r="BJ96" s="27">
        <v>1309.7</v>
      </c>
      <c r="BK96" s="27">
        <v>19.5</v>
      </c>
      <c r="BL96" s="27">
        <v>1253.2</v>
      </c>
      <c r="BM96" s="27">
        <v>34.200000000000003</v>
      </c>
      <c r="BN96" s="27">
        <v>1403.3</v>
      </c>
      <c r="BO96" s="27">
        <v>43</v>
      </c>
      <c r="BP96" s="27">
        <v>1316.8</v>
      </c>
      <c r="BQ96" s="27">
        <v>19.399999999999999</v>
      </c>
      <c r="BR96" s="27">
        <v>4.0999999999999996</v>
      </c>
    </row>
    <row r="97" spans="1:70" x14ac:dyDescent="0.2">
      <c r="A97" t="s">
        <v>710</v>
      </c>
      <c r="B97" t="s">
        <v>38</v>
      </c>
      <c r="C97" t="s">
        <v>711</v>
      </c>
      <c r="D97" t="s">
        <v>712</v>
      </c>
      <c r="E97">
        <v>82968</v>
      </c>
      <c r="F97">
        <v>50408</v>
      </c>
      <c r="G97" t="s">
        <v>712</v>
      </c>
      <c r="H97" s="1">
        <v>329.7</v>
      </c>
      <c r="I97" s="1">
        <v>23.1</v>
      </c>
      <c r="J97" s="10">
        <v>1.8180000000000001</v>
      </c>
      <c r="K97" s="10">
        <f t="shared" ca="1" si="8"/>
        <v>6.7609537788687779E-2</v>
      </c>
      <c r="L97" s="7">
        <v>0.1716</v>
      </c>
      <c r="M97" s="7">
        <f t="shared" ca="1" si="9"/>
        <v>6.3141605934597519E-3</v>
      </c>
      <c r="N97" s="7">
        <v>0.99511000000000005</v>
      </c>
      <c r="O97" s="8">
        <v>5.8275059999999996</v>
      </c>
      <c r="P97" s="8">
        <f t="shared" ca="1" si="10"/>
        <v>0.21442781218495049</v>
      </c>
      <c r="Q97" s="9">
        <v>7.6929999999999998E-2</v>
      </c>
      <c r="R97" s="9">
        <f t="shared" ca="1" si="11"/>
        <v>1.562110738712208E-3</v>
      </c>
      <c r="S97" s="8">
        <f t="shared" si="12"/>
        <v>0.41957162786690694</v>
      </c>
      <c r="T97" s="11">
        <v>6.2700000000000006E-2</v>
      </c>
      <c r="U97" s="11">
        <f t="shared" ca="1" si="13"/>
        <v>2.886609776190748E-3</v>
      </c>
      <c r="V97" s="6" t="e">
        <f ca="1">IF(agePb6U8(1/O97)&lt;1400,age7corr(1/O97,Q97,$W$2),agePb76(Q97))</f>
        <v>#NAME?</v>
      </c>
      <c r="W97" s="6" t="e">
        <f ca="1">IF(agePb6U8(1/O97)&lt;1400,ageer7corr(V97,1/O97,P97/O97*(1/O97),Q97,R97,$W$2,0.05),ageerPb76(Q97,R97))</f>
        <v>#NAME?</v>
      </c>
      <c r="X97" s="4" t="e">
        <f ca="1">agePb6U8(L97)/agePb7u5(J97)</f>
        <v>#NAME?</v>
      </c>
      <c r="Y97" s="3"/>
      <c r="Z97" s="1">
        <v>1.8180000000000001</v>
      </c>
      <c r="AA97" s="1">
        <v>5.7000000000000002E-2</v>
      </c>
      <c r="AB97" s="1">
        <v>0.1716</v>
      </c>
      <c r="AC97" s="1">
        <v>5.3E-3</v>
      </c>
      <c r="AD97" s="1">
        <v>0.99511000000000005</v>
      </c>
      <c r="AE97" s="1">
        <v>5.8275059999999996</v>
      </c>
      <c r="AF97" s="1">
        <v>0.17998710000000001</v>
      </c>
      <c r="AG97" s="1">
        <v>7.6929999999999998E-2</v>
      </c>
      <c r="AH97" s="1">
        <v>2.7E-4</v>
      </c>
      <c r="AI97" s="1">
        <v>-0.12519</v>
      </c>
      <c r="AJ97" s="1">
        <v>6.2700000000000006E-2</v>
      </c>
      <c r="AK97" s="1">
        <v>2.5999999999999999E-3</v>
      </c>
      <c r="AL97" s="1">
        <v>42.9</v>
      </c>
      <c r="AM97" s="1">
        <v>1.1000000000000001</v>
      </c>
      <c r="AN97" s="1">
        <v>1051</v>
      </c>
      <c r="AO97" s="1">
        <v>21</v>
      </c>
      <c r="AP97" s="1">
        <v>1021</v>
      </c>
      <c r="AQ97" s="1">
        <v>29</v>
      </c>
      <c r="AR97" s="1">
        <v>1229</v>
      </c>
      <c r="AS97" s="1">
        <v>50</v>
      </c>
      <c r="AT97" s="1">
        <v>1119.3</v>
      </c>
      <c r="AU97" s="1">
        <v>7</v>
      </c>
      <c r="AV97" s="1">
        <v>71.3</v>
      </c>
      <c r="AW97" s="1">
        <v>1.5</v>
      </c>
      <c r="AX97" s="1">
        <v>1.82</v>
      </c>
      <c r="AY97" s="1">
        <v>0.1</v>
      </c>
      <c r="AZ97" s="1">
        <v>9035.5500000000011</v>
      </c>
      <c r="BA97" s="1">
        <v>329.13</v>
      </c>
      <c r="BB97" s="1">
        <v>36452.699999999997</v>
      </c>
      <c r="BC97" s="1">
        <v>683.09999999999991</v>
      </c>
      <c r="BD97" s="1">
        <v>477548.99999999994</v>
      </c>
      <c r="BE97" s="1">
        <v>8072.9999999999982</v>
      </c>
      <c r="BF97" s="1">
        <v>49.679999999999993</v>
      </c>
      <c r="BG97" s="1">
        <v>6.8310000000000004</v>
      </c>
      <c r="BH97" s="1">
        <f t="shared" si="14"/>
        <v>9612.5</v>
      </c>
      <c r="BI97" s="1">
        <f t="shared" si="15"/>
        <v>1331.6706440038254</v>
      </c>
      <c r="BJ97" s="27">
        <v>1052.8</v>
      </c>
      <c r="BK97" s="27">
        <v>22.6</v>
      </c>
      <c r="BL97" s="27">
        <v>1020.5</v>
      </c>
      <c r="BM97" s="27">
        <v>34</v>
      </c>
      <c r="BN97" s="27">
        <v>1120.3</v>
      </c>
      <c r="BO97" s="27">
        <v>51.8</v>
      </c>
      <c r="BP97" s="27">
        <v>1055.7</v>
      </c>
      <c r="BQ97" s="27">
        <v>22.7</v>
      </c>
      <c r="BR97" s="27">
        <v>2.8</v>
      </c>
    </row>
    <row r="98" spans="1:70" x14ac:dyDescent="0.2">
      <c r="A98" t="s">
        <v>713</v>
      </c>
      <c r="B98" t="s">
        <v>38</v>
      </c>
      <c r="C98" t="s">
        <v>714</v>
      </c>
      <c r="D98" t="s">
        <v>715</v>
      </c>
      <c r="E98">
        <v>82983</v>
      </c>
      <c r="F98">
        <v>50719</v>
      </c>
      <c r="G98" t="s">
        <v>715</v>
      </c>
      <c r="H98" s="1">
        <v>225.1</v>
      </c>
      <c r="I98" s="1">
        <v>103.5</v>
      </c>
      <c r="J98" s="10">
        <v>2.1579999999999999</v>
      </c>
      <c r="K98" s="10">
        <f t="shared" ca="1" si="8"/>
        <v>6.3810544583164305E-2</v>
      </c>
      <c r="L98" s="7">
        <v>0.19409999999999999</v>
      </c>
      <c r="M98" s="7">
        <f t="shared" ca="1" si="9"/>
        <v>5.943056789228923E-3</v>
      </c>
      <c r="N98" s="7">
        <v>0.98621999999999999</v>
      </c>
      <c r="O98" s="8">
        <v>5.1519839999999997</v>
      </c>
      <c r="P98" s="8">
        <f t="shared" ca="1" si="10"/>
        <v>0.15774616851366755</v>
      </c>
      <c r="Q98" s="9">
        <v>8.0909999999999996E-2</v>
      </c>
      <c r="R98" s="9">
        <f t="shared" ca="1" si="11"/>
        <v>1.6669046883370385E-3</v>
      </c>
      <c r="S98" s="8">
        <f t="shared" si="12"/>
        <v>0.48372525775392633</v>
      </c>
      <c r="T98" s="11">
        <v>6.6000000000000003E-2</v>
      </c>
      <c r="U98" s="11">
        <f t="shared" ca="1" si="13"/>
        <v>1.7839282496782208E-3</v>
      </c>
      <c r="V98" s="6" t="e">
        <f ca="1">IF(agePb6U8(1/O98)&lt;1400,age7corr(1/O98,Q98,$W$2),agePb76(Q98))</f>
        <v>#NAME?</v>
      </c>
      <c r="W98" s="6" t="e">
        <f ca="1">IF(agePb6U8(1/O98)&lt;1400,ageer7corr(V98,1/O98,P98/O98*(1/O98),Q98,R98,$W$2,0.05),ageerPb76(Q98,R98))</f>
        <v>#NAME?</v>
      </c>
      <c r="X98" s="4" t="e">
        <f ca="1">agePb6U8(L98)/agePb7u5(J98)</f>
        <v>#NAME?</v>
      </c>
      <c r="Y98" s="3"/>
      <c r="Z98" s="1">
        <v>2.1579999999999999</v>
      </c>
      <c r="AA98" s="1">
        <v>4.7E-2</v>
      </c>
      <c r="AB98" s="1">
        <v>0.19409999999999999</v>
      </c>
      <c r="AC98" s="1">
        <v>4.4999999999999997E-3</v>
      </c>
      <c r="AD98" s="1">
        <v>0.98621999999999999</v>
      </c>
      <c r="AE98" s="1">
        <v>5.1519839999999997</v>
      </c>
      <c r="AF98" s="1">
        <v>0.1194432</v>
      </c>
      <c r="AG98" s="1">
        <v>8.0909999999999996E-2</v>
      </c>
      <c r="AH98" s="1">
        <v>4.0000000000000002E-4</v>
      </c>
      <c r="AI98" s="1">
        <v>6.0561999999999998E-2</v>
      </c>
      <c r="AJ98" s="1">
        <v>6.6000000000000003E-2</v>
      </c>
      <c r="AK98" s="1">
        <v>1.1999999999999999E-3</v>
      </c>
      <c r="AL98" s="1">
        <v>6.7089999999999996</v>
      </c>
      <c r="AM98" s="1">
        <v>3.1E-2</v>
      </c>
      <c r="AN98" s="1">
        <v>1167</v>
      </c>
      <c r="AO98" s="1">
        <v>15</v>
      </c>
      <c r="AP98" s="1">
        <v>1143</v>
      </c>
      <c r="AQ98" s="1">
        <v>24</v>
      </c>
      <c r="AR98" s="1">
        <v>1292</v>
      </c>
      <c r="AS98" s="1">
        <v>23</v>
      </c>
      <c r="AT98" s="1">
        <v>1219.0999999999999</v>
      </c>
      <c r="AU98" s="1">
        <v>9.6</v>
      </c>
      <c r="AV98" s="1">
        <v>48.7</v>
      </c>
      <c r="AW98" s="1">
        <v>1</v>
      </c>
      <c r="AX98" s="1">
        <v>8.1499999999999986</v>
      </c>
      <c r="AY98" s="1">
        <v>0.15</v>
      </c>
      <c r="AZ98" s="1">
        <v>44463.6</v>
      </c>
      <c r="BA98" s="1">
        <v>931.50000000000011</v>
      </c>
      <c r="BB98" s="1">
        <v>29870.1</v>
      </c>
      <c r="BC98" s="1">
        <v>621</v>
      </c>
      <c r="BD98" s="1">
        <v>372600</v>
      </c>
      <c r="BE98" s="1">
        <v>7452.0000000000009</v>
      </c>
      <c r="BF98" s="1">
        <v>6.2100000000000002E-3</v>
      </c>
      <c r="BG98" s="1">
        <v>3.9123000000000001</v>
      </c>
      <c r="BH98" s="1">
        <f t="shared" si="14"/>
        <v>60000000</v>
      </c>
      <c r="BI98" s="1">
        <f t="shared" si="15"/>
        <v>37800000019.047623</v>
      </c>
      <c r="BJ98" s="27">
        <v>1170.7</v>
      </c>
      <c r="BK98" s="27">
        <v>20.100000000000001</v>
      </c>
      <c r="BL98" s="27">
        <v>1144</v>
      </c>
      <c r="BM98" s="27">
        <v>32.6</v>
      </c>
      <c r="BN98" s="27">
        <v>1220.5999999999999</v>
      </c>
      <c r="BO98" s="27">
        <v>48.5</v>
      </c>
      <c r="BP98" s="27">
        <v>1172</v>
      </c>
      <c r="BQ98" s="27">
        <v>20.2</v>
      </c>
      <c r="BR98" s="27">
        <v>2.1</v>
      </c>
    </row>
    <row r="99" spans="1:70" x14ac:dyDescent="0.2">
      <c r="A99" t="s">
        <v>716</v>
      </c>
      <c r="B99" t="s">
        <v>38</v>
      </c>
      <c r="C99" t="s">
        <v>717</v>
      </c>
      <c r="D99" t="s">
        <v>718</v>
      </c>
      <c r="E99">
        <v>82965</v>
      </c>
      <c r="F99">
        <v>50919</v>
      </c>
      <c r="G99" t="s">
        <v>718</v>
      </c>
      <c r="H99" s="1">
        <v>104</v>
      </c>
      <c r="I99" s="1">
        <v>29.59</v>
      </c>
      <c r="J99" s="10">
        <v>2.476</v>
      </c>
      <c r="K99" s="10">
        <f t="shared" ca="1" si="8"/>
        <v>6.7588685443645075E-2</v>
      </c>
      <c r="L99" s="7">
        <v>0.2135</v>
      </c>
      <c r="M99" s="7">
        <f t="shared" ca="1" si="9"/>
        <v>5.782983658977431E-3</v>
      </c>
      <c r="N99" s="7">
        <v>0.98260999999999998</v>
      </c>
      <c r="O99" s="8">
        <v>4.6838410000000001</v>
      </c>
      <c r="P99" s="8">
        <f t="shared" ca="1" si="10"/>
        <v>0.1268692050099503</v>
      </c>
      <c r="Q99" s="9">
        <v>8.4589999999999999E-2</v>
      </c>
      <c r="R99" s="9">
        <f t="shared" ca="1" si="11"/>
        <v>1.7506248141734996E-3</v>
      </c>
      <c r="S99" s="8">
        <f t="shared" si="12"/>
        <v>0.53231471987419321</v>
      </c>
      <c r="T99" s="11">
        <v>7.3300000000000004E-2</v>
      </c>
      <c r="U99" s="11">
        <f t="shared" ca="1" si="13"/>
        <v>1.959376431418935E-3</v>
      </c>
      <c r="V99" s="6" t="e">
        <f ca="1">IF(agePb6U8(1/O99)&lt;1400,age7corr(1/O99,Q99,$W$2),agePb76(Q99))</f>
        <v>#NAME?</v>
      </c>
      <c r="W99" s="6" t="e">
        <f ca="1">IF(agePb6U8(1/O99)&lt;1400,ageer7corr(V99,1/O99,P99/O99*(1/O99),Q99,R99,$W$2,0.05),ageerPb76(Q99,R99))</f>
        <v>#NAME?</v>
      </c>
      <c r="X99" s="4" t="e">
        <f ca="1">agePb6U8(L99)/agePb7u5(J99)</f>
        <v>#NAME?</v>
      </c>
      <c r="Y99" s="3"/>
      <c r="Z99" s="1">
        <v>2.476</v>
      </c>
      <c r="AA99" s="1">
        <v>4.5999999999999999E-2</v>
      </c>
      <c r="AB99" s="1">
        <v>0.2135</v>
      </c>
      <c r="AC99" s="1">
        <v>3.8999999999999998E-3</v>
      </c>
      <c r="AD99" s="1">
        <v>0.98260999999999998</v>
      </c>
      <c r="AE99" s="1">
        <v>4.6838410000000001</v>
      </c>
      <c r="AF99" s="1">
        <v>8.5559620000000003E-2</v>
      </c>
      <c r="AG99" s="1">
        <v>8.4589999999999999E-2</v>
      </c>
      <c r="AH99" s="1">
        <v>4.4999999999999999E-4</v>
      </c>
      <c r="AI99" s="1">
        <v>-0.14274999999999999</v>
      </c>
      <c r="AJ99" s="1">
        <v>7.3300000000000004E-2</v>
      </c>
      <c r="AK99" s="1">
        <v>1.2999999999999999E-3</v>
      </c>
      <c r="AL99" s="1">
        <v>10.97</v>
      </c>
      <c r="AM99" s="1">
        <v>5.2999999999999999E-2</v>
      </c>
      <c r="AN99" s="1">
        <v>1265</v>
      </c>
      <c r="AO99" s="1">
        <v>13</v>
      </c>
      <c r="AP99" s="1">
        <v>1247</v>
      </c>
      <c r="AQ99" s="1">
        <v>20</v>
      </c>
      <c r="AR99" s="1">
        <v>1430</v>
      </c>
      <c r="AS99" s="1">
        <v>25</v>
      </c>
      <c r="AT99" s="1">
        <v>1306</v>
      </c>
      <c r="AU99" s="1">
        <v>10</v>
      </c>
      <c r="AV99" s="1">
        <v>22.48</v>
      </c>
      <c r="AW99" s="1">
        <v>0.42000000000000004</v>
      </c>
      <c r="AX99" s="1">
        <v>2.3289999999999997</v>
      </c>
      <c r="AY99" s="1">
        <v>4.9000000000000002E-2</v>
      </c>
      <c r="AZ99" s="1">
        <v>13947.660000000002</v>
      </c>
      <c r="BA99" s="1">
        <v>229.77</v>
      </c>
      <c r="BB99" s="1">
        <v>15910.019999999999</v>
      </c>
      <c r="BC99" s="1">
        <v>235.98</v>
      </c>
      <c r="BD99" s="1">
        <v>190957.5</v>
      </c>
      <c r="BE99" s="1">
        <v>3415.5</v>
      </c>
      <c r="BF99" s="1">
        <v>-6.2099999999999991</v>
      </c>
      <c r="BG99" s="1">
        <v>6.8310000000000004</v>
      </c>
      <c r="BH99" s="1">
        <f t="shared" si="14"/>
        <v>-30750.000000000004</v>
      </c>
      <c r="BI99" s="1">
        <f t="shared" si="15"/>
        <v>-33829.471249193375</v>
      </c>
      <c r="BJ99" s="27">
        <v>1272.9000000000001</v>
      </c>
      <c r="BK99" s="27">
        <v>18.2</v>
      </c>
      <c r="BL99" s="27">
        <v>1248.4000000000001</v>
      </c>
      <c r="BM99" s="27">
        <v>31.5</v>
      </c>
      <c r="BN99" s="27">
        <v>1314.7</v>
      </c>
      <c r="BO99" s="27">
        <v>45.6</v>
      </c>
      <c r="BP99" s="27">
        <v>1273.5999999999999</v>
      </c>
      <c r="BQ99" s="27">
        <v>18.3</v>
      </c>
      <c r="BR99" s="27">
        <v>1.8</v>
      </c>
    </row>
    <row r="100" spans="1:70" x14ac:dyDescent="0.2">
      <c r="A100" t="s">
        <v>719</v>
      </c>
      <c r="B100" t="s">
        <v>38</v>
      </c>
      <c r="C100" t="s">
        <v>720</v>
      </c>
      <c r="D100" t="s">
        <v>721</v>
      </c>
      <c r="E100">
        <v>83123</v>
      </c>
      <c r="F100">
        <v>51215</v>
      </c>
      <c r="G100" t="s">
        <v>721</v>
      </c>
      <c r="H100" s="1">
        <v>242.6</v>
      </c>
      <c r="I100" s="1">
        <v>57.8</v>
      </c>
      <c r="J100" s="10">
        <v>2.1389999999999998</v>
      </c>
      <c r="K100" s="10">
        <f t="shared" ca="1" si="8"/>
        <v>6.3554137552168849E-2</v>
      </c>
      <c r="L100" s="7">
        <v>0.1938</v>
      </c>
      <c r="M100" s="7">
        <f t="shared" ca="1" si="9"/>
        <v>6.0920748518054181E-3</v>
      </c>
      <c r="N100" s="7">
        <v>0.98833000000000004</v>
      </c>
      <c r="O100" s="8">
        <v>5.1599589999999997</v>
      </c>
      <c r="P100" s="8">
        <f t="shared" ca="1" si="10"/>
        <v>0.16220254276540302</v>
      </c>
      <c r="Q100" s="9">
        <v>8.0259999999999998E-2</v>
      </c>
      <c r="R100" s="9">
        <f t="shared" ca="1" si="11"/>
        <v>1.6472908182831589E-3</v>
      </c>
      <c r="S100" s="8">
        <f t="shared" si="12"/>
        <v>0.54980556081638876</v>
      </c>
      <c r="T100" s="11">
        <v>6.7100000000000007E-2</v>
      </c>
      <c r="U100" s="11">
        <f t="shared" ca="1" si="13"/>
        <v>2.0882921251587387E-3</v>
      </c>
      <c r="V100" s="6" t="e">
        <f ca="1">IF(agePb6U8(1/O100)&lt;1400,age7corr(1/O100,Q100,$W$2),agePb76(Q100))</f>
        <v>#NAME?</v>
      </c>
      <c r="W100" s="6" t="e">
        <f ca="1">IF(agePb6U8(1/O100)&lt;1400,ageer7corr(V100,1/O100,P100/O100*(1/O100),Q100,R100,$W$2,0.05),ageerPb76(Q100,R100))</f>
        <v>#NAME?</v>
      </c>
      <c r="X100" s="4" t="e">
        <f ca="1">agePb6U8(L100)/agePb7u5(J100)</f>
        <v>#NAME?</v>
      </c>
      <c r="Y100" s="3"/>
      <c r="Z100" s="1">
        <v>2.1389999999999998</v>
      </c>
      <c r="AA100" s="1">
        <v>4.7E-2</v>
      </c>
      <c r="AB100" s="1">
        <v>0.1938</v>
      </c>
      <c r="AC100" s="1">
        <v>4.7000000000000002E-3</v>
      </c>
      <c r="AD100" s="1">
        <v>0.98833000000000004</v>
      </c>
      <c r="AE100" s="1">
        <v>5.1599589999999997</v>
      </c>
      <c r="AF100" s="1">
        <v>0.12513830000000001</v>
      </c>
      <c r="AG100" s="1">
        <v>8.0259999999999998E-2</v>
      </c>
      <c r="AH100" s="1">
        <v>3.6999999999999999E-4</v>
      </c>
      <c r="AI100" s="1">
        <v>0.30007</v>
      </c>
      <c r="AJ100" s="1">
        <v>6.7100000000000007E-2</v>
      </c>
      <c r="AK100" s="1">
        <v>1.6000000000000001E-3</v>
      </c>
      <c r="AL100" s="1">
        <v>12.794</v>
      </c>
      <c r="AM100" s="1">
        <v>4.4999999999999998E-2</v>
      </c>
      <c r="AN100" s="1">
        <v>1161</v>
      </c>
      <c r="AO100" s="1">
        <v>15</v>
      </c>
      <c r="AP100" s="1">
        <v>1142</v>
      </c>
      <c r="AQ100" s="1">
        <v>25</v>
      </c>
      <c r="AR100" s="1">
        <v>1312</v>
      </c>
      <c r="AS100" s="1">
        <v>31</v>
      </c>
      <c r="AT100" s="1">
        <v>1203.3</v>
      </c>
      <c r="AU100" s="1">
        <v>9</v>
      </c>
      <c r="AV100" s="1">
        <v>52.43</v>
      </c>
      <c r="AW100" s="1">
        <v>0.75</v>
      </c>
      <c r="AX100" s="1">
        <v>4.55</v>
      </c>
      <c r="AY100" s="1">
        <v>9.2999999999999999E-2</v>
      </c>
      <c r="AZ100" s="1">
        <v>24690.959999999999</v>
      </c>
      <c r="BA100" s="1">
        <v>397.43999999999994</v>
      </c>
      <c r="BB100" s="1">
        <v>31298.400000000001</v>
      </c>
      <c r="BC100" s="1">
        <v>447.12</v>
      </c>
      <c r="BD100" s="1">
        <v>393093</v>
      </c>
      <c r="BE100" s="1">
        <v>6210</v>
      </c>
      <c r="BF100" s="1">
        <v>6.2099999999999991</v>
      </c>
      <c r="BG100" s="1">
        <v>6.8310000000000004</v>
      </c>
      <c r="BH100" s="1">
        <f t="shared" si="14"/>
        <v>63300.000000000007</v>
      </c>
      <c r="BI100" s="1">
        <f t="shared" si="15"/>
        <v>69637.180442634257</v>
      </c>
      <c r="BJ100" s="27">
        <v>1160.8</v>
      </c>
      <c r="BK100" s="27">
        <v>18.7</v>
      </c>
      <c r="BL100" s="27">
        <v>1141.9000000000001</v>
      </c>
      <c r="BM100" s="27">
        <v>32.4</v>
      </c>
      <c r="BN100" s="27">
        <v>1196.0999999999999</v>
      </c>
      <c r="BO100" s="27">
        <v>49.3</v>
      </c>
      <c r="BP100" s="27">
        <v>1161.8</v>
      </c>
      <c r="BQ100" s="27">
        <v>18.7</v>
      </c>
      <c r="BR100" s="27">
        <v>1.5</v>
      </c>
    </row>
    <row r="101" spans="1:70" x14ac:dyDescent="0.2">
      <c r="A101" t="s">
        <v>722</v>
      </c>
      <c r="B101" t="s">
        <v>38</v>
      </c>
      <c r="C101" t="s">
        <v>723</v>
      </c>
      <c r="D101" t="s">
        <v>724</v>
      </c>
      <c r="E101">
        <v>83018</v>
      </c>
      <c r="F101">
        <v>51453</v>
      </c>
      <c r="G101" t="s">
        <v>724</v>
      </c>
      <c r="H101" s="1">
        <v>37.450000000000003</v>
      </c>
      <c r="I101" s="1">
        <v>23.83</v>
      </c>
      <c r="J101" s="10">
        <v>2.532</v>
      </c>
      <c r="K101" s="10">
        <f t="shared" ca="1" si="8"/>
        <v>8.6396814756100823E-2</v>
      </c>
      <c r="L101" s="7">
        <v>0.2152</v>
      </c>
      <c r="M101" s="7">
        <f t="shared" ca="1" si="9"/>
        <v>7.1424376791120849E-3</v>
      </c>
      <c r="N101" s="7">
        <v>0.95694000000000001</v>
      </c>
      <c r="O101" s="8">
        <v>4.6468400000000001</v>
      </c>
      <c r="P101" s="8">
        <f t="shared" ca="1" si="10"/>
        <v>0.15422753360823743</v>
      </c>
      <c r="Q101" s="9">
        <v>8.4290000000000004E-2</v>
      </c>
      <c r="R101" s="9">
        <f t="shared" ca="1" si="11"/>
        <v>1.9157300540525014E-3</v>
      </c>
      <c r="S101" s="8">
        <f t="shared" si="12"/>
        <v>0.5954361719917356</v>
      </c>
      <c r="T101" s="11">
        <v>7.7100000000000002E-2</v>
      </c>
      <c r="U101" s="11">
        <f t="shared" ca="1" si="13"/>
        <v>2.8526766378263067E-3</v>
      </c>
      <c r="V101" s="6" t="e">
        <f ca="1">IF(agePb6U8(1/O101)&lt;1400,age7corr(1/O101,Q101,$W$2),agePb76(Q101))</f>
        <v>#NAME?</v>
      </c>
      <c r="W101" s="6" t="e">
        <f ca="1">IF(agePb6U8(1/O101)&lt;1400,ageer7corr(V101,1/O101,P101/O101*(1/O101),Q101,R101,$W$2,0.05),ageerPb76(Q101,R101))</f>
        <v>#NAME?</v>
      </c>
      <c r="X101" s="4" t="e">
        <f ca="1">agePb6U8(L101)/agePb7u5(J101)</f>
        <v>#NAME?</v>
      </c>
      <c r="Y101" s="3"/>
      <c r="Z101" s="1">
        <v>2.532</v>
      </c>
      <c r="AA101" s="1">
        <v>7.0000000000000007E-2</v>
      </c>
      <c r="AB101" s="1">
        <v>0.2152</v>
      </c>
      <c r="AC101" s="1">
        <v>5.7000000000000002E-3</v>
      </c>
      <c r="AD101" s="1">
        <v>0.95694000000000001</v>
      </c>
      <c r="AE101" s="1">
        <v>4.6468400000000001</v>
      </c>
      <c r="AF101" s="1">
        <v>0.1230808</v>
      </c>
      <c r="AG101" s="1">
        <v>8.4290000000000004E-2</v>
      </c>
      <c r="AH101" s="1">
        <v>9.1E-4</v>
      </c>
      <c r="AI101" s="1">
        <v>-1.9671000000000001E-2</v>
      </c>
      <c r="AJ101" s="1">
        <v>7.7100000000000002E-2</v>
      </c>
      <c r="AK101" s="1">
        <v>2.3999999999999998E-3</v>
      </c>
      <c r="AL101" s="1">
        <v>4.6029999999999998</v>
      </c>
      <c r="AM101" s="1">
        <v>2.7E-2</v>
      </c>
      <c r="AN101" s="1">
        <v>1280</v>
      </c>
      <c r="AO101" s="1">
        <v>20</v>
      </c>
      <c r="AP101" s="1">
        <v>1256</v>
      </c>
      <c r="AQ101" s="1">
        <v>30</v>
      </c>
      <c r="AR101" s="1">
        <v>1501</v>
      </c>
      <c r="AS101" s="1">
        <v>44</v>
      </c>
      <c r="AT101" s="1">
        <v>1299</v>
      </c>
      <c r="AU101" s="1">
        <v>21</v>
      </c>
      <c r="AV101" s="1">
        <v>8.0950000000000006</v>
      </c>
      <c r="AW101" s="1">
        <v>9.6000000000000002E-2</v>
      </c>
      <c r="AX101" s="1">
        <v>1.875</v>
      </c>
      <c r="AY101" s="1">
        <v>0.05</v>
      </c>
      <c r="AZ101" s="1">
        <v>12010.140000000001</v>
      </c>
      <c r="BA101" s="1">
        <v>279.45000000000005</v>
      </c>
      <c r="BB101" s="1">
        <v>5713.2</v>
      </c>
      <c r="BC101" s="1">
        <v>117.99</v>
      </c>
      <c r="BD101" s="1">
        <v>68744.7</v>
      </c>
      <c r="BE101" s="1">
        <v>1366.1999999999998</v>
      </c>
      <c r="BF101" s="1">
        <v>0.621</v>
      </c>
      <c r="BG101" s="1">
        <v>6.2099999999999991</v>
      </c>
      <c r="BH101" s="1">
        <f t="shared" si="14"/>
        <v>110700</v>
      </c>
      <c r="BI101" s="1">
        <f t="shared" si="15"/>
        <v>1107002.186086369</v>
      </c>
      <c r="BJ101" s="27">
        <v>1269</v>
      </c>
      <c r="BK101" s="27">
        <v>19</v>
      </c>
      <c r="BL101" s="27">
        <v>1255.7</v>
      </c>
      <c r="BM101" s="27">
        <v>36.799999999999997</v>
      </c>
      <c r="BN101" s="27">
        <v>1291.7</v>
      </c>
      <c r="BO101" s="27">
        <v>46.3</v>
      </c>
      <c r="BP101" s="27">
        <v>1271.0999999999999</v>
      </c>
      <c r="BQ101" s="27">
        <v>18.5</v>
      </c>
      <c r="BR101" s="27">
        <v>1</v>
      </c>
    </row>
    <row r="102" spans="1:70" x14ac:dyDescent="0.2">
      <c r="A102" t="s">
        <v>725</v>
      </c>
      <c r="B102" t="s">
        <v>38</v>
      </c>
      <c r="C102" t="s">
        <v>726</v>
      </c>
      <c r="D102" t="s">
        <v>727</v>
      </c>
      <c r="E102">
        <v>83070</v>
      </c>
      <c r="F102">
        <v>51752</v>
      </c>
      <c r="G102" t="s">
        <v>727</v>
      </c>
      <c r="H102" s="1">
        <v>63.1</v>
      </c>
      <c r="I102" s="1">
        <v>30.62</v>
      </c>
      <c r="J102" s="10">
        <v>1.899</v>
      </c>
      <c r="K102" s="10">
        <f t="shared" ca="1" si="8"/>
        <v>6.0427480503492781E-2</v>
      </c>
      <c r="L102" s="7">
        <v>0.18110000000000001</v>
      </c>
      <c r="M102" s="7">
        <f t="shared" ca="1" si="9"/>
        <v>5.7765806494846066E-3</v>
      </c>
      <c r="N102" s="7">
        <v>0.92954000000000003</v>
      </c>
      <c r="O102" s="8">
        <v>5.5218109999999996</v>
      </c>
      <c r="P102" s="8">
        <f t="shared" ca="1" si="10"/>
        <v>0.1761302491173177</v>
      </c>
      <c r="Q102" s="9">
        <v>7.6410000000000006E-2</v>
      </c>
      <c r="R102" s="9">
        <f t="shared" ca="1" si="11"/>
        <v>1.6417658907408206E-3</v>
      </c>
      <c r="S102" s="8">
        <f t="shared" si="12"/>
        <v>0.51098342306736555</v>
      </c>
      <c r="T102" s="11">
        <v>6.3399999999999998E-2</v>
      </c>
      <c r="U102" s="11">
        <f t="shared" ca="1" si="13"/>
        <v>2.2017774637778449E-3</v>
      </c>
      <c r="V102" s="6" t="e">
        <f ca="1">IF(agePb6U8(1/O102)&lt;1400,age7corr(1/O102,Q102,$W$2),agePb76(Q102))</f>
        <v>#NAME?</v>
      </c>
      <c r="W102" s="6" t="e">
        <f ca="1">IF(agePb6U8(1/O102)&lt;1400,ageer7corr(V102,1/O102,P102/O102*(1/O102),Q102,R102,$W$2,0.05),ageerPb76(Q102,R102))</f>
        <v>#NAME?</v>
      </c>
      <c r="X102" s="4" t="e">
        <f ca="1">agePb6U8(L102)/agePb7u5(J102)</f>
        <v>#NAME?</v>
      </c>
      <c r="Y102" s="3"/>
      <c r="Z102" s="1">
        <v>1.899</v>
      </c>
      <c r="AA102" s="1">
        <v>4.7E-2</v>
      </c>
      <c r="AB102" s="1">
        <v>0.18110000000000001</v>
      </c>
      <c r="AC102" s="1">
        <v>4.4999999999999997E-3</v>
      </c>
      <c r="AD102" s="1">
        <v>0.92954000000000003</v>
      </c>
      <c r="AE102" s="1">
        <v>5.5218109999999996</v>
      </c>
      <c r="AF102" s="1">
        <v>0.13720679999999999</v>
      </c>
      <c r="AG102" s="1">
        <v>7.6410000000000006E-2</v>
      </c>
      <c r="AH102" s="1">
        <v>5.9999999999999995E-4</v>
      </c>
      <c r="AI102" s="1">
        <v>0.11914</v>
      </c>
      <c r="AJ102" s="1">
        <v>6.3399999999999998E-2</v>
      </c>
      <c r="AK102" s="1">
        <v>1.8E-3</v>
      </c>
      <c r="AL102" s="1">
        <v>6.1619999999999999</v>
      </c>
      <c r="AM102" s="1">
        <v>6.0999999999999999E-2</v>
      </c>
      <c r="AN102" s="1">
        <v>1080</v>
      </c>
      <c r="AO102" s="1">
        <v>17</v>
      </c>
      <c r="AP102" s="1">
        <v>1073</v>
      </c>
      <c r="AQ102" s="1">
        <v>25</v>
      </c>
      <c r="AR102" s="1">
        <v>1241</v>
      </c>
      <c r="AS102" s="1">
        <v>34</v>
      </c>
      <c r="AT102" s="1">
        <v>1105</v>
      </c>
      <c r="AU102" s="1">
        <v>16</v>
      </c>
      <c r="AV102" s="1">
        <v>13.639999999999999</v>
      </c>
      <c r="AW102" s="1">
        <v>0.28999999999999998</v>
      </c>
      <c r="AX102" s="1">
        <v>2.4099999999999997</v>
      </c>
      <c r="AY102" s="1">
        <v>5.0999999999999997E-2</v>
      </c>
      <c r="AZ102" s="1">
        <v>12482.1</v>
      </c>
      <c r="BA102" s="1">
        <v>235.98</v>
      </c>
      <c r="BB102" s="1">
        <v>7240.86</v>
      </c>
      <c r="BC102" s="1">
        <v>149.04</v>
      </c>
      <c r="BD102" s="1">
        <v>95820.3</v>
      </c>
      <c r="BE102" s="1">
        <v>2049.3000000000002</v>
      </c>
      <c r="BF102" s="1">
        <v>-0.12420000000000002</v>
      </c>
      <c r="BG102" s="1">
        <v>6.8310000000000004</v>
      </c>
      <c r="BH102" s="1">
        <f t="shared" si="14"/>
        <v>-771499.99999999988</v>
      </c>
      <c r="BI102" s="1">
        <f t="shared" si="15"/>
        <v>-42432503.208036155</v>
      </c>
      <c r="BJ102" s="27">
        <v>1080.2</v>
      </c>
      <c r="BK102" s="27">
        <v>19.7</v>
      </c>
      <c r="BL102" s="27">
        <v>1073.3</v>
      </c>
      <c r="BM102" s="27">
        <v>32.200000000000003</v>
      </c>
      <c r="BN102" s="27">
        <v>1094.2</v>
      </c>
      <c r="BO102" s="27">
        <v>52.7</v>
      </c>
      <c r="BP102" s="27">
        <v>1080.5</v>
      </c>
      <c r="BQ102" s="27">
        <v>19.7</v>
      </c>
      <c r="BR102" s="27">
        <v>0.56999999999999995</v>
      </c>
    </row>
    <row r="103" spans="1:70" x14ac:dyDescent="0.2">
      <c r="A103" t="s">
        <v>728</v>
      </c>
      <c r="B103" t="s">
        <v>38</v>
      </c>
      <c r="C103" t="s">
        <v>729</v>
      </c>
      <c r="D103" t="s">
        <v>730</v>
      </c>
      <c r="E103">
        <v>83070</v>
      </c>
      <c r="F103">
        <v>51910</v>
      </c>
      <c r="G103" t="s">
        <v>730</v>
      </c>
      <c r="H103" s="1">
        <v>160</v>
      </c>
      <c r="I103" s="1">
        <v>67.7</v>
      </c>
      <c r="J103" s="10">
        <v>1.8919999999999999</v>
      </c>
      <c r="K103" s="10">
        <f t="shared" ca="1" si="8"/>
        <v>5.9563962259070714E-2</v>
      </c>
      <c r="L103" s="7">
        <v>0.18079999999999999</v>
      </c>
      <c r="M103" s="7">
        <f t="shared" ca="1" si="9"/>
        <v>5.5421526503697093E-3</v>
      </c>
      <c r="N103" s="7">
        <v>0.97479000000000005</v>
      </c>
      <c r="O103" s="8">
        <v>5.5309730000000004</v>
      </c>
      <c r="P103" s="8">
        <f t="shared" ca="1" si="10"/>
        <v>0.16954368214619972</v>
      </c>
      <c r="Q103" s="9">
        <v>7.6189999999999994E-2</v>
      </c>
      <c r="R103" s="9">
        <f t="shared" ca="1" si="11"/>
        <v>1.606880966344427E-3</v>
      </c>
      <c r="S103" s="8">
        <f t="shared" si="12"/>
        <v>0.4592275543943799</v>
      </c>
      <c r="T103" s="11">
        <v>6.4699999999999994E-2</v>
      </c>
      <c r="U103" s="11">
        <f t="shared" ca="1" si="13"/>
        <v>2.2987901165613181E-3</v>
      </c>
      <c r="V103" s="6" t="e">
        <f ca="1">IF(agePb6U8(1/O103)&lt;1400,age7corr(1/O103,Q103,$W$2),agePb76(Q103))</f>
        <v>#NAME?</v>
      </c>
      <c r="W103" s="6" t="e">
        <f ca="1">IF(agePb6U8(1/O103)&lt;1400,ageer7corr(V103,1/O103,P103/O103*(1/O103),Q103,R103,$W$2,0.05),ageerPb76(Q103,R103))</f>
        <v>#NAME?</v>
      </c>
      <c r="X103" s="4" t="e">
        <f ca="1">agePb6U8(L103)/agePb7u5(J103)</f>
        <v>#NAME?</v>
      </c>
      <c r="Y103" s="3"/>
      <c r="Z103" s="1">
        <v>1.8919999999999999</v>
      </c>
      <c r="AA103" s="1">
        <v>4.5999999999999999E-2</v>
      </c>
      <c r="AB103" s="1">
        <v>0.18079999999999999</v>
      </c>
      <c r="AC103" s="1">
        <v>4.1999999999999997E-3</v>
      </c>
      <c r="AD103" s="1">
        <v>0.97479000000000005</v>
      </c>
      <c r="AE103" s="1">
        <v>5.5309730000000004</v>
      </c>
      <c r="AF103" s="1">
        <v>0.12848499999999999</v>
      </c>
      <c r="AG103" s="1">
        <v>7.6189999999999994E-2</v>
      </c>
      <c r="AH103" s="1">
        <v>5.1000000000000004E-4</v>
      </c>
      <c r="AI103" s="1">
        <v>0.15870999999999999</v>
      </c>
      <c r="AJ103" s="1">
        <v>6.4699999999999994E-2</v>
      </c>
      <c r="AK103" s="1">
        <v>1.9E-3</v>
      </c>
      <c r="AL103" s="1">
        <v>7.01</v>
      </c>
      <c r="AM103" s="1">
        <v>2.5999999999999999E-2</v>
      </c>
      <c r="AN103" s="1">
        <v>1078</v>
      </c>
      <c r="AO103" s="1">
        <v>16</v>
      </c>
      <c r="AP103" s="1">
        <v>1071</v>
      </c>
      <c r="AQ103" s="1">
        <v>23</v>
      </c>
      <c r="AR103" s="1">
        <v>1267</v>
      </c>
      <c r="AS103" s="1">
        <v>35</v>
      </c>
      <c r="AT103" s="1">
        <v>1100</v>
      </c>
      <c r="AU103" s="1">
        <v>13</v>
      </c>
      <c r="AV103" s="1">
        <v>34.58</v>
      </c>
      <c r="AW103" s="1">
        <v>0.66</v>
      </c>
      <c r="AX103" s="1">
        <v>5.33</v>
      </c>
      <c r="AY103" s="1">
        <v>0.12000000000000001</v>
      </c>
      <c r="AZ103" s="1">
        <v>27994.680000000004</v>
      </c>
      <c r="BA103" s="1">
        <v>571.31999999999994</v>
      </c>
      <c r="BB103" s="1">
        <v>18269.82</v>
      </c>
      <c r="BC103" s="1">
        <v>366.39</v>
      </c>
      <c r="BD103" s="1">
        <v>244487.7</v>
      </c>
      <c r="BE103" s="1">
        <v>4409.1000000000004</v>
      </c>
      <c r="BF103" s="1">
        <v>8.6940000000000008</v>
      </c>
      <c r="BG103" s="1">
        <v>7.4519999999999991</v>
      </c>
      <c r="BH103" s="1">
        <f t="shared" si="14"/>
        <v>28121.428571428569</v>
      </c>
      <c r="BI103" s="1">
        <f t="shared" si="15"/>
        <v>24109.416111369297</v>
      </c>
      <c r="BJ103" s="27">
        <v>1079</v>
      </c>
      <c r="BK103" s="27">
        <v>19.899999999999999</v>
      </c>
      <c r="BL103" s="27">
        <v>1071.5</v>
      </c>
      <c r="BM103" s="27">
        <v>30.3</v>
      </c>
      <c r="BN103" s="27">
        <v>1094.2</v>
      </c>
      <c r="BO103" s="27">
        <v>52.7</v>
      </c>
      <c r="BP103" s="27">
        <v>1078.8</v>
      </c>
      <c r="BQ103" s="27">
        <v>19.899999999999999</v>
      </c>
      <c r="BR103" s="27">
        <v>0.61</v>
      </c>
    </row>
    <row r="104" spans="1:70" s="23" customFormat="1" x14ac:dyDescent="0.2">
      <c r="A104" s="23" t="s">
        <v>737</v>
      </c>
      <c r="B104" s="23" t="s">
        <v>38</v>
      </c>
      <c r="C104" s="23" t="s">
        <v>738</v>
      </c>
      <c r="D104" s="23" t="s">
        <v>739</v>
      </c>
      <c r="E104" s="23">
        <v>83131</v>
      </c>
      <c r="F104" s="23">
        <v>52170</v>
      </c>
      <c r="G104" s="23" t="s">
        <v>739</v>
      </c>
      <c r="H104" s="24">
        <v>73.599999999999994</v>
      </c>
      <c r="I104" s="24">
        <v>89.8</v>
      </c>
      <c r="J104" s="25">
        <v>6.31</v>
      </c>
      <c r="K104" s="25">
        <f t="shared" ca="1" si="8"/>
        <v>0.37205703863789485</v>
      </c>
      <c r="L104" s="26">
        <v>0.26790000000000003</v>
      </c>
      <c r="M104" s="26">
        <f t="shared" ca="1" si="9"/>
        <v>9.1360912867593444E-3</v>
      </c>
      <c r="N104" s="26">
        <v>0.74406000000000005</v>
      </c>
      <c r="O104" s="26">
        <v>3.7327360000000001</v>
      </c>
      <c r="P104" s="26">
        <f t="shared" ca="1" si="10"/>
        <v>0.12729610434667041</v>
      </c>
      <c r="Q104" s="25">
        <v>0.16869999999999999</v>
      </c>
      <c r="R104" s="25">
        <f t="shared" ca="1" si="11"/>
        <v>7.4124136419927347E-3</v>
      </c>
      <c r="S104" s="26">
        <f t="shared" si="12"/>
        <v>0.29977440265511529</v>
      </c>
      <c r="T104" s="25">
        <v>0.13400000000000001</v>
      </c>
      <c r="U104" s="25">
        <f t="shared" ca="1" si="13"/>
        <v>6.298603019717945E-3</v>
      </c>
      <c r="V104" s="24" t="e">
        <f ca="1">IF(agePb6U8(1/O104)&lt;1400,age7corr(1/O104,Q104,$W$2),agePb76(Q104))</f>
        <v>#NAME?</v>
      </c>
      <c r="W104" s="24" t="e">
        <f ca="1">IF(agePb6U8(1/O104)&lt;1400,ageer7corr(V104,1/O104,P104/O104*(1/O104),Q104,R104,$W$2,0.05),ageerPb76(Q104,R104))</f>
        <v>#NAME?</v>
      </c>
      <c r="X104" s="26" t="e">
        <f ca="1">agePb6U8(L104)/agePb7u5(J104)</f>
        <v>#NAME?</v>
      </c>
      <c r="Y104" s="24"/>
      <c r="Z104" s="24">
        <v>6.31</v>
      </c>
      <c r="AA104" s="24">
        <v>0.35</v>
      </c>
      <c r="AB104" s="24">
        <v>0.26790000000000003</v>
      </c>
      <c r="AC104" s="24">
        <v>7.4000000000000003E-3</v>
      </c>
      <c r="AD104" s="24">
        <v>0.74406000000000005</v>
      </c>
      <c r="AE104" s="24">
        <v>3.7327360000000001</v>
      </c>
      <c r="AF104" s="24">
        <v>0.10310660000000001</v>
      </c>
      <c r="AG104" s="24">
        <v>0.16869999999999999</v>
      </c>
      <c r="AH104" s="24">
        <v>6.6E-3</v>
      </c>
      <c r="AI104" s="24">
        <v>-0.23111999999999999</v>
      </c>
      <c r="AJ104" s="24">
        <v>0.13400000000000001</v>
      </c>
      <c r="AK104" s="24">
        <v>5.7000000000000002E-3</v>
      </c>
      <c r="AL104" s="24">
        <v>1.7569999999999999</v>
      </c>
      <c r="AM104" s="24">
        <v>4.7E-2</v>
      </c>
      <c r="AN104" s="24">
        <v>2025</v>
      </c>
      <c r="AO104" s="24">
        <v>52</v>
      </c>
      <c r="AP104" s="24">
        <v>1530</v>
      </c>
      <c r="AQ104" s="24">
        <v>37</v>
      </c>
      <c r="AR104" s="24">
        <v>2540</v>
      </c>
      <c r="AS104" s="24">
        <v>100</v>
      </c>
      <c r="AT104" s="24">
        <v>2552</v>
      </c>
      <c r="AU104" s="24">
        <v>68</v>
      </c>
      <c r="AV104" s="24">
        <v>15.9</v>
      </c>
      <c r="AW104" s="24">
        <v>0.44</v>
      </c>
      <c r="AX104" s="24">
        <v>7.0629999999999997</v>
      </c>
      <c r="AY104" s="24">
        <v>8.6000000000000007E-2</v>
      </c>
      <c r="AZ104" s="24">
        <v>77873.399999999994</v>
      </c>
      <c r="BA104" s="24">
        <v>3663.8999999999996</v>
      </c>
      <c r="BB104" s="24">
        <v>28628.1</v>
      </c>
      <c r="BC104" s="24">
        <v>1676.7</v>
      </c>
      <c r="BD104" s="24">
        <v>169284.6</v>
      </c>
      <c r="BE104" s="24">
        <v>4657.5</v>
      </c>
      <c r="BF104" s="24">
        <v>1037.07</v>
      </c>
      <c r="BG104" s="24">
        <v>105.57000000000001</v>
      </c>
      <c r="BH104" s="24">
        <f t="shared" si="14"/>
        <v>163.23353293413174</v>
      </c>
      <c r="BI104" s="24">
        <f t="shared" si="15"/>
        <v>17.212792104344523</v>
      </c>
      <c r="BJ104" s="27">
        <v>2010.7</v>
      </c>
      <c r="BK104" s="27">
        <v>39.799999999999997</v>
      </c>
      <c r="BL104" s="27">
        <v>1531.1</v>
      </c>
      <c r="BM104" s="27">
        <v>47.5</v>
      </c>
      <c r="BN104" s="27">
        <v>2547</v>
      </c>
      <c r="BO104" s="27">
        <v>69.400000000000006</v>
      </c>
      <c r="BP104" s="27">
        <v>1727.5</v>
      </c>
      <c r="BQ104" s="27">
        <v>50.7</v>
      </c>
      <c r="BR104" s="27">
        <v>34</v>
      </c>
    </row>
    <row r="105" spans="1:70" x14ac:dyDescent="0.2">
      <c r="A105" t="s">
        <v>740</v>
      </c>
      <c r="B105" t="s">
        <v>38</v>
      </c>
      <c r="C105" t="s">
        <v>741</v>
      </c>
      <c r="D105" t="s">
        <v>742</v>
      </c>
      <c r="E105">
        <v>82991</v>
      </c>
      <c r="F105">
        <v>52361</v>
      </c>
      <c r="G105" t="s">
        <v>742</v>
      </c>
      <c r="H105" s="1">
        <v>82.5</v>
      </c>
      <c r="I105" s="1">
        <v>24.7</v>
      </c>
      <c r="J105" s="10">
        <v>2.1890000000000001</v>
      </c>
      <c r="K105" s="10">
        <f t="shared" ca="1" si="8"/>
        <v>7.6718240334355953E-2</v>
      </c>
      <c r="L105" s="7">
        <v>0.19939999999999999</v>
      </c>
      <c r="M105" s="7">
        <f t="shared" ca="1" si="9"/>
        <v>6.712983241450852E-3</v>
      </c>
      <c r="N105" s="7">
        <v>0.98643000000000003</v>
      </c>
      <c r="O105" s="8">
        <v>5.0150449999999998</v>
      </c>
      <c r="P105" s="8">
        <f t="shared" ca="1" si="10"/>
        <v>0.16883610884079273</v>
      </c>
      <c r="Q105" s="9">
        <v>7.9869999999999997E-2</v>
      </c>
      <c r="R105" s="9">
        <f t="shared" ca="1" si="11"/>
        <v>1.6799067712227366E-3</v>
      </c>
      <c r="S105" s="8">
        <f t="shared" si="12"/>
        <v>0.47001233445396029</v>
      </c>
      <c r="T105" s="11">
        <v>7.9399999999999998E-2</v>
      </c>
      <c r="U105" s="11">
        <f t="shared" ca="1" si="13"/>
        <v>3.0465954769217391E-3</v>
      </c>
      <c r="V105" s="6" t="e">
        <f ca="1">IF(agePb6U8(1/O105)&lt;1400,age7corr(1/O105,Q105,$W$2),agePb76(Q105))</f>
        <v>#NAME?</v>
      </c>
      <c r="W105" s="6" t="e">
        <f ca="1">IF(agePb6U8(1/O105)&lt;1400,ageer7corr(V105,1/O105,P105/O105*(1/O105),Q105,R105,$W$2,0.05),ageerPb76(Q105,R105))</f>
        <v>#NAME?</v>
      </c>
      <c r="X105" s="4" t="e">
        <f ca="1">agePb6U8(L105)/agePb7u5(J105)</f>
        <v>#NAME?</v>
      </c>
      <c r="Y105" s="3"/>
      <c r="Z105" s="1">
        <v>2.1890000000000001</v>
      </c>
      <c r="AA105" s="1">
        <v>6.3E-2</v>
      </c>
      <c r="AB105" s="1">
        <v>0.19939999999999999</v>
      </c>
      <c r="AC105" s="1">
        <v>5.4000000000000003E-3</v>
      </c>
      <c r="AD105" s="1">
        <v>0.98643000000000003</v>
      </c>
      <c r="AE105" s="1">
        <v>5.0150449999999998</v>
      </c>
      <c r="AF105" s="1">
        <v>0.13581370000000001</v>
      </c>
      <c r="AG105" s="1">
        <v>7.9869999999999997E-2</v>
      </c>
      <c r="AH105" s="1">
        <v>5.1999999999999995E-4</v>
      </c>
      <c r="AI105" s="1">
        <v>-0.30127999999999999</v>
      </c>
      <c r="AJ105" s="1">
        <v>7.9399999999999998E-2</v>
      </c>
      <c r="AK105" s="1">
        <v>2.5999999999999999E-3</v>
      </c>
      <c r="AL105" s="1">
        <v>8.8520000000000003</v>
      </c>
      <c r="AM105" s="1">
        <v>3.7999999999999999E-2</v>
      </c>
      <c r="AN105" s="1">
        <v>1177</v>
      </c>
      <c r="AO105" s="1">
        <v>20</v>
      </c>
      <c r="AP105" s="1">
        <v>1172</v>
      </c>
      <c r="AQ105" s="1">
        <v>29</v>
      </c>
      <c r="AR105" s="1">
        <v>1544</v>
      </c>
      <c r="AS105" s="1">
        <v>48</v>
      </c>
      <c r="AT105" s="1">
        <v>1196</v>
      </c>
      <c r="AU105" s="1">
        <v>12</v>
      </c>
      <c r="AV105" s="1">
        <v>17.829999999999998</v>
      </c>
      <c r="AW105" s="1">
        <v>0.34</v>
      </c>
      <c r="AX105" s="1">
        <v>1.9400000000000002</v>
      </c>
      <c r="AY105" s="1">
        <v>7.8E-2</v>
      </c>
      <c r="AZ105" s="1">
        <v>12463.47</v>
      </c>
      <c r="BA105" s="1">
        <v>235.98</v>
      </c>
      <c r="BB105" s="1">
        <v>10948.230000000001</v>
      </c>
      <c r="BC105" s="1">
        <v>229.77</v>
      </c>
      <c r="BD105" s="1">
        <v>138296.69999999998</v>
      </c>
      <c r="BE105" s="1">
        <v>2608.1999999999998</v>
      </c>
      <c r="BF105" s="1">
        <v>5.7752999999999997</v>
      </c>
      <c r="BG105" s="1">
        <v>5.8995000000000006</v>
      </c>
      <c r="BH105" s="1">
        <f t="shared" si="14"/>
        <v>23946.236559139783</v>
      </c>
      <c r="BI105" s="1">
        <f t="shared" si="15"/>
        <v>24465.377964707026</v>
      </c>
      <c r="BJ105" s="27">
        <v>1179.9000000000001</v>
      </c>
      <c r="BK105" s="27">
        <v>21.8</v>
      </c>
      <c r="BL105" s="27">
        <v>1171</v>
      </c>
      <c r="BM105" s="27">
        <v>36.299999999999997</v>
      </c>
      <c r="BN105" s="27">
        <v>1196.0999999999999</v>
      </c>
      <c r="BO105" s="27">
        <v>49.3</v>
      </c>
      <c r="BP105" s="27">
        <v>1181</v>
      </c>
      <c r="BQ105" s="27">
        <v>21.6</v>
      </c>
      <c r="BR105" s="27">
        <v>0.7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31D3-44CC-D544-890C-4C9DA61BDE1F}">
  <dimension ref="A1:BR71"/>
  <sheetViews>
    <sheetView topLeftCell="A40" workbookViewId="0">
      <selection activeCell="BJ2" sqref="BJ2:BR71"/>
    </sheetView>
  </sheetViews>
  <sheetFormatPr baseColWidth="10" defaultRowHeight="15" x14ac:dyDescent="0.2"/>
  <cols>
    <col min="4" max="4" width="22.33203125" customWidth="1"/>
  </cols>
  <sheetData>
    <row r="1" spans="1:70" ht="17" x14ac:dyDescent="0.2">
      <c r="B1" t="s">
        <v>0</v>
      </c>
      <c r="C1" t="s">
        <v>1</v>
      </c>
      <c r="D1" t="s">
        <v>1109</v>
      </c>
      <c r="E1" t="s">
        <v>1110</v>
      </c>
      <c r="F1" t="s">
        <v>1111</v>
      </c>
      <c r="G1" t="s">
        <v>2</v>
      </c>
      <c r="H1" s="1" t="s">
        <v>1104</v>
      </c>
      <c r="I1" s="1" t="s">
        <v>1105</v>
      </c>
      <c r="J1" s="12" t="s">
        <v>1097</v>
      </c>
      <c r="K1" s="13" t="s">
        <v>1102</v>
      </c>
      <c r="L1" s="14" t="s">
        <v>1098</v>
      </c>
      <c r="M1" s="15" t="s">
        <v>1102</v>
      </c>
      <c r="N1" s="15" t="s">
        <v>1108</v>
      </c>
      <c r="O1" s="16" t="s">
        <v>1099</v>
      </c>
      <c r="P1" s="17" t="s">
        <v>1102</v>
      </c>
      <c r="Q1" s="18" t="s">
        <v>1100</v>
      </c>
      <c r="R1" s="19" t="s">
        <v>1102</v>
      </c>
      <c r="S1" s="17" t="s">
        <v>1108</v>
      </c>
      <c r="T1" s="20" t="s">
        <v>1106</v>
      </c>
      <c r="U1" s="21" t="s">
        <v>1102</v>
      </c>
      <c r="V1" s="22" t="s">
        <v>1101</v>
      </c>
      <c r="W1" s="22" t="s">
        <v>1102</v>
      </c>
      <c r="X1" s="5" t="s">
        <v>1103</v>
      </c>
      <c r="Y1" s="3"/>
      <c r="Z1" s="1" t="s">
        <v>3</v>
      </c>
      <c r="AA1" s="1" t="s">
        <v>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14</v>
      </c>
      <c r="AL1" s="1" t="s">
        <v>15</v>
      </c>
      <c r="AM1" s="1" t="s">
        <v>16</v>
      </c>
      <c r="AN1" s="1" t="s">
        <v>17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23</v>
      </c>
      <c r="AU1" s="1" t="s">
        <v>24</v>
      </c>
      <c r="AV1" s="1" t="s">
        <v>35</v>
      </c>
      <c r="AW1" s="1" t="s">
        <v>36</v>
      </c>
      <c r="AX1" s="1" t="s">
        <v>25</v>
      </c>
      <c r="AY1" s="1" t="s">
        <v>26</v>
      </c>
      <c r="AZ1" s="1" t="s">
        <v>27</v>
      </c>
      <c r="BA1" s="1" t="s">
        <v>28</v>
      </c>
      <c r="BB1" s="1" t="s">
        <v>29</v>
      </c>
      <c r="BC1" s="1" t="s">
        <v>30</v>
      </c>
      <c r="BD1" s="1" t="s">
        <v>31</v>
      </c>
      <c r="BE1" s="1" t="s">
        <v>32</v>
      </c>
      <c r="BF1" s="1" t="s">
        <v>33</v>
      </c>
      <c r="BG1" s="1" t="s">
        <v>34</v>
      </c>
      <c r="BH1" s="2" t="s">
        <v>1107</v>
      </c>
      <c r="BI1" s="1" t="s">
        <v>1102</v>
      </c>
      <c r="BJ1" s="1" t="s">
        <v>1112</v>
      </c>
      <c r="BK1" s="1" t="s">
        <v>1113</v>
      </c>
      <c r="BL1" s="1" t="s">
        <v>1114</v>
      </c>
      <c r="BM1" s="1" t="s">
        <v>1115</v>
      </c>
      <c r="BN1" s="1" t="s">
        <v>1116</v>
      </c>
      <c r="BO1" s="1" t="s">
        <v>1117</v>
      </c>
      <c r="BP1" s="1" t="s">
        <v>1118</v>
      </c>
      <c r="BQ1" s="1" t="s">
        <v>1119</v>
      </c>
      <c r="BR1" s="1" t="s">
        <v>1120</v>
      </c>
    </row>
    <row r="2" spans="1:70" s="23" customFormat="1" x14ac:dyDescent="0.2">
      <c r="A2" s="23" t="s">
        <v>764</v>
      </c>
      <c r="B2" s="23" t="s">
        <v>38</v>
      </c>
      <c r="C2" s="23" t="s">
        <v>765</v>
      </c>
      <c r="D2" s="23" t="s">
        <v>766</v>
      </c>
      <c r="E2" s="23">
        <v>78545</v>
      </c>
      <c r="F2" s="23">
        <v>39579</v>
      </c>
      <c r="G2" s="23" t="s">
        <v>766</v>
      </c>
      <c r="H2" s="24">
        <v>193.9</v>
      </c>
      <c r="I2" s="24">
        <v>122.6</v>
      </c>
      <c r="J2" s="25">
        <v>0.27700000000000002</v>
      </c>
      <c r="K2" s="25">
        <f t="shared" ref="K2:K65" ca="1" si="0">SQRT(K$2^2+(AA2/Z2)^2)*J2</f>
        <v>2.3657802095714636E-2</v>
      </c>
      <c r="L2" s="26">
        <v>2.64E-2</v>
      </c>
      <c r="M2" s="26">
        <f t="shared" ref="M2:M65" ca="1" si="1">SQRT(M$2^2+(AC2/AB2)^2)*L2</f>
        <v>1.1308333210513387E-3</v>
      </c>
      <c r="N2" s="26">
        <v>0.42975999999999998</v>
      </c>
      <c r="O2" s="26">
        <v>37.878790000000002</v>
      </c>
      <c r="P2" s="26">
        <f t="shared" ref="P2:P65" ca="1" si="2">SQRT(P$2^2+(AF2/AE2)^2)*O2</f>
        <v>1.6225229556325667</v>
      </c>
      <c r="Q2" s="25">
        <v>7.5399999999999995E-2</v>
      </c>
      <c r="R2" s="25">
        <f t="shared" ref="R2:R65" ca="1" si="3">SQRT(R$2^2+(AH2/AG2)^2)*Q2</f>
        <v>5.7994882532858005E-3</v>
      </c>
      <c r="S2" s="26">
        <f t="shared" ref="S2:S65" si="4">(((BE2/BD2)^2+(AW2/AV2)^2)+((BE2/BD2)^2+(BC2/BB2)^2)-((BC2/BB2)^2+(AW2/AV2)^2))/(2*SQRT((BE2/BD2)^2+(AW2/AV2)^2)*SQRT((BE2/BD2)^2+(BC2/BB2)^2))</f>
        <v>0.24447258310524017</v>
      </c>
      <c r="T2" s="25">
        <v>1.146E-2</v>
      </c>
      <c r="U2" s="25">
        <f t="shared" ref="U2:U65" ca="1" si="5">SQRT(U$2^2+(AK2/AJ2)^2)*T2</f>
        <v>8.90018336889752E-4</v>
      </c>
      <c r="V2" s="24" t="e">
        <f ca="1">IF(agePb6U8(1/O2)&lt;1400,age7corr(1/O2,Q2,$W$2),agePb76(Q2))</f>
        <v>#NAME?</v>
      </c>
      <c r="W2" s="24" t="e">
        <f ca="1">IF(agePb6U8(1/O2)&lt;1400,ageer7corr(V2,1/O2,P2/O2*(1/O2),Q2,R2,$W$2,0.05),ageerPb76(Q2,R2))</f>
        <v>#NAME?</v>
      </c>
      <c r="X2" s="26" t="e">
        <f ca="1">agePb6U8(L2)/agePb7u5(J2)</f>
        <v>#NAME?</v>
      </c>
      <c r="Y2" s="24"/>
      <c r="Z2" s="24">
        <v>0.27700000000000002</v>
      </c>
      <c r="AA2" s="24">
        <v>2.3E-2</v>
      </c>
      <c r="AB2" s="24">
        <v>2.64E-2</v>
      </c>
      <c r="AC2" s="24">
        <v>1E-3</v>
      </c>
      <c r="AD2" s="24">
        <v>0.42975999999999998</v>
      </c>
      <c r="AE2" s="24">
        <v>37.878790000000002</v>
      </c>
      <c r="AF2" s="24">
        <v>1.4348030000000001</v>
      </c>
      <c r="AG2" s="24">
        <v>7.5399999999999995E-2</v>
      </c>
      <c r="AH2" s="24">
        <v>5.5999999999999999E-3</v>
      </c>
      <c r="AI2" s="24">
        <v>0.11434999999999999</v>
      </c>
      <c r="AJ2" s="24">
        <v>1.146E-2</v>
      </c>
      <c r="AK2" s="24">
        <v>8.5999999999999998E-4</v>
      </c>
      <c r="AL2" s="24">
        <v>3.99</v>
      </c>
      <c r="AM2" s="24">
        <v>0.19</v>
      </c>
      <c r="AN2" s="24">
        <v>248</v>
      </c>
      <c r="AO2" s="24">
        <v>18</v>
      </c>
      <c r="AP2" s="24">
        <v>168.2</v>
      </c>
      <c r="AQ2" s="24">
        <v>6.3</v>
      </c>
      <c r="AR2" s="24">
        <v>230</v>
      </c>
      <c r="AS2" s="24">
        <v>17</v>
      </c>
      <c r="AT2" s="24">
        <v>1040</v>
      </c>
      <c r="AU2" s="24">
        <v>160</v>
      </c>
      <c r="AV2" s="24">
        <v>41.8</v>
      </c>
      <c r="AW2" s="24">
        <v>1.4</v>
      </c>
      <c r="AX2" s="24">
        <v>9.65</v>
      </c>
      <c r="AY2" s="24">
        <v>0.25999999999999995</v>
      </c>
      <c r="AZ2" s="24">
        <v>8836.8299999999981</v>
      </c>
      <c r="BA2" s="24">
        <v>372.6</v>
      </c>
      <c r="BB2" s="24">
        <v>3235.41</v>
      </c>
      <c r="BC2" s="24">
        <v>223.56</v>
      </c>
      <c r="BD2" s="24">
        <v>43904.7</v>
      </c>
      <c r="BE2" s="24">
        <v>1242</v>
      </c>
      <c r="BF2" s="24">
        <v>83.835000000000008</v>
      </c>
      <c r="BG2" s="24">
        <v>16.766999999999999</v>
      </c>
      <c r="BH2" s="24">
        <f t="shared" ref="BH2:BH65" si="6">BD2/BF2</f>
        <v>523.70370370370358</v>
      </c>
      <c r="BI2" s="24">
        <f t="shared" ref="BI2:BI65" si="7">SQRT((BG2/BF2)^2+(BE2/BD2)^2)*BH2</f>
        <v>105.78327613056952</v>
      </c>
      <c r="BJ2" s="27">
        <v>244.99</v>
      </c>
      <c r="BK2" s="27">
        <v>17.670000000000002</v>
      </c>
      <c r="BL2" s="27">
        <v>167.97</v>
      </c>
      <c r="BM2" s="27">
        <v>7.09</v>
      </c>
      <c r="BN2" s="27">
        <v>1067.5999999999999</v>
      </c>
      <c r="BO2" s="27">
        <v>160.82</v>
      </c>
      <c r="BP2" s="27">
        <v>170.63</v>
      </c>
      <c r="BQ2" s="27">
        <v>7.1</v>
      </c>
      <c r="BR2" s="27">
        <v>33</v>
      </c>
    </row>
    <row r="3" spans="1:70" x14ac:dyDescent="0.2">
      <c r="A3" t="s">
        <v>797</v>
      </c>
      <c r="B3" t="s">
        <v>38</v>
      </c>
      <c r="C3" t="s">
        <v>798</v>
      </c>
      <c r="D3" t="s">
        <v>799</v>
      </c>
      <c r="E3">
        <v>78737</v>
      </c>
      <c r="F3">
        <v>42536</v>
      </c>
      <c r="G3" t="s">
        <v>799</v>
      </c>
      <c r="H3" s="1">
        <v>318</v>
      </c>
      <c r="I3" s="1">
        <v>167.9</v>
      </c>
      <c r="J3" s="10">
        <v>0.20349999999999999</v>
      </c>
      <c r="K3" s="10">
        <f t="shared" ca="1" si="0"/>
        <v>8.798005455783714E-3</v>
      </c>
      <c r="L3" s="7">
        <v>2.4629999999999999E-2</v>
      </c>
      <c r="M3" s="7">
        <f t="shared" ca="1" si="1"/>
        <v>9.3099664875873739E-4</v>
      </c>
      <c r="N3" s="7">
        <v>0.88488</v>
      </c>
      <c r="O3" s="8">
        <v>40.60089</v>
      </c>
      <c r="P3" s="8">
        <f t="shared" ca="1" si="2"/>
        <v>1.5346853827937634</v>
      </c>
      <c r="Q3" s="9">
        <v>5.9249999999999997E-2</v>
      </c>
      <c r="R3" s="9">
        <f t="shared" ca="1" si="3"/>
        <v>1.4641806582522527E-3</v>
      </c>
      <c r="S3" s="8">
        <f t="shared" si="4"/>
        <v>0.43169378666600722</v>
      </c>
      <c r="T3" s="11">
        <v>9.8300000000000002E-3</v>
      </c>
      <c r="U3" s="11">
        <f t="shared" ca="1" si="5"/>
        <v>3.2596251318211422E-4</v>
      </c>
      <c r="V3" s="6" t="e">
        <f ca="1">IF(agePb6U8(1/O3)&lt;1400,age7corr(1/O3,Q3,$W$2),agePb76(Q3))</f>
        <v>#NAME?</v>
      </c>
      <c r="W3" s="6" t="e">
        <f ca="1">IF(agePb6U8(1/O3)&lt;1400,ageer7corr(V3,1/O3,P3/O3*(1/O3),Q3,R3,$W$2,0.05),ageerPb76(Q3,R3))</f>
        <v>#NAME?</v>
      </c>
      <c r="X3" s="4" t="e">
        <f ca="1">agePb6U8(L3)/agePb7u5(J3)</f>
        <v>#NAME?</v>
      </c>
      <c r="Y3" s="3"/>
      <c r="Z3" s="1">
        <v>0.20349999999999999</v>
      </c>
      <c r="AA3" s="1">
        <v>7.7999999999999996E-3</v>
      </c>
      <c r="AB3" s="1">
        <v>2.4629999999999999E-2</v>
      </c>
      <c r="AC3" s="1">
        <v>7.9000000000000001E-4</v>
      </c>
      <c r="AD3" s="1">
        <v>0.88488</v>
      </c>
      <c r="AE3" s="1">
        <v>40.60089</v>
      </c>
      <c r="AF3" s="1">
        <v>1.302262</v>
      </c>
      <c r="AG3" s="1">
        <v>5.9249999999999997E-2</v>
      </c>
      <c r="AH3" s="1">
        <v>8.5999999999999998E-4</v>
      </c>
      <c r="AI3" s="1">
        <v>0.12820999999999999</v>
      </c>
      <c r="AJ3" s="1">
        <v>9.8300000000000002E-3</v>
      </c>
      <c r="AK3" s="1">
        <v>2.5999999999999998E-4</v>
      </c>
      <c r="AL3" s="1">
        <v>5.165</v>
      </c>
      <c r="AM3" s="1">
        <v>7.4999999999999997E-2</v>
      </c>
      <c r="AN3" s="1">
        <v>188</v>
      </c>
      <c r="AO3" s="1">
        <v>6.6</v>
      </c>
      <c r="AP3" s="1">
        <v>156.80000000000001</v>
      </c>
      <c r="AQ3" s="1">
        <v>5</v>
      </c>
      <c r="AR3" s="1">
        <v>197.7</v>
      </c>
      <c r="AS3" s="1">
        <v>5.0999999999999996</v>
      </c>
      <c r="AT3" s="1">
        <v>575</v>
      </c>
      <c r="AU3" s="1">
        <v>32</v>
      </c>
      <c r="AV3" s="1">
        <v>68.5</v>
      </c>
      <c r="AW3" s="1">
        <v>3.8</v>
      </c>
      <c r="AX3" s="1">
        <v>13.2</v>
      </c>
      <c r="AY3" s="1">
        <v>0.51999999999999991</v>
      </c>
      <c r="AZ3" s="1">
        <v>10339.650000000001</v>
      </c>
      <c r="BA3" s="1">
        <v>546.48</v>
      </c>
      <c r="BB3" s="1">
        <v>3912.3</v>
      </c>
      <c r="BC3" s="1">
        <v>229.77</v>
      </c>
      <c r="BD3" s="1">
        <v>66136.5</v>
      </c>
      <c r="BE3" s="1">
        <v>3291.2999999999997</v>
      </c>
      <c r="BF3" s="1">
        <v>59.615999999999993</v>
      </c>
      <c r="BG3" s="1">
        <v>8.6940000000000008</v>
      </c>
      <c r="BH3" s="1">
        <f t="shared" si="6"/>
        <v>1109.3750000000002</v>
      </c>
      <c r="BI3" s="1">
        <f t="shared" si="7"/>
        <v>170.94436386867437</v>
      </c>
      <c r="BJ3" s="27">
        <v>185.36</v>
      </c>
      <c r="BK3" s="27">
        <v>5.77</v>
      </c>
      <c r="BL3" s="27">
        <v>156.85</v>
      </c>
      <c r="BM3" s="27">
        <v>5.84</v>
      </c>
      <c r="BN3" s="27">
        <v>566.12</v>
      </c>
      <c r="BO3" s="27">
        <v>36.909999999999997</v>
      </c>
      <c r="BP3" s="27">
        <v>170.65</v>
      </c>
      <c r="BQ3" s="27">
        <v>6</v>
      </c>
      <c r="BR3" s="27">
        <v>12</v>
      </c>
    </row>
    <row r="4" spans="1:70" x14ac:dyDescent="0.2">
      <c r="A4" t="s">
        <v>800</v>
      </c>
      <c r="B4" t="s">
        <v>38</v>
      </c>
      <c r="C4" t="s">
        <v>801</v>
      </c>
      <c r="D4" t="s">
        <v>802</v>
      </c>
      <c r="E4">
        <v>78820</v>
      </c>
      <c r="F4">
        <v>42631</v>
      </c>
      <c r="G4" t="s">
        <v>802</v>
      </c>
      <c r="H4" s="1">
        <v>482.4</v>
      </c>
      <c r="I4" s="1">
        <v>207.1</v>
      </c>
      <c r="J4" s="10">
        <v>0.18149999999999999</v>
      </c>
      <c r="K4" s="10">
        <f t="shared" ca="1" si="0"/>
        <v>5.5512971457128829E-3</v>
      </c>
      <c r="L4" s="7">
        <v>2.5530000000000001E-2</v>
      </c>
      <c r="M4" s="7">
        <f t="shared" ca="1" si="1"/>
        <v>7.4317720632430598E-4</v>
      </c>
      <c r="N4" s="7">
        <v>0.77432999999999996</v>
      </c>
      <c r="O4" s="8">
        <v>39.169600000000003</v>
      </c>
      <c r="P4" s="8">
        <f t="shared" ca="1" si="2"/>
        <v>1.1402254670741618</v>
      </c>
      <c r="Q4" s="9">
        <v>5.169E-2</v>
      </c>
      <c r="R4" s="9">
        <f t="shared" ca="1" si="3"/>
        <v>1.1084865538201173E-3</v>
      </c>
      <c r="S4" s="8">
        <f t="shared" si="4"/>
        <v>0.59281966024836785</v>
      </c>
      <c r="T4" s="11">
        <v>8.7600000000000004E-3</v>
      </c>
      <c r="U4" s="11">
        <f t="shared" ca="1" si="5"/>
        <v>2.5844736408019332E-4</v>
      </c>
      <c r="V4" s="6" t="e">
        <f ca="1">IF(agePb6U8(1/O4)&lt;1400,age7corr(1/O4,Q4,$W$2),agePb76(Q4))</f>
        <v>#NAME?</v>
      </c>
      <c r="W4" s="6" t="e">
        <f ca="1">IF(agePb6U8(1/O4)&lt;1400,ageer7corr(V4,1/O4,P4/O4*(1/O4),Q4,R4,$W$2,0.05),ageerPb76(Q4,R4))</f>
        <v>#NAME?</v>
      </c>
      <c r="X4" s="4" t="e">
        <f ca="1">agePb6U8(L4)/agePb7u5(J4)</f>
        <v>#NAME?</v>
      </c>
      <c r="Y4" s="3"/>
      <c r="Z4" s="1">
        <v>0.18149999999999999</v>
      </c>
      <c r="AA4" s="1">
        <v>4.1999999999999997E-3</v>
      </c>
      <c r="AB4" s="1">
        <v>2.5530000000000001E-2</v>
      </c>
      <c r="AC4" s="1">
        <v>5.4000000000000001E-4</v>
      </c>
      <c r="AD4" s="1">
        <v>0.77432999999999996</v>
      </c>
      <c r="AE4" s="1">
        <v>39.169600000000003</v>
      </c>
      <c r="AF4" s="1">
        <v>0.82849930000000005</v>
      </c>
      <c r="AG4" s="1">
        <v>5.169E-2</v>
      </c>
      <c r="AH4" s="1">
        <v>4.0000000000000002E-4</v>
      </c>
      <c r="AI4" s="1">
        <v>0.11087</v>
      </c>
      <c r="AJ4" s="1">
        <v>8.7600000000000004E-3</v>
      </c>
      <c r="AK4" s="1">
        <v>1.9000000000000001E-4</v>
      </c>
      <c r="AL4" s="1">
        <v>7.2039999999999997</v>
      </c>
      <c r="AM4" s="1">
        <v>6.0999999999999999E-2</v>
      </c>
      <c r="AN4" s="1">
        <v>169.3</v>
      </c>
      <c r="AO4" s="1">
        <v>3.6</v>
      </c>
      <c r="AP4" s="1">
        <v>162.5</v>
      </c>
      <c r="AQ4" s="1">
        <v>3.4</v>
      </c>
      <c r="AR4" s="1">
        <v>176.3</v>
      </c>
      <c r="AS4" s="1">
        <v>3.8</v>
      </c>
      <c r="AT4" s="1">
        <v>271</v>
      </c>
      <c r="AU4" s="1">
        <v>17</v>
      </c>
      <c r="AV4" s="1">
        <v>104</v>
      </c>
      <c r="AW4" s="1">
        <v>1.5</v>
      </c>
      <c r="AX4" s="1">
        <v>16.279999999999998</v>
      </c>
      <c r="AY4" s="1">
        <v>0.59000000000000008</v>
      </c>
      <c r="AZ4" s="1">
        <v>11575.44</v>
      </c>
      <c r="BA4" s="1">
        <v>254.60999999999996</v>
      </c>
      <c r="BB4" s="1">
        <v>5328.18</v>
      </c>
      <c r="BC4" s="1">
        <v>93.15</v>
      </c>
      <c r="BD4" s="1">
        <v>103148.1</v>
      </c>
      <c r="BE4" s="1">
        <v>1987.2</v>
      </c>
      <c r="BF4" s="1">
        <v>27.945</v>
      </c>
      <c r="BG4" s="1">
        <v>6.2099999999999991</v>
      </c>
      <c r="BH4" s="1">
        <f t="shared" si="6"/>
        <v>3691.1111111111113</v>
      </c>
      <c r="BI4" s="1">
        <f t="shared" si="7"/>
        <v>823.32362371146485</v>
      </c>
      <c r="BJ4" s="27">
        <v>170.6</v>
      </c>
      <c r="BK4" s="27">
        <v>3.7</v>
      </c>
      <c r="BL4" s="27">
        <v>162.51</v>
      </c>
      <c r="BM4" s="27">
        <v>4.67</v>
      </c>
      <c r="BN4" s="27">
        <v>284.38</v>
      </c>
      <c r="BO4" s="27">
        <v>43.98</v>
      </c>
      <c r="BP4" s="27">
        <v>169.99</v>
      </c>
      <c r="BQ4" s="27">
        <v>3.72</v>
      </c>
      <c r="BR4" s="27">
        <v>3.9</v>
      </c>
    </row>
    <row r="5" spans="1:70" x14ac:dyDescent="0.2">
      <c r="A5" t="s">
        <v>809</v>
      </c>
      <c r="B5" t="s">
        <v>38</v>
      </c>
      <c r="C5" t="s">
        <v>810</v>
      </c>
      <c r="D5" t="s">
        <v>811</v>
      </c>
      <c r="E5">
        <v>78843</v>
      </c>
      <c r="F5">
        <v>43059</v>
      </c>
      <c r="G5" t="s">
        <v>811</v>
      </c>
      <c r="H5" s="1">
        <v>348</v>
      </c>
      <c r="I5" s="1">
        <v>219</v>
      </c>
      <c r="J5" s="10">
        <v>0.17230000000000001</v>
      </c>
      <c r="K5" s="10">
        <f t="shared" ca="1" si="0"/>
        <v>8.5273041460944728E-3</v>
      </c>
      <c r="L5" s="7">
        <v>2.4469999999999999E-2</v>
      </c>
      <c r="M5" s="7">
        <f t="shared" ca="1" si="1"/>
        <v>1.0864678366155165E-3</v>
      </c>
      <c r="N5" s="7">
        <v>0.96194999999999997</v>
      </c>
      <c r="O5" s="8">
        <v>40.866370000000003</v>
      </c>
      <c r="P5" s="8">
        <f t="shared" ca="1" si="2"/>
        <v>1.8144663128740528</v>
      </c>
      <c r="Q5" s="9">
        <v>5.0479999999999997E-2</v>
      </c>
      <c r="R5" s="9">
        <f t="shared" ca="1" si="3"/>
        <v>1.1953627733872257E-3</v>
      </c>
      <c r="S5" s="8">
        <f t="shared" si="4"/>
        <v>0.48020365085213734</v>
      </c>
      <c r="T5" s="11">
        <v>8.4100000000000008E-3</v>
      </c>
      <c r="U5" s="11">
        <f t="shared" ca="1" si="5"/>
        <v>4.2472489919947006E-4</v>
      </c>
      <c r="V5" s="6" t="e">
        <f ca="1">IF(agePb6U8(1/O5)&lt;1400,age7corr(1/O5,Q5,$W$2),agePb76(Q5))</f>
        <v>#NAME?</v>
      </c>
      <c r="W5" s="6" t="e">
        <f ca="1">IF(agePb6U8(1/O5)&lt;1400,ageer7corr(V5,1/O5,P5/O5*(1/O5),Q5,R5,$W$2,0.05),ageerPb76(Q5,R5))</f>
        <v>#NAME?</v>
      </c>
      <c r="X5" s="4" t="e">
        <f ca="1">agePb6U8(L5)/agePb7u5(J5)</f>
        <v>#NAME?</v>
      </c>
      <c r="Y5" s="3"/>
      <c r="Z5" s="1">
        <v>0.17230000000000001</v>
      </c>
      <c r="AA5" s="1">
        <v>7.7999999999999996E-3</v>
      </c>
      <c r="AB5" s="1">
        <v>2.4469999999999999E-2</v>
      </c>
      <c r="AC5" s="1">
        <v>9.7000000000000005E-4</v>
      </c>
      <c r="AD5" s="1">
        <v>0.96194999999999997</v>
      </c>
      <c r="AE5" s="1">
        <v>40.866370000000003</v>
      </c>
      <c r="AF5" s="1">
        <v>1.619958</v>
      </c>
      <c r="AG5" s="1">
        <v>5.0479999999999997E-2</v>
      </c>
      <c r="AH5" s="1">
        <v>6.4000000000000005E-4</v>
      </c>
      <c r="AI5" s="1">
        <v>2.8194E-2</v>
      </c>
      <c r="AJ5" s="1">
        <v>8.4100000000000008E-3</v>
      </c>
      <c r="AK5" s="1">
        <v>3.8999999999999999E-4</v>
      </c>
      <c r="AL5" s="1">
        <v>4.8499999999999996</v>
      </c>
      <c r="AM5" s="1">
        <v>0.11</v>
      </c>
      <c r="AN5" s="1">
        <v>161.30000000000001</v>
      </c>
      <c r="AO5" s="1">
        <v>6.7</v>
      </c>
      <c r="AP5" s="1">
        <v>155.80000000000001</v>
      </c>
      <c r="AQ5" s="1">
        <v>6.1</v>
      </c>
      <c r="AR5" s="1">
        <v>169.2</v>
      </c>
      <c r="AS5" s="1">
        <v>7.8</v>
      </c>
      <c r="AT5" s="1">
        <v>223</v>
      </c>
      <c r="AU5" s="1">
        <v>31</v>
      </c>
      <c r="AV5" s="1">
        <v>75</v>
      </c>
      <c r="AW5" s="1">
        <v>15</v>
      </c>
      <c r="AX5" s="1">
        <v>17.3</v>
      </c>
      <c r="AY5" s="1">
        <v>3.1</v>
      </c>
      <c r="AZ5" s="1">
        <v>11178.000000000002</v>
      </c>
      <c r="BA5" s="1">
        <v>1987.2</v>
      </c>
      <c r="BB5" s="1">
        <v>3415.5</v>
      </c>
      <c r="BC5" s="1">
        <v>621</v>
      </c>
      <c r="BD5" s="1">
        <v>67689</v>
      </c>
      <c r="BE5" s="1">
        <v>12420</v>
      </c>
      <c r="BF5" s="1">
        <v>9.9359999999999999</v>
      </c>
      <c r="BG5" s="1">
        <v>6.8310000000000004</v>
      </c>
      <c r="BH5" s="1">
        <f t="shared" si="6"/>
        <v>6812.5</v>
      </c>
      <c r="BI5" s="1">
        <f t="shared" si="7"/>
        <v>4847.5303418378999</v>
      </c>
      <c r="BJ5" s="27">
        <v>158.21</v>
      </c>
      <c r="BK5" s="27">
        <v>5.69</v>
      </c>
      <c r="BL5" s="27">
        <v>155.83000000000001</v>
      </c>
      <c r="BM5" s="27">
        <v>6.82</v>
      </c>
      <c r="BN5" s="27">
        <v>193.95</v>
      </c>
      <c r="BO5" s="27">
        <v>46.5</v>
      </c>
      <c r="BP5" s="27">
        <v>158.76</v>
      </c>
      <c r="BQ5" s="27">
        <v>5.66</v>
      </c>
      <c r="BR5" s="27">
        <v>1.4</v>
      </c>
    </row>
    <row r="6" spans="1:70" x14ac:dyDescent="0.2">
      <c r="A6" t="s">
        <v>812</v>
      </c>
      <c r="B6" t="s">
        <v>38</v>
      </c>
      <c r="C6" t="s">
        <v>813</v>
      </c>
      <c r="D6" t="s">
        <v>814</v>
      </c>
      <c r="E6">
        <v>78907</v>
      </c>
      <c r="F6">
        <v>43248</v>
      </c>
      <c r="G6" t="s">
        <v>814</v>
      </c>
      <c r="H6" s="1">
        <v>36.82</v>
      </c>
      <c r="I6" s="1">
        <v>53.9</v>
      </c>
      <c r="J6" s="10">
        <v>1.849</v>
      </c>
      <c r="K6" s="10">
        <f t="shared" ca="1" si="0"/>
        <v>6.4626004054095756E-2</v>
      </c>
      <c r="L6" s="7">
        <v>0.1774</v>
      </c>
      <c r="M6" s="7">
        <f t="shared" ca="1" si="1"/>
        <v>5.4220202876787546E-3</v>
      </c>
      <c r="N6" s="7">
        <v>0.92496999999999996</v>
      </c>
      <c r="O6" s="8">
        <v>5.6369790000000002</v>
      </c>
      <c r="P6" s="8">
        <f t="shared" ca="1" si="2"/>
        <v>0.1722875884405676</v>
      </c>
      <c r="Q6" s="9">
        <v>7.4980000000000005E-2</v>
      </c>
      <c r="R6" s="9">
        <f t="shared" ca="1" si="3"/>
        <v>1.7237459673629409E-3</v>
      </c>
      <c r="S6" s="8">
        <f t="shared" si="4"/>
        <v>0.36434752038714502</v>
      </c>
      <c r="T6" s="11">
        <v>5.7299999999999997E-2</v>
      </c>
      <c r="U6" s="11">
        <f t="shared" ca="1" si="5"/>
        <v>1.5884948851035057E-3</v>
      </c>
      <c r="V6" s="6" t="e">
        <f ca="1">IF(agePb6U8(1/O6)&lt;1400,age7corr(1/O6,Q6,$W$2),agePb76(Q6))</f>
        <v>#NAME?</v>
      </c>
      <c r="W6" s="6" t="e">
        <f ca="1">IF(agePb6U8(1/O6)&lt;1400,ageer7corr(V6,1/O6,P6/O6*(1/O6),Q6,R6,$W$2,0.05),ageerPb76(Q6,R6))</f>
        <v>#NAME?</v>
      </c>
      <c r="X6" s="4" t="e">
        <f ca="1">agePb6U8(L6)/agePb7u5(J6)</f>
        <v>#NAME?</v>
      </c>
      <c r="Y6" s="3"/>
      <c r="Z6" s="1">
        <v>1.849</v>
      </c>
      <c r="AA6" s="1">
        <v>5.2999999999999999E-2</v>
      </c>
      <c r="AB6" s="1">
        <v>0.1774</v>
      </c>
      <c r="AC6" s="1">
        <v>4.1000000000000003E-3</v>
      </c>
      <c r="AD6" s="1">
        <v>0.92496999999999996</v>
      </c>
      <c r="AE6" s="1">
        <v>5.6369790000000002</v>
      </c>
      <c r="AF6" s="1">
        <v>0.1302797</v>
      </c>
      <c r="AG6" s="1">
        <v>7.4980000000000005E-2</v>
      </c>
      <c r="AH6" s="1">
        <v>8.4999999999999995E-4</v>
      </c>
      <c r="AI6" s="1">
        <v>-0.20616000000000001</v>
      </c>
      <c r="AJ6" s="1">
        <v>5.7299999999999997E-2</v>
      </c>
      <c r="AK6" s="1">
        <v>1.1000000000000001E-3</v>
      </c>
      <c r="AL6" s="1">
        <v>2.2246000000000001</v>
      </c>
      <c r="AM6" s="1">
        <v>8.3999999999999995E-3</v>
      </c>
      <c r="AN6" s="1">
        <v>1062</v>
      </c>
      <c r="AO6" s="1">
        <v>19</v>
      </c>
      <c r="AP6" s="1">
        <v>1053</v>
      </c>
      <c r="AQ6" s="1">
        <v>22</v>
      </c>
      <c r="AR6" s="1">
        <v>1125</v>
      </c>
      <c r="AS6" s="1">
        <v>21</v>
      </c>
      <c r="AT6" s="1">
        <v>1067</v>
      </c>
      <c r="AU6" s="1">
        <v>23</v>
      </c>
      <c r="AV6" s="1">
        <v>7.93</v>
      </c>
      <c r="AW6" s="1">
        <v>0.13999999999999999</v>
      </c>
      <c r="AX6" s="1">
        <v>4.2350000000000003</v>
      </c>
      <c r="AY6" s="1">
        <v>9.8000000000000004E-2</v>
      </c>
      <c r="AZ6" s="1">
        <v>19865.79</v>
      </c>
      <c r="BA6" s="1">
        <v>322.91999999999996</v>
      </c>
      <c r="BB6" s="1">
        <v>4067.55</v>
      </c>
      <c r="BC6" s="1">
        <v>86.94</v>
      </c>
      <c r="BD6" s="1">
        <v>54710.099999999991</v>
      </c>
      <c r="BE6" s="1">
        <v>807.3</v>
      </c>
      <c r="BF6" s="1">
        <v>7.8246000000000002</v>
      </c>
      <c r="BG6" s="1">
        <v>4.4712000000000005</v>
      </c>
      <c r="BH6" s="1">
        <f t="shared" si="6"/>
        <v>6992.0634920634911</v>
      </c>
      <c r="BI6" s="1">
        <f t="shared" si="7"/>
        <v>3996.7967658068105</v>
      </c>
      <c r="BJ6" s="27">
        <v>1057.24</v>
      </c>
      <c r="BK6" s="27">
        <v>21.19</v>
      </c>
      <c r="BL6" s="27">
        <v>1052.23</v>
      </c>
      <c r="BM6" s="27">
        <v>29.26</v>
      </c>
      <c r="BN6" s="27">
        <v>1067.5999999999999</v>
      </c>
      <c r="BO6" s="27">
        <v>53.61</v>
      </c>
      <c r="BP6" s="27">
        <v>1056.71</v>
      </c>
      <c r="BQ6" s="27">
        <v>21.11</v>
      </c>
      <c r="BR6" s="27">
        <v>0.41</v>
      </c>
    </row>
    <row r="7" spans="1:70" x14ac:dyDescent="0.2">
      <c r="A7" t="s">
        <v>815</v>
      </c>
      <c r="B7" t="s">
        <v>38</v>
      </c>
      <c r="C7" t="s">
        <v>816</v>
      </c>
      <c r="D7" t="s">
        <v>817</v>
      </c>
      <c r="E7">
        <v>78931</v>
      </c>
      <c r="F7">
        <v>43463</v>
      </c>
      <c r="G7" t="s">
        <v>817</v>
      </c>
      <c r="H7" s="1">
        <v>193.5</v>
      </c>
      <c r="I7" s="1">
        <v>294.5</v>
      </c>
      <c r="J7" s="10">
        <v>0.17419999999999999</v>
      </c>
      <c r="K7" s="10">
        <f t="shared" ca="1" si="0"/>
        <v>6.6804383089734461E-3</v>
      </c>
      <c r="L7" s="7">
        <v>2.572E-2</v>
      </c>
      <c r="M7" s="7">
        <f t="shared" ca="1" si="1"/>
        <v>8.9303267577396054E-4</v>
      </c>
      <c r="N7" s="7">
        <v>0.90691999999999995</v>
      </c>
      <c r="O7" s="8">
        <v>38.880249999999997</v>
      </c>
      <c r="P7" s="8">
        <f t="shared" ca="1" si="2"/>
        <v>1.3499741999419839</v>
      </c>
      <c r="Q7" s="9">
        <v>4.8730000000000002E-2</v>
      </c>
      <c r="R7" s="9">
        <f t="shared" ca="1" si="3"/>
        <v>1.2608906217432187E-3</v>
      </c>
      <c r="S7" s="8">
        <f t="shared" si="4"/>
        <v>0.38352199505174916</v>
      </c>
      <c r="T7" s="11">
        <v>8.5500000000000003E-3</v>
      </c>
      <c r="U7" s="11">
        <f t="shared" ca="1" si="5"/>
        <v>2.9468797057226483E-4</v>
      </c>
      <c r="V7" s="6" t="e">
        <f ca="1">IF(agePb6U8(1/O7)&lt;1400,age7corr(1/O7,Q7,$W$2),agePb76(Q7))</f>
        <v>#NAME?</v>
      </c>
      <c r="W7" s="6" t="e">
        <f ca="1">IF(agePb6U8(1/O7)&lt;1400,ageer7corr(V7,1/O7,P7/O7*(1/O7),Q7,R7,$W$2,0.05),ageerPb76(Q7,R7))</f>
        <v>#NAME?</v>
      </c>
      <c r="X7" s="4" t="e">
        <f ca="1">agePb6U8(L7)/agePb7u5(J7)</f>
        <v>#NAME?</v>
      </c>
      <c r="Y7" s="3"/>
      <c r="Z7" s="1">
        <v>0.17419999999999999</v>
      </c>
      <c r="AA7" s="1">
        <v>5.7000000000000002E-3</v>
      </c>
      <c r="AB7" s="1">
        <v>2.572E-2</v>
      </c>
      <c r="AC7" s="1">
        <v>7.2999999999999996E-4</v>
      </c>
      <c r="AD7" s="1">
        <v>0.90691999999999995</v>
      </c>
      <c r="AE7" s="1">
        <v>38.880249999999997</v>
      </c>
      <c r="AF7" s="1">
        <v>1.1035219999999999</v>
      </c>
      <c r="AG7" s="1">
        <v>4.8730000000000002E-2</v>
      </c>
      <c r="AH7" s="1">
        <v>8.0000000000000004E-4</v>
      </c>
      <c r="AI7" s="1">
        <v>-0.12575</v>
      </c>
      <c r="AJ7" s="1">
        <v>8.5500000000000003E-3</v>
      </c>
      <c r="AK7" s="1">
        <v>2.4000000000000001E-4</v>
      </c>
      <c r="AL7" s="1">
        <v>2.1179999999999999</v>
      </c>
      <c r="AM7" s="1">
        <v>0.01</v>
      </c>
      <c r="AN7" s="1">
        <v>163</v>
      </c>
      <c r="AO7" s="1">
        <v>4.9000000000000004</v>
      </c>
      <c r="AP7" s="1">
        <v>163.69999999999999</v>
      </c>
      <c r="AQ7" s="1">
        <v>4.5999999999999996</v>
      </c>
      <c r="AR7" s="1">
        <v>172.1</v>
      </c>
      <c r="AS7" s="1">
        <v>4.9000000000000004</v>
      </c>
      <c r="AT7" s="1">
        <v>133</v>
      </c>
      <c r="AU7" s="1">
        <v>38</v>
      </c>
      <c r="AV7" s="1">
        <v>41.7</v>
      </c>
      <c r="AW7" s="1">
        <v>1.2</v>
      </c>
      <c r="AX7" s="1">
        <v>23.14</v>
      </c>
      <c r="AY7" s="1">
        <v>0.32</v>
      </c>
      <c r="AZ7" s="1">
        <v>15941.07</v>
      </c>
      <c r="BA7" s="1">
        <v>298.08</v>
      </c>
      <c r="BB7" s="1">
        <v>2035.6380000000001</v>
      </c>
      <c r="BC7" s="1">
        <v>47.817000000000007</v>
      </c>
      <c r="BD7" s="1">
        <v>42228</v>
      </c>
      <c r="BE7" s="1">
        <v>869.4</v>
      </c>
      <c r="BF7" s="1">
        <v>2.8565999999999998</v>
      </c>
      <c r="BG7" s="1">
        <v>4.5332999999999997</v>
      </c>
      <c r="BH7" s="1">
        <f t="shared" si="6"/>
        <v>14782.608695652176</v>
      </c>
      <c r="BI7" s="1">
        <f t="shared" si="7"/>
        <v>23461.331409163387</v>
      </c>
      <c r="BJ7" s="27">
        <v>162.62</v>
      </c>
      <c r="BK7" s="27">
        <v>4.95</v>
      </c>
      <c r="BL7" s="27">
        <v>163.71</v>
      </c>
      <c r="BM7" s="27">
        <v>5.61</v>
      </c>
      <c r="BN7" s="27">
        <v>146.78</v>
      </c>
      <c r="BO7" s="27">
        <v>47.86</v>
      </c>
      <c r="BP7" s="27">
        <v>162.79</v>
      </c>
      <c r="BQ7" s="27">
        <v>4.91</v>
      </c>
      <c r="BR7" s="27">
        <v>-0.52</v>
      </c>
    </row>
    <row r="8" spans="1:70" x14ac:dyDescent="0.2">
      <c r="A8" t="s">
        <v>818</v>
      </c>
      <c r="B8" t="s">
        <v>38</v>
      </c>
      <c r="C8" t="s">
        <v>819</v>
      </c>
      <c r="D8" t="s">
        <v>820</v>
      </c>
      <c r="E8">
        <v>78961</v>
      </c>
      <c r="F8">
        <v>44439</v>
      </c>
      <c r="G8" t="s">
        <v>820</v>
      </c>
      <c r="H8" s="1">
        <v>306</v>
      </c>
      <c r="I8" s="1">
        <v>183</v>
      </c>
      <c r="J8" s="10">
        <v>0.21829999999999999</v>
      </c>
      <c r="K8" s="10">
        <f t="shared" ca="1" si="0"/>
        <v>7.7473838164892799E-3</v>
      </c>
      <c r="L8" s="7">
        <v>3.0800000000000001E-2</v>
      </c>
      <c r="M8" s="7">
        <f t="shared" ca="1" si="1"/>
        <v>1.1071838149106048E-3</v>
      </c>
      <c r="N8" s="7">
        <v>0.94650000000000001</v>
      </c>
      <c r="O8" s="8">
        <v>32.467529999999996</v>
      </c>
      <c r="P8" s="8">
        <f t="shared" ca="1" si="2"/>
        <v>1.1671274455040117</v>
      </c>
      <c r="Q8" s="9">
        <v>5.1610000000000003E-2</v>
      </c>
      <c r="R8" s="9">
        <f t="shared" ca="1" si="3"/>
        <v>1.2305839426873732E-3</v>
      </c>
      <c r="S8" s="8">
        <f t="shared" si="4"/>
        <v>0.43731090548949431</v>
      </c>
      <c r="T8" s="11">
        <v>1.055E-2</v>
      </c>
      <c r="U8" s="11">
        <f t="shared" ca="1" si="5"/>
        <v>6.3601965378437791E-4</v>
      </c>
      <c r="V8" s="6" t="e">
        <f ca="1">IF(agePb6U8(1/O8)&lt;1400,age7corr(1/O8,Q8,$W$2),agePb76(Q8))</f>
        <v>#NAME?</v>
      </c>
      <c r="W8" s="6" t="e">
        <f ca="1">IF(agePb6U8(1/O8)&lt;1400,ageer7corr(V8,1/O8,P8/O8*(1/O8),Q8,R8,$W$2,0.05),ageerPb76(Q8,R8))</f>
        <v>#NAME?</v>
      </c>
      <c r="X8" s="4" t="e">
        <f ca="1">agePb6U8(L8)/agePb7u5(J8)</f>
        <v>#NAME?</v>
      </c>
      <c r="Y8" s="3"/>
      <c r="Z8" s="1">
        <v>0.21829999999999999</v>
      </c>
      <c r="AA8" s="1">
        <v>6.4000000000000003E-3</v>
      </c>
      <c r="AB8" s="1">
        <v>3.0800000000000001E-2</v>
      </c>
      <c r="AC8" s="1">
        <v>9.2000000000000003E-4</v>
      </c>
      <c r="AD8" s="1">
        <v>0.94650000000000001</v>
      </c>
      <c r="AE8" s="1">
        <v>32.467529999999996</v>
      </c>
      <c r="AF8" s="1">
        <v>0.96980940000000004</v>
      </c>
      <c r="AG8" s="1">
        <v>5.1610000000000003E-2</v>
      </c>
      <c r="AH8" s="1">
        <v>6.7000000000000002E-4</v>
      </c>
      <c r="AI8" s="1">
        <v>4.6123999999999998E-2</v>
      </c>
      <c r="AJ8" s="1">
        <v>1.055E-2</v>
      </c>
      <c r="AK8" s="1">
        <v>5.9999999999999995E-4</v>
      </c>
      <c r="AL8" s="1">
        <v>5.1760000000000002</v>
      </c>
      <c r="AM8" s="1">
        <v>4.5999999999999999E-2</v>
      </c>
      <c r="AN8" s="1">
        <v>200.4</v>
      </c>
      <c r="AO8" s="1">
        <v>5.3</v>
      </c>
      <c r="AP8" s="1">
        <v>195.5</v>
      </c>
      <c r="AQ8" s="1">
        <v>5.8</v>
      </c>
      <c r="AR8" s="1">
        <v>212</v>
      </c>
      <c r="AS8" s="1">
        <v>12</v>
      </c>
      <c r="AT8" s="1">
        <v>267</v>
      </c>
      <c r="AU8" s="1">
        <v>30</v>
      </c>
      <c r="AV8" s="1">
        <v>65.8</v>
      </c>
      <c r="AW8" s="1">
        <v>3.6</v>
      </c>
      <c r="AX8" s="1">
        <v>14.4</v>
      </c>
      <c r="AY8" s="1">
        <v>1.2</v>
      </c>
      <c r="AZ8" s="1">
        <v>12233.699999999999</v>
      </c>
      <c r="BA8" s="1">
        <v>621</v>
      </c>
      <c r="BB8" s="1">
        <v>4030.29</v>
      </c>
      <c r="BC8" s="1">
        <v>211.14000000000001</v>
      </c>
      <c r="BD8" s="1">
        <v>78929.099999999991</v>
      </c>
      <c r="BE8" s="1">
        <v>3726.0000000000005</v>
      </c>
      <c r="BF8" s="1">
        <v>16.766999999999999</v>
      </c>
      <c r="BG8" s="1">
        <v>7.4519999999999991</v>
      </c>
      <c r="BH8" s="1">
        <f t="shared" si="6"/>
        <v>4707.4074074074069</v>
      </c>
      <c r="BI8" s="1">
        <f t="shared" si="7"/>
        <v>2103.9497012864949</v>
      </c>
      <c r="BJ8" s="27">
        <v>202.5</v>
      </c>
      <c r="BK8" s="27">
        <v>5.97</v>
      </c>
      <c r="BL8" s="27">
        <v>195.54</v>
      </c>
      <c r="BM8" s="27">
        <v>6.94</v>
      </c>
      <c r="BN8" s="27">
        <v>284.38</v>
      </c>
      <c r="BO8" s="27">
        <v>43.98</v>
      </c>
      <c r="BP8" s="27">
        <v>202.2</v>
      </c>
      <c r="BQ8" s="27">
        <v>6.02</v>
      </c>
      <c r="BR8" s="27">
        <v>2.8</v>
      </c>
    </row>
    <row r="9" spans="1:70" x14ac:dyDescent="0.2">
      <c r="A9" t="s">
        <v>821</v>
      </c>
      <c r="B9" t="s">
        <v>38</v>
      </c>
      <c r="C9" t="s">
        <v>822</v>
      </c>
      <c r="D9" t="s">
        <v>823</v>
      </c>
      <c r="E9">
        <v>79005</v>
      </c>
      <c r="F9">
        <v>44502</v>
      </c>
      <c r="G9" t="s">
        <v>823</v>
      </c>
      <c r="H9" s="1">
        <v>211.7</v>
      </c>
      <c r="I9" s="1">
        <v>186.1</v>
      </c>
      <c r="J9" s="10">
        <v>0.6</v>
      </c>
      <c r="K9" s="10">
        <f t="shared" ca="1" si="0"/>
        <v>2.0808652046684813E-2</v>
      </c>
      <c r="L9" s="7">
        <v>7.3200000000000001E-2</v>
      </c>
      <c r="M9" s="7">
        <f t="shared" ca="1" si="1"/>
        <v>2.5599406243114308E-3</v>
      </c>
      <c r="N9" s="7">
        <v>0.94894000000000001</v>
      </c>
      <c r="O9" s="8">
        <v>13.661199999999999</v>
      </c>
      <c r="P9" s="8">
        <f t="shared" ca="1" si="2"/>
        <v>0.47775768484043246</v>
      </c>
      <c r="Q9" s="9">
        <v>0.06</v>
      </c>
      <c r="R9" s="9">
        <f t="shared" ca="1" si="3"/>
        <v>1.3284953895290716E-3</v>
      </c>
      <c r="S9" s="8">
        <f t="shared" si="4"/>
        <v>0.38999849160806316</v>
      </c>
      <c r="T9" s="11">
        <v>2.6849999999999999E-2</v>
      </c>
      <c r="U9" s="11">
        <f t="shared" ca="1" si="5"/>
        <v>9.1431340359856921E-4</v>
      </c>
      <c r="V9" s="6" t="e">
        <f ca="1">IF(agePb6U8(1/O9)&lt;1400,age7corr(1/O9,Q9,$W$2),agePb76(Q9))</f>
        <v>#NAME?</v>
      </c>
      <c r="W9" s="6" t="e">
        <f ca="1">IF(agePb6U8(1/O9)&lt;1400,ageer7corr(V9,1/O9,P9/O9*(1/O9),Q9,R9,$W$2,0.05),ageerPb76(Q9,R9))</f>
        <v>#NAME?</v>
      </c>
      <c r="X9" s="4" t="e">
        <f ca="1">agePb6U8(L9)/agePb7u5(J9)</f>
        <v>#NAME?</v>
      </c>
      <c r="Y9" s="3"/>
      <c r="Z9" s="1">
        <v>0.6</v>
      </c>
      <c r="AA9" s="1">
        <v>1.7000000000000001E-2</v>
      </c>
      <c r="AB9" s="1">
        <v>7.3200000000000001E-2</v>
      </c>
      <c r="AC9" s="1">
        <v>2.0999999999999999E-3</v>
      </c>
      <c r="AD9" s="1">
        <v>0.94894000000000001</v>
      </c>
      <c r="AE9" s="1">
        <v>13.661199999999999</v>
      </c>
      <c r="AF9" s="1">
        <v>0.39191969999999998</v>
      </c>
      <c r="AG9" s="1">
        <v>0.06</v>
      </c>
      <c r="AH9" s="1">
        <v>5.6999999999999998E-4</v>
      </c>
      <c r="AI9" s="1">
        <v>-8.7785000000000002E-2</v>
      </c>
      <c r="AJ9" s="1">
        <v>2.6849999999999999E-2</v>
      </c>
      <c r="AK9" s="1">
        <v>7.3999999999999999E-4</v>
      </c>
      <c r="AL9" s="1">
        <v>3.28</v>
      </c>
      <c r="AM9" s="1">
        <v>1.7000000000000001E-2</v>
      </c>
      <c r="AN9" s="1">
        <v>480</v>
      </c>
      <c r="AO9" s="1">
        <v>12</v>
      </c>
      <c r="AP9" s="1">
        <v>456</v>
      </c>
      <c r="AQ9" s="1">
        <v>13</v>
      </c>
      <c r="AR9" s="1">
        <v>536</v>
      </c>
      <c r="AS9" s="1">
        <v>14</v>
      </c>
      <c r="AT9" s="1">
        <v>603</v>
      </c>
      <c r="AU9" s="1">
        <v>21</v>
      </c>
      <c r="AV9" s="1">
        <v>45.6</v>
      </c>
      <c r="AW9" s="1">
        <v>1.2</v>
      </c>
      <c r="AX9" s="1">
        <v>14.63</v>
      </c>
      <c r="AY9" s="1">
        <v>0.25</v>
      </c>
      <c r="AZ9" s="1">
        <v>32167.8</v>
      </c>
      <c r="BA9" s="1">
        <v>745.2</v>
      </c>
      <c r="BB9" s="1">
        <v>7774.92</v>
      </c>
      <c r="BC9" s="1">
        <v>192.51</v>
      </c>
      <c r="BD9" s="1">
        <v>130782.59999999999</v>
      </c>
      <c r="BE9" s="1">
        <v>2670.3</v>
      </c>
      <c r="BF9" s="1">
        <v>44.711999999999996</v>
      </c>
      <c r="BG9" s="1">
        <v>7.4519999999999991</v>
      </c>
      <c r="BH9" s="1">
        <f t="shared" si="6"/>
        <v>2925</v>
      </c>
      <c r="BI9" s="1">
        <f t="shared" si="7"/>
        <v>491.14457528019233</v>
      </c>
      <c r="BJ9" s="27">
        <v>480.62</v>
      </c>
      <c r="BK9" s="27">
        <v>12.44</v>
      </c>
      <c r="BL9" s="27">
        <v>455.44</v>
      </c>
      <c r="BM9" s="27">
        <v>15.45</v>
      </c>
      <c r="BN9" s="27">
        <v>602.6</v>
      </c>
      <c r="BO9" s="27">
        <v>36.07</v>
      </c>
      <c r="BP9" s="27">
        <v>487.5</v>
      </c>
      <c r="BQ9" s="27">
        <v>12.56</v>
      </c>
      <c r="BR9" s="27">
        <v>5.2</v>
      </c>
    </row>
    <row r="10" spans="1:70" s="23" customFormat="1" x14ac:dyDescent="0.2">
      <c r="A10" s="23" t="s">
        <v>824</v>
      </c>
      <c r="B10" s="23" t="s">
        <v>38</v>
      </c>
      <c r="C10" s="23" t="s">
        <v>825</v>
      </c>
      <c r="D10" s="23" t="s">
        <v>826</v>
      </c>
      <c r="E10" s="23">
        <v>78974</v>
      </c>
      <c r="F10" s="23">
        <v>44751</v>
      </c>
      <c r="G10" s="23" t="s">
        <v>826</v>
      </c>
      <c r="H10" s="24">
        <v>140.9</v>
      </c>
      <c r="I10" s="24">
        <v>58.2</v>
      </c>
      <c r="J10" s="25">
        <v>3.35</v>
      </c>
      <c r="K10" s="25">
        <f t="shared" ca="1" si="0"/>
        <v>0.19206509313251069</v>
      </c>
      <c r="L10" s="26">
        <v>0.23699999999999999</v>
      </c>
      <c r="M10" s="26">
        <f t="shared" ca="1" si="1"/>
        <v>9.8197555977732973E-3</v>
      </c>
      <c r="N10" s="26">
        <v>0.54437000000000002</v>
      </c>
      <c r="O10" s="26">
        <v>4.2194089999999997</v>
      </c>
      <c r="P10" s="26">
        <f t="shared" ca="1" si="2"/>
        <v>0.17482520782791133</v>
      </c>
      <c r="Q10" s="25">
        <v>0.1016</v>
      </c>
      <c r="R10" s="25">
        <f t="shared" ca="1" si="3"/>
        <v>4.0471006906179141E-3</v>
      </c>
      <c r="S10" s="26">
        <f t="shared" si="4"/>
        <v>0.22574513335961474</v>
      </c>
      <c r="T10" s="25">
        <v>0.10249999999999999</v>
      </c>
      <c r="U10" s="25">
        <f t="shared" ca="1" si="5"/>
        <v>6.3405441406869812E-3</v>
      </c>
      <c r="V10" s="24" t="e">
        <f ca="1">IF(agePb6U8(1/O10)&lt;1400,age7corr(1/O10,Q10,$W$2),agePb76(Q10))</f>
        <v>#NAME?</v>
      </c>
      <c r="W10" s="24" t="e">
        <f ca="1">IF(agePb6U8(1/O10)&lt;1400,ageer7corr(V10,1/O10,P10/O10*(1/O10),Q10,R10,$W$2,0.05),ageerPb76(Q10,R10))</f>
        <v>#NAME?</v>
      </c>
      <c r="X10" s="26" t="e">
        <f ca="1">agePb6U8(L10)/agePb7u5(J10)</f>
        <v>#NAME?</v>
      </c>
      <c r="Y10" s="24"/>
      <c r="Z10" s="24">
        <v>3.35</v>
      </c>
      <c r="AA10" s="24">
        <v>0.18</v>
      </c>
      <c r="AB10" s="24">
        <v>0.23699999999999999</v>
      </c>
      <c r="AC10" s="24">
        <v>8.6E-3</v>
      </c>
      <c r="AD10" s="24">
        <v>0.54437000000000002</v>
      </c>
      <c r="AE10" s="24">
        <v>4.2194089999999997</v>
      </c>
      <c r="AF10" s="24">
        <v>0.15310940000000001</v>
      </c>
      <c r="AG10" s="24">
        <v>0.1016</v>
      </c>
      <c r="AH10" s="24">
        <v>3.5000000000000001E-3</v>
      </c>
      <c r="AI10" s="24">
        <v>6.6460000000000005E-2</v>
      </c>
      <c r="AJ10" s="24">
        <v>0.10249999999999999</v>
      </c>
      <c r="AK10" s="24">
        <v>6.0000000000000001E-3</v>
      </c>
      <c r="AL10" s="24">
        <v>6.17</v>
      </c>
      <c r="AM10" s="24">
        <v>0.28999999999999998</v>
      </c>
      <c r="AN10" s="24">
        <v>1489</v>
      </c>
      <c r="AO10" s="24">
        <v>42</v>
      </c>
      <c r="AP10" s="24">
        <v>1370</v>
      </c>
      <c r="AQ10" s="24">
        <v>45</v>
      </c>
      <c r="AR10" s="24">
        <v>1970</v>
      </c>
      <c r="AS10" s="24">
        <v>110</v>
      </c>
      <c r="AT10" s="24">
        <v>1647</v>
      </c>
      <c r="AU10" s="24">
        <v>63</v>
      </c>
      <c r="AV10" s="24">
        <v>30.349999999999998</v>
      </c>
      <c r="AW10" s="24">
        <v>0.94</v>
      </c>
      <c r="AX10" s="24">
        <v>4.58</v>
      </c>
      <c r="AY10" s="24">
        <v>0.19</v>
      </c>
      <c r="AZ10" s="24">
        <v>37135.799999999996</v>
      </c>
      <c r="BA10" s="24">
        <v>2049.3000000000002</v>
      </c>
      <c r="BB10" s="24">
        <v>28255.5</v>
      </c>
      <c r="BC10" s="24">
        <v>1179.8999999999999</v>
      </c>
      <c r="BD10" s="24">
        <v>283176</v>
      </c>
      <c r="BE10" s="24">
        <v>5526.9</v>
      </c>
      <c r="BF10" s="24">
        <v>223.56</v>
      </c>
      <c r="BG10" s="24">
        <v>74.52</v>
      </c>
      <c r="BH10" s="24">
        <f t="shared" si="6"/>
        <v>1266.6666666666667</v>
      </c>
      <c r="BI10" s="24">
        <f t="shared" si="7"/>
        <v>422.94537851816818</v>
      </c>
      <c r="BJ10" s="27">
        <v>1488.38</v>
      </c>
      <c r="BK10" s="27">
        <v>38.53</v>
      </c>
      <c r="BL10" s="27">
        <v>1370.91</v>
      </c>
      <c r="BM10" s="27">
        <v>49.75</v>
      </c>
      <c r="BN10" s="27">
        <v>1660</v>
      </c>
      <c r="BO10" s="27">
        <v>72.61</v>
      </c>
      <c r="BP10" s="27">
        <v>1462.88</v>
      </c>
      <c r="BQ10" s="27">
        <v>40.56</v>
      </c>
      <c r="BR10" s="27">
        <v>7.6</v>
      </c>
    </row>
    <row r="11" spans="1:70" s="23" customFormat="1" x14ac:dyDescent="0.2">
      <c r="A11" s="23" t="s">
        <v>827</v>
      </c>
      <c r="B11" s="23" t="s">
        <v>38</v>
      </c>
      <c r="C11" s="23" t="s">
        <v>828</v>
      </c>
      <c r="D11" s="23" t="s">
        <v>829</v>
      </c>
      <c r="E11" s="23">
        <v>79137</v>
      </c>
      <c r="F11" s="23">
        <v>45744</v>
      </c>
      <c r="G11" s="23" t="s">
        <v>829</v>
      </c>
      <c r="H11" s="24">
        <v>67.599999999999994</v>
      </c>
      <c r="I11" s="24">
        <v>71.099999999999994</v>
      </c>
      <c r="J11" s="25">
        <v>3.07</v>
      </c>
      <c r="K11" s="25">
        <f t="shared" ca="1" si="0"/>
        <v>0.15287236506314672</v>
      </c>
      <c r="L11" s="26">
        <v>0.1847</v>
      </c>
      <c r="M11" s="26">
        <f t="shared" ca="1" si="1"/>
        <v>9.8211830244629914E-3</v>
      </c>
      <c r="N11" s="26">
        <v>-0.26356000000000002</v>
      </c>
      <c r="O11" s="26">
        <v>5.4141849999999998</v>
      </c>
      <c r="P11" s="26">
        <f t="shared" ca="1" si="2"/>
        <v>0.28789222955699934</v>
      </c>
      <c r="Q11" s="25">
        <v>0.12130000000000001</v>
      </c>
      <c r="R11" s="25">
        <f t="shared" ca="1" si="3"/>
        <v>9.1282789177369022E-3</v>
      </c>
      <c r="S11" s="26">
        <f t="shared" si="4"/>
        <v>0.15940754165345261</v>
      </c>
      <c r="T11" s="25">
        <v>7.8399999999999997E-2</v>
      </c>
      <c r="U11" s="25">
        <f t="shared" ca="1" si="5"/>
        <v>3.2967596212038269E-3</v>
      </c>
      <c r="V11" s="24" t="e">
        <f ca="1">IF(agePb6U8(1/O11)&lt;1400,age7corr(1/O11,Q11,$W$2),agePb76(Q11))</f>
        <v>#NAME?</v>
      </c>
      <c r="W11" s="24" t="e">
        <f ca="1">IF(agePb6U8(1/O11)&lt;1400,ageer7corr(V11,1/O11,P11/O11*(1/O11),Q11,R11,$W$2,0.05),ageerPb76(Q11,R11))</f>
        <v>#NAME?</v>
      </c>
      <c r="X11" s="26" t="e">
        <f ca="1">agePb6U8(L11)/agePb7u5(J11)</f>
        <v>#NAME?</v>
      </c>
      <c r="Y11" s="24"/>
      <c r="Z11" s="24">
        <v>3.07</v>
      </c>
      <c r="AA11" s="24">
        <v>0.14000000000000001</v>
      </c>
      <c r="AB11" s="24">
        <v>0.1847</v>
      </c>
      <c r="AC11" s="24">
        <v>9.1000000000000004E-3</v>
      </c>
      <c r="AD11" s="24">
        <v>-0.26356000000000002</v>
      </c>
      <c r="AE11" s="24">
        <v>5.4141849999999998</v>
      </c>
      <c r="AF11" s="24">
        <v>0.26675189999999999</v>
      </c>
      <c r="AG11" s="24">
        <v>0.12130000000000001</v>
      </c>
      <c r="AH11" s="24">
        <v>8.8000000000000005E-3</v>
      </c>
      <c r="AI11" s="24">
        <v>0.83779000000000003</v>
      </c>
      <c r="AJ11" s="24">
        <v>7.8399999999999997E-2</v>
      </c>
      <c r="AK11" s="24">
        <v>2.8999999999999998E-3</v>
      </c>
      <c r="AL11" s="24">
        <v>2.39</v>
      </c>
      <c r="AM11" s="24">
        <v>0.1</v>
      </c>
      <c r="AN11" s="24">
        <v>1421</v>
      </c>
      <c r="AO11" s="24">
        <v>36</v>
      </c>
      <c r="AP11" s="24">
        <v>1091</v>
      </c>
      <c r="AQ11" s="24">
        <v>50</v>
      </c>
      <c r="AR11" s="24">
        <v>1525</v>
      </c>
      <c r="AS11" s="24">
        <v>55</v>
      </c>
      <c r="AT11" s="24">
        <v>1950</v>
      </c>
      <c r="AU11" s="24">
        <v>120</v>
      </c>
      <c r="AV11" s="24">
        <v>14.5</v>
      </c>
      <c r="AW11" s="24">
        <v>1.3</v>
      </c>
      <c r="AX11" s="24">
        <v>5.5900000000000007</v>
      </c>
      <c r="AY11" s="24">
        <v>0.37</v>
      </c>
      <c r="AZ11" s="24">
        <v>35769.600000000006</v>
      </c>
      <c r="BA11" s="24">
        <v>3291.2999999999997</v>
      </c>
      <c r="BB11" s="24">
        <v>12668.4</v>
      </c>
      <c r="BC11" s="24">
        <v>1490.4</v>
      </c>
      <c r="BD11" s="24">
        <v>103831.20000000001</v>
      </c>
      <c r="BE11" s="24">
        <v>4657.5</v>
      </c>
      <c r="BF11" s="24">
        <v>267.02999999999997</v>
      </c>
      <c r="BG11" s="24">
        <v>86.94</v>
      </c>
      <c r="BH11" s="24">
        <f t="shared" si="6"/>
        <v>388.83720930232568</v>
      </c>
      <c r="BI11" s="24">
        <f t="shared" si="7"/>
        <v>127.79402532064591</v>
      </c>
      <c r="BJ11" s="27">
        <v>1428.33</v>
      </c>
      <c r="BK11" s="27">
        <v>64.739999999999995</v>
      </c>
      <c r="BL11" s="27">
        <v>1093.3800000000001</v>
      </c>
      <c r="BM11" s="27">
        <v>53.91</v>
      </c>
      <c r="BN11" s="27">
        <v>1970.22</v>
      </c>
      <c r="BO11" s="27">
        <v>132.59</v>
      </c>
      <c r="BP11" s="27">
        <v>1131.55</v>
      </c>
      <c r="BQ11" s="27">
        <v>57.68</v>
      </c>
      <c r="BR11" s="27">
        <v>35</v>
      </c>
    </row>
    <row r="12" spans="1:70" s="23" customFormat="1" x14ac:dyDescent="0.2">
      <c r="A12" s="23" t="s">
        <v>830</v>
      </c>
      <c r="B12" s="23" t="s">
        <v>38</v>
      </c>
      <c r="C12" s="23" t="s">
        <v>831</v>
      </c>
      <c r="D12" s="23" t="s">
        <v>832</v>
      </c>
      <c r="E12" s="23">
        <v>79141</v>
      </c>
      <c r="F12" s="23">
        <v>45950</v>
      </c>
      <c r="G12" s="23" t="s">
        <v>832</v>
      </c>
      <c r="H12" s="24">
        <v>174</v>
      </c>
      <c r="I12" s="24">
        <v>141.4</v>
      </c>
      <c r="J12" s="25">
        <v>0.59599999999999997</v>
      </c>
      <c r="K12" s="25">
        <f t="shared" ca="1" si="0"/>
        <v>2.0762620258531917E-2</v>
      </c>
      <c r="L12" s="26">
        <v>7.3700000000000002E-2</v>
      </c>
      <c r="M12" s="26">
        <f t="shared" ca="1" si="1"/>
        <v>2.7317898894314695E-3</v>
      </c>
      <c r="N12" s="26">
        <v>0.91710000000000003</v>
      </c>
      <c r="O12" s="26">
        <v>13.568519999999999</v>
      </c>
      <c r="P12" s="26">
        <f t="shared" ca="1" si="2"/>
        <v>0.50293555698236325</v>
      </c>
      <c r="Q12" s="25">
        <v>5.8470000000000001E-2</v>
      </c>
      <c r="R12" s="25">
        <f t="shared" ca="1" si="3"/>
        <v>1.4575309121936317E-3</v>
      </c>
      <c r="S12" s="26">
        <f t="shared" si="4"/>
        <v>0.41652059248115586</v>
      </c>
      <c r="T12" s="25">
        <v>2.5170000000000001E-2</v>
      </c>
      <c r="U12" s="25">
        <f t="shared" ca="1" si="5"/>
        <v>8.6221317549664014E-4</v>
      </c>
      <c r="V12" s="24" t="e">
        <f ca="1">IF(agePb6U8(1/O12)&lt;1400,age7corr(1/O12,Q12,$W$2),agePb76(Q12))</f>
        <v>#NAME?</v>
      </c>
      <c r="W12" s="24" t="e">
        <f ca="1">IF(agePb6U8(1/O12)&lt;1400,ageer7corr(V12,1/O12,P12/O12*(1/O12),Q12,R12,$W$2,0.05),ageerPb76(Q12,R12))</f>
        <v>#NAME?</v>
      </c>
      <c r="X12" s="26" t="e">
        <f ca="1">agePb6U8(L12)/agePb7u5(J12)</f>
        <v>#NAME?</v>
      </c>
      <c r="Y12" s="24"/>
      <c r="Z12" s="24">
        <v>0.59599999999999997</v>
      </c>
      <c r="AA12" s="24">
        <v>1.7000000000000001E-2</v>
      </c>
      <c r="AB12" s="24">
        <v>7.3700000000000002E-2</v>
      </c>
      <c r="AC12" s="24">
        <v>2.3E-3</v>
      </c>
      <c r="AD12" s="24">
        <v>0.91710000000000003</v>
      </c>
      <c r="AE12" s="24">
        <v>13.568519999999999</v>
      </c>
      <c r="AF12" s="24">
        <v>0.42344100000000001</v>
      </c>
      <c r="AG12" s="24">
        <v>5.8470000000000001E-2</v>
      </c>
      <c r="AH12" s="24">
        <v>8.7000000000000001E-4</v>
      </c>
      <c r="AI12" s="24">
        <v>0.49586999999999998</v>
      </c>
      <c r="AJ12" s="24">
        <v>2.5170000000000001E-2</v>
      </c>
      <c r="AK12" s="24">
        <v>6.9999999999999999E-4</v>
      </c>
      <c r="AL12" s="24">
        <v>3.7919999999999998</v>
      </c>
      <c r="AM12" s="24">
        <v>2.4E-2</v>
      </c>
      <c r="AN12" s="24">
        <v>474</v>
      </c>
      <c r="AO12" s="24">
        <v>11</v>
      </c>
      <c r="AP12" s="24">
        <v>458</v>
      </c>
      <c r="AQ12" s="24">
        <v>14</v>
      </c>
      <c r="AR12" s="24">
        <v>502</v>
      </c>
      <c r="AS12" s="24">
        <v>14</v>
      </c>
      <c r="AT12" s="24">
        <v>546</v>
      </c>
      <c r="AU12" s="24">
        <v>32</v>
      </c>
      <c r="AV12" s="24">
        <v>37.479999999999997</v>
      </c>
      <c r="AW12" s="24">
        <v>0.99</v>
      </c>
      <c r="AX12" s="24">
        <v>11.11</v>
      </c>
      <c r="AY12" s="24">
        <v>0.23</v>
      </c>
      <c r="AZ12" s="24">
        <v>22933.53</v>
      </c>
      <c r="BA12" s="24">
        <v>540.27</v>
      </c>
      <c r="BB12" s="24">
        <v>6222.42</v>
      </c>
      <c r="BC12" s="24">
        <v>173.88</v>
      </c>
      <c r="BD12" s="24">
        <v>108178.2</v>
      </c>
      <c r="BE12" s="24">
        <v>2484</v>
      </c>
      <c r="BF12" s="24">
        <v>15.525</v>
      </c>
      <c r="BG12" s="24">
        <v>6.8310000000000004</v>
      </c>
      <c r="BH12" s="24">
        <f t="shared" si="6"/>
        <v>6968</v>
      </c>
      <c r="BI12" s="24">
        <f t="shared" si="7"/>
        <v>3070.0920908663311</v>
      </c>
      <c r="BJ12" s="27">
        <v>470.26</v>
      </c>
      <c r="BK12" s="27">
        <v>12.6</v>
      </c>
      <c r="BL12" s="27">
        <v>458.36</v>
      </c>
      <c r="BM12" s="27">
        <v>16.3</v>
      </c>
      <c r="BN12" s="27">
        <v>528.78</v>
      </c>
      <c r="BO12" s="27">
        <v>37.78</v>
      </c>
      <c r="BP12" s="27">
        <v>474.74</v>
      </c>
      <c r="BQ12" s="27">
        <v>12.35</v>
      </c>
      <c r="BR12" s="27">
        <v>2.6</v>
      </c>
    </row>
    <row r="13" spans="1:70" x14ac:dyDescent="0.2">
      <c r="A13" t="s">
        <v>773</v>
      </c>
      <c r="B13" t="s">
        <v>38</v>
      </c>
      <c r="C13" t="s">
        <v>774</v>
      </c>
      <c r="D13" t="s">
        <v>775</v>
      </c>
      <c r="E13">
        <v>78616</v>
      </c>
      <c r="F13">
        <v>39956</v>
      </c>
      <c r="G13" t="s">
        <v>775</v>
      </c>
      <c r="H13" s="1">
        <v>209</v>
      </c>
      <c r="I13" s="1">
        <v>116</v>
      </c>
      <c r="J13" s="10">
        <v>0.17</v>
      </c>
      <c r="K13" s="10">
        <f t="shared" ca="1" si="0"/>
        <v>1.2472369462135093E-2</v>
      </c>
      <c r="L13" s="7">
        <v>2.5000000000000001E-2</v>
      </c>
      <c r="M13" s="7">
        <f t="shared" ca="1" si="1"/>
        <v>1.6763054614240211E-3</v>
      </c>
      <c r="N13" s="7">
        <v>0.97387000000000001</v>
      </c>
      <c r="O13" s="8">
        <v>40</v>
      </c>
      <c r="P13" s="8">
        <f t="shared" ca="1" si="2"/>
        <v>2.6820887382784337</v>
      </c>
      <c r="Q13" s="9">
        <v>4.9169999999999998E-2</v>
      </c>
      <c r="R13" s="9">
        <f t="shared" ca="1" si="3"/>
        <v>1.293319589274051E-3</v>
      </c>
      <c r="S13" s="8">
        <f t="shared" si="4"/>
        <v>0.49225223143686114</v>
      </c>
      <c r="T13" s="11">
        <v>7.7000000000000002E-3</v>
      </c>
      <c r="U13" s="11">
        <f t="shared" ca="1" si="5"/>
        <v>7.2650946311799683E-4</v>
      </c>
      <c r="V13" s="6" t="e">
        <f ca="1">IF(agePb6U8(1/O13)&lt;1400,age7corr(1/O13,Q13,$W$2),agePb76(Q13))</f>
        <v>#NAME?</v>
      </c>
      <c r="W13" s="6" t="e">
        <f ca="1">IF(agePb6U8(1/O13)&lt;1400,ageer7corr(V13,1/O13,P13/O13*(1/O13),Q13,R13,$W$2,0.05),ageerPb76(Q13,R13))</f>
        <v>#NAME?</v>
      </c>
      <c r="X13" s="4" t="e">
        <f ca="1">agePb6U8(L13)/agePb7u5(J13)</f>
        <v>#NAME?</v>
      </c>
      <c r="Y13" s="3"/>
      <c r="Z13" s="1">
        <v>0.17</v>
      </c>
      <c r="AA13" s="1">
        <v>1.2E-2</v>
      </c>
      <c r="AB13" s="1">
        <v>2.5000000000000001E-2</v>
      </c>
      <c r="AC13" s="1">
        <v>1.6000000000000001E-3</v>
      </c>
      <c r="AD13" s="1">
        <v>0.97387000000000001</v>
      </c>
      <c r="AE13" s="1">
        <v>40</v>
      </c>
      <c r="AF13" s="1">
        <v>2.56</v>
      </c>
      <c r="AG13" s="1">
        <v>4.9169999999999998E-2</v>
      </c>
      <c r="AH13" s="1">
        <v>8.4000000000000003E-4</v>
      </c>
      <c r="AI13" s="1">
        <v>-0.32253999999999999</v>
      </c>
      <c r="AJ13" s="1">
        <v>7.7000000000000002E-3</v>
      </c>
      <c r="AK13" s="1">
        <v>7.1000000000000002E-4</v>
      </c>
      <c r="AL13" s="1">
        <v>6.32</v>
      </c>
      <c r="AM13" s="1">
        <v>0.34</v>
      </c>
      <c r="AN13" s="1">
        <v>159</v>
      </c>
      <c r="AO13" s="1">
        <v>10</v>
      </c>
      <c r="AP13" s="1">
        <v>159.4</v>
      </c>
      <c r="AQ13" s="1">
        <v>9.8000000000000007</v>
      </c>
      <c r="AR13" s="1">
        <v>155</v>
      </c>
      <c r="AS13" s="1">
        <v>14</v>
      </c>
      <c r="AT13" s="1">
        <v>154</v>
      </c>
      <c r="AU13" s="1">
        <v>40</v>
      </c>
      <c r="AV13" s="1">
        <v>45</v>
      </c>
      <c r="AW13" s="1">
        <v>4.8999999999999995</v>
      </c>
      <c r="AX13" s="1">
        <v>9.1</v>
      </c>
      <c r="AY13" s="1">
        <v>1.4</v>
      </c>
      <c r="AZ13" s="1">
        <v>5651.0999999999995</v>
      </c>
      <c r="BA13" s="1">
        <v>807.3</v>
      </c>
      <c r="BB13" s="1">
        <v>2111.4</v>
      </c>
      <c r="BC13" s="1">
        <v>217.35</v>
      </c>
      <c r="BD13" s="1">
        <v>43470</v>
      </c>
      <c r="BE13" s="1">
        <v>4533.2999999999993</v>
      </c>
      <c r="BF13" s="1">
        <v>3.6638999999999999</v>
      </c>
      <c r="BG13" s="1">
        <v>5.8995000000000006</v>
      </c>
      <c r="BH13" s="1">
        <f t="shared" si="6"/>
        <v>11864.406779661018</v>
      </c>
      <c r="BI13" s="1">
        <f t="shared" si="7"/>
        <v>19143.731570229127</v>
      </c>
      <c r="BJ13" s="27">
        <v>158.4</v>
      </c>
      <c r="BK13" s="27">
        <v>8.76</v>
      </c>
      <c r="BL13" s="27">
        <v>159.18</v>
      </c>
      <c r="BM13" s="27">
        <v>10.53</v>
      </c>
      <c r="BN13" s="27">
        <v>146.78</v>
      </c>
      <c r="BO13" s="27">
        <v>47.86</v>
      </c>
      <c r="BP13" s="27">
        <v>157.63999999999999</v>
      </c>
      <c r="BQ13" s="27">
        <v>8.09</v>
      </c>
      <c r="BR13" s="27">
        <v>-0.69</v>
      </c>
    </row>
    <row r="14" spans="1:70" x14ac:dyDescent="0.2">
      <c r="A14" t="s">
        <v>833</v>
      </c>
      <c r="B14" t="s">
        <v>38</v>
      </c>
      <c r="C14" t="s">
        <v>834</v>
      </c>
      <c r="D14" t="s">
        <v>835</v>
      </c>
      <c r="E14">
        <v>78204</v>
      </c>
      <c r="F14">
        <v>39617</v>
      </c>
      <c r="G14" t="s">
        <v>835</v>
      </c>
      <c r="H14" s="1">
        <v>185</v>
      </c>
      <c r="I14" s="1">
        <v>204</v>
      </c>
      <c r="J14" s="10">
        <v>0.16400000000000001</v>
      </c>
      <c r="K14" s="10">
        <f t="shared" ca="1" si="0"/>
        <v>1.1478606187164014E-2</v>
      </c>
      <c r="L14" s="7">
        <v>2.4199999999999999E-2</v>
      </c>
      <c r="M14" s="7">
        <f t="shared" ca="1" si="1"/>
        <v>1.5761522769072792E-3</v>
      </c>
      <c r="N14" s="7">
        <v>0.96806999999999999</v>
      </c>
      <c r="O14" s="8">
        <v>41.322310000000002</v>
      </c>
      <c r="P14" s="8">
        <f t="shared" ca="1" si="2"/>
        <v>2.691332571700205</v>
      </c>
      <c r="Q14" s="9">
        <v>4.9059999999999999E-2</v>
      </c>
      <c r="R14" s="9">
        <f t="shared" ca="1" si="3"/>
        <v>1.2534565967754928E-3</v>
      </c>
      <c r="S14" s="8">
        <f t="shared" si="4"/>
        <v>0.41868299808894527</v>
      </c>
      <c r="T14" s="11">
        <v>7.5799999999999999E-3</v>
      </c>
      <c r="U14" s="11">
        <f t="shared" ca="1" si="5"/>
        <v>6.3826527400446902E-4</v>
      </c>
      <c r="V14" s="6" t="e">
        <f ca="1">IF(agePb6U8(1/O14)&lt;1400,age7corr(1/O14,Q14,$W$2),agePb76(Q14))</f>
        <v>#NAME?</v>
      </c>
      <c r="W14" s="6" t="e">
        <f ca="1">IF(agePb6U8(1/O14)&lt;1400,ageer7corr(V14,1/O14,P14/O14*(1/O14),Q14,R14,$W$2,0.05),ageerPb76(Q14,R14))</f>
        <v>#NAME?</v>
      </c>
      <c r="X14" s="4" t="e">
        <f ca="1">agePb6U8(L14)/agePb7u5(J14)</f>
        <v>#NAME?</v>
      </c>
      <c r="Y14" s="3"/>
      <c r="Z14" s="1">
        <v>0.16400000000000001</v>
      </c>
      <c r="AA14" s="1">
        <v>1.0999999999999999E-2</v>
      </c>
      <c r="AB14" s="1">
        <v>2.4199999999999999E-2</v>
      </c>
      <c r="AC14" s="1">
        <v>1.5E-3</v>
      </c>
      <c r="AD14" s="1">
        <v>0.96806999999999999</v>
      </c>
      <c r="AE14" s="1">
        <v>41.322310000000002</v>
      </c>
      <c r="AF14" s="1">
        <v>2.5613000000000001</v>
      </c>
      <c r="AG14" s="1">
        <v>4.9059999999999999E-2</v>
      </c>
      <c r="AH14" s="1">
        <v>7.7999999999999999E-4</v>
      </c>
      <c r="AI14" s="1">
        <v>5.1202999999999999E-2</v>
      </c>
      <c r="AJ14" s="1">
        <v>7.5799999999999999E-3</v>
      </c>
      <c r="AK14" s="1">
        <v>6.2E-4</v>
      </c>
      <c r="AL14" s="1">
        <v>3.1150000000000002</v>
      </c>
      <c r="AM14" s="1">
        <v>6.0999999999999999E-2</v>
      </c>
      <c r="AN14" s="1">
        <v>154.19999999999999</v>
      </c>
      <c r="AO14" s="1">
        <v>9.6</v>
      </c>
      <c r="AP14" s="1">
        <v>154.30000000000001</v>
      </c>
      <c r="AQ14" s="1">
        <v>9.6999999999999993</v>
      </c>
      <c r="AR14" s="1">
        <v>153</v>
      </c>
      <c r="AS14" s="1">
        <v>12</v>
      </c>
      <c r="AT14" s="1">
        <v>149</v>
      </c>
      <c r="AU14" s="1">
        <v>37</v>
      </c>
      <c r="AV14" s="1">
        <v>39.800000000000004</v>
      </c>
      <c r="AW14" s="1">
        <v>4.5999999999999996</v>
      </c>
      <c r="AX14" s="1">
        <v>16</v>
      </c>
      <c r="AY14" s="1">
        <v>1.9</v>
      </c>
      <c r="AZ14" s="1">
        <v>9998.1</v>
      </c>
      <c r="BA14" s="1">
        <v>869.4</v>
      </c>
      <c r="BB14" s="1">
        <v>1831.9499999999998</v>
      </c>
      <c r="BC14" s="1">
        <v>124.2</v>
      </c>
      <c r="BD14" s="1">
        <v>38502</v>
      </c>
      <c r="BE14" s="1">
        <v>2980.8</v>
      </c>
      <c r="BF14" s="1">
        <v>3.2292000000000001</v>
      </c>
      <c r="BG14" s="1">
        <v>6.0858000000000008</v>
      </c>
      <c r="BH14" s="1">
        <f t="shared" si="6"/>
        <v>11923.076923076922</v>
      </c>
      <c r="BI14" s="1">
        <f t="shared" si="7"/>
        <v>22489.366051062072</v>
      </c>
      <c r="BJ14" s="27">
        <v>153.69999999999999</v>
      </c>
      <c r="BK14" s="27">
        <v>8.48</v>
      </c>
      <c r="BL14" s="27">
        <v>154.15</v>
      </c>
      <c r="BM14" s="27">
        <v>9.92</v>
      </c>
      <c r="BN14" s="27">
        <v>146.78</v>
      </c>
      <c r="BO14" s="27">
        <v>47.86</v>
      </c>
      <c r="BP14" s="27">
        <v>153.36000000000001</v>
      </c>
      <c r="BQ14" s="27">
        <v>8.11</v>
      </c>
      <c r="BR14" s="27">
        <v>-0.37</v>
      </c>
    </row>
    <row r="15" spans="1:70" x14ac:dyDescent="0.2">
      <c r="A15" t="s">
        <v>836</v>
      </c>
      <c r="B15" t="s">
        <v>38</v>
      </c>
      <c r="C15" t="s">
        <v>837</v>
      </c>
      <c r="D15" t="s">
        <v>838</v>
      </c>
      <c r="E15">
        <v>78206</v>
      </c>
      <c r="F15">
        <v>39774</v>
      </c>
      <c r="G15" t="s">
        <v>838</v>
      </c>
      <c r="H15" s="1">
        <v>147</v>
      </c>
      <c r="I15" s="1">
        <v>180</v>
      </c>
      <c r="J15" s="10">
        <v>0.17199999999999999</v>
      </c>
      <c r="K15" s="10">
        <f t="shared" ca="1" si="0"/>
        <v>1.1525345981791609E-2</v>
      </c>
      <c r="L15" s="7">
        <v>2.5100000000000001E-2</v>
      </c>
      <c r="M15" s="7">
        <f t="shared" ca="1" si="1"/>
        <v>1.6769030979755511E-3</v>
      </c>
      <c r="N15" s="7">
        <v>0.98087999999999997</v>
      </c>
      <c r="O15" s="8">
        <v>39.84064</v>
      </c>
      <c r="P15" s="8">
        <f t="shared" ca="1" si="2"/>
        <v>2.6617084976397849</v>
      </c>
      <c r="Q15" s="9">
        <v>4.965E-2</v>
      </c>
      <c r="R15" s="9">
        <f t="shared" ca="1" si="3"/>
        <v>1.1303313673432229E-3</v>
      </c>
      <c r="S15" s="8">
        <f t="shared" si="4"/>
        <v>0.28897507668140543</v>
      </c>
      <c r="T15" s="11">
        <v>8.09E-3</v>
      </c>
      <c r="U15" s="11">
        <f t="shared" ca="1" si="5"/>
        <v>5.1602251888846864E-4</v>
      </c>
      <c r="V15" s="6" t="e">
        <f ca="1">IF(agePb6U8(1/O15)&lt;1400,age7corr(1/O15,Q15,$W$2),agePb76(Q15))</f>
        <v>#NAME?</v>
      </c>
      <c r="W15" s="6" t="e">
        <f ca="1">IF(agePb6U8(1/O15)&lt;1400,ageer7corr(V15,1/O15,P15/O15*(1/O15),Q15,R15,$W$2,0.05),ageerPb76(Q15,R15))</f>
        <v>#NAME?</v>
      </c>
      <c r="X15" s="4" t="e">
        <f ca="1">agePb6U8(L15)/agePb7u5(J15)</f>
        <v>#NAME?</v>
      </c>
      <c r="Y15" s="3"/>
      <c r="Z15" s="1">
        <v>0.17199999999999999</v>
      </c>
      <c r="AA15" s="1">
        <v>1.0999999999999999E-2</v>
      </c>
      <c r="AB15" s="1">
        <v>2.5100000000000001E-2</v>
      </c>
      <c r="AC15" s="1">
        <v>1.6000000000000001E-3</v>
      </c>
      <c r="AD15" s="1">
        <v>0.98087999999999997</v>
      </c>
      <c r="AE15" s="1">
        <v>39.84064</v>
      </c>
      <c r="AF15" s="1">
        <v>2.5396420000000002</v>
      </c>
      <c r="AG15" s="1">
        <v>4.965E-2</v>
      </c>
      <c r="AH15" s="1">
        <v>5.4000000000000001E-4</v>
      </c>
      <c r="AI15" s="1">
        <v>-2.1354999999999999E-2</v>
      </c>
      <c r="AJ15" s="1">
        <v>8.09E-3</v>
      </c>
      <c r="AK15" s="1">
        <v>4.8999999999999998E-4</v>
      </c>
      <c r="AL15" s="1">
        <v>2.72</v>
      </c>
      <c r="AM15" s="1">
        <v>0.17</v>
      </c>
      <c r="AN15" s="1">
        <v>160.80000000000001</v>
      </c>
      <c r="AO15" s="1">
        <v>9.6999999999999993</v>
      </c>
      <c r="AP15" s="1">
        <v>160</v>
      </c>
      <c r="AQ15" s="1">
        <v>10</v>
      </c>
      <c r="AR15" s="1">
        <v>162.80000000000001</v>
      </c>
      <c r="AS15" s="1">
        <v>9.8000000000000007</v>
      </c>
      <c r="AT15" s="1">
        <v>178</v>
      </c>
      <c r="AU15" s="1">
        <v>25</v>
      </c>
      <c r="AV15" s="1">
        <v>31.7</v>
      </c>
      <c r="AW15" s="1">
        <v>3.9</v>
      </c>
      <c r="AX15" s="1">
        <v>14.1</v>
      </c>
      <c r="AY15" s="1">
        <v>1</v>
      </c>
      <c r="AZ15" s="1">
        <v>9395.73</v>
      </c>
      <c r="BA15" s="1">
        <v>509.21999999999991</v>
      </c>
      <c r="BB15" s="1">
        <v>1521.45</v>
      </c>
      <c r="BC15" s="1">
        <v>80.72999999999999</v>
      </c>
      <c r="BD15" s="1">
        <v>30863.700000000004</v>
      </c>
      <c r="BE15" s="1">
        <v>1676.7</v>
      </c>
      <c r="BF15" s="1">
        <v>-2.5461</v>
      </c>
      <c r="BG15" s="1">
        <v>5.4027000000000003</v>
      </c>
      <c r="BH15" s="1">
        <f t="shared" si="6"/>
        <v>-12121.951219512197</v>
      </c>
      <c r="BI15" s="1">
        <f t="shared" si="7"/>
        <v>-25730.617681889929</v>
      </c>
      <c r="BJ15" s="27">
        <v>161.99</v>
      </c>
      <c r="BK15" s="27">
        <v>9.57</v>
      </c>
      <c r="BL15" s="27">
        <v>159.81</v>
      </c>
      <c r="BM15" s="27">
        <v>10.54</v>
      </c>
      <c r="BN15" s="27">
        <v>193.95</v>
      </c>
      <c r="BO15" s="27">
        <v>46.5</v>
      </c>
      <c r="BP15" s="27">
        <v>162.99</v>
      </c>
      <c r="BQ15" s="27">
        <v>9.52</v>
      </c>
      <c r="BR15" s="27">
        <v>1.4</v>
      </c>
    </row>
    <row r="16" spans="1:70" x14ac:dyDescent="0.2">
      <c r="A16" t="s">
        <v>845</v>
      </c>
      <c r="B16" t="s">
        <v>38</v>
      </c>
      <c r="C16" t="s">
        <v>846</v>
      </c>
      <c r="D16" t="s">
        <v>847</v>
      </c>
      <c r="E16">
        <v>78191</v>
      </c>
      <c r="F16">
        <v>39963</v>
      </c>
      <c r="G16" t="s">
        <v>847</v>
      </c>
      <c r="H16" s="1">
        <v>280</v>
      </c>
      <c r="I16" s="1">
        <v>166</v>
      </c>
      <c r="J16" s="10">
        <v>0.16739999999999999</v>
      </c>
      <c r="K16" s="10">
        <f t="shared" ca="1" si="0"/>
        <v>6.4388744358000955E-3</v>
      </c>
      <c r="L16" s="7">
        <v>2.4910000000000002E-2</v>
      </c>
      <c r="M16" s="7">
        <f t="shared" ca="1" si="1"/>
        <v>7.9536358981286044E-4</v>
      </c>
      <c r="N16" s="7">
        <v>0.91922999999999999</v>
      </c>
      <c r="O16" s="8">
        <v>40.14452</v>
      </c>
      <c r="P16" s="8">
        <f t="shared" ca="1" si="2"/>
        <v>1.2817940805158996</v>
      </c>
      <c r="Q16" s="9">
        <v>4.8320000000000002E-2</v>
      </c>
      <c r="R16" s="9">
        <f t="shared" ca="1" si="3"/>
        <v>1.1169283593856858E-3</v>
      </c>
      <c r="S16" s="8">
        <f t="shared" si="4"/>
        <v>0.52602077026296712</v>
      </c>
      <c r="T16" s="11">
        <v>7.8899999999999994E-3</v>
      </c>
      <c r="U16" s="11">
        <f t="shared" ca="1" si="5"/>
        <v>2.6268010963908172E-4</v>
      </c>
      <c r="V16" s="6" t="e">
        <f ca="1">IF(agePb6U8(1/O16)&lt;1400,age7corr(1/O16,Q16,$W$2),agePb76(Q16))</f>
        <v>#NAME?</v>
      </c>
      <c r="W16" s="6" t="e">
        <f ca="1">IF(agePb6U8(1/O16)&lt;1400,ageer7corr(V16,1/O16,P16/O16*(1/O16),Q16,R16,$W$2,0.05),ageerPb76(Q16,R16))</f>
        <v>#NAME?</v>
      </c>
      <c r="X16" s="4" t="e">
        <f ca="1">agePb6U8(L16)/agePb7u5(J16)</f>
        <v>#NAME?</v>
      </c>
      <c r="Y16" s="3"/>
      <c r="Z16" s="1">
        <v>0.16739999999999999</v>
      </c>
      <c r="AA16" s="1">
        <v>5.4999999999999997E-3</v>
      </c>
      <c r="AB16" s="1">
        <v>2.4910000000000002E-2</v>
      </c>
      <c r="AC16" s="1">
        <v>6.2E-4</v>
      </c>
      <c r="AD16" s="1">
        <v>0.91922999999999999</v>
      </c>
      <c r="AE16" s="1">
        <v>40.14452</v>
      </c>
      <c r="AF16" s="1">
        <v>0.99918119999999999</v>
      </c>
      <c r="AG16" s="1">
        <v>4.8320000000000002E-2</v>
      </c>
      <c r="AH16" s="1">
        <v>5.5999999999999995E-4</v>
      </c>
      <c r="AI16" s="1">
        <v>-0.20301</v>
      </c>
      <c r="AJ16" s="1">
        <v>7.8899999999999994E-3</v>
      </c>
      <c r="AK16" s="1">
        <v>2.1000000000000001E-4</v>
      </c>
      <c r="AL16" s="1">
        <v>5.6959999999999997</v>
      </c>
      <c r="AM16" s="1">
        <v>8.3000000000000004E-2</v>
      </c>
      <c r="AN16" s="1">
        <v>157.1</v>
      </c>
      <c r="AO16" s="1">
        <v>4.7</v>
      </c>
      <c r="AP16" s="1">
        <v>158.6</v>
      </c>
      <c r="AQ16" s="1">
        <v>3.9</v>
      </c>
      <c r="AR16" s="1">
        <v>158.80000000000001</v>
      </c>
      <c r="AS16" s="1">
        <v>4.0999999999999996</v>
      </c>
      <c r="AT16" s="1">
        <v>114</v>
      </c>
      <c r="AU16" s="1">
        <v>27</v>
      </c>
      <c r="AV16" s="1">
        <v>60.199999999999996</v>
      </c>
      <c r="AW16" s="1">
        <v>2.4</v>
      </c>
      <c r="AX16" s="1">
        <v>13.03</v>
      </c>
      <c r="AY16" s="1">
        <v>0.92</v>
      </c>
      <c r="AZ16" s="1">
        <v>8395.92</v>
      </c>
      <c r="BA16" s="1">
        <v>484.38</v>
      </c>
      <c r="BB16" s="1">
        <v>2831.7599999999998</v>
      </c>
      <c r="BC16" s="1">
        <v>130.41</v>
      </c>
      <c r="BD16" s="1">
        <v>58995</v>
      </c>
      <c r="BE16" s="1">
        <v>2670.3</v>
      </c>
      <c r="BF16" s="1">
        <v>2.7323999999999997</v>
      </c>
      <c r="BG16" s="1">
        <v>6.1478999999999999</v>
      </c>
      <c r="BH16" s="1">
        <f t="shared" si="6"/>
        <v>21590.909090909092</v>
      </c>
      <c r="BI16" s="1">
        <f t="shared" si="7"/>
        <v>48589.374337952941</v>
      </c>
      <c r="BJ16" s="27">
        <v>154.9</v>
      </c>
      <c r="BK16" s="27">
        <v>3.93</v>
      </c>
      <c r="BL16" s="27">
        <v>158.63</v>
      </c>
      <c r="BM16" s="27">
        <v>5</v>
      </c>
      <c r="BN16" s="27">
        <v>98.2</v>
      </c>
      <c r="BO16" s="27">
        <v>49.3</v>
      </c>
      <c r="BP16" s="27">
        <v>155.06</v>
      </c>
      <c r="BQ16" s="27">
        <v>3.91</v>
      </c>
      <c r="BR16" s="27">
        <v>-1.9</v>
      </c>
    </row>
    <row r="17" spans="1:70" x14ac:dyDescent="0.2">
      <c r="A17" t="s">
        <v>848</v>
      </c>
      <c r="B17" t="s">
        <v>38</v>
      </c>
      <c r="C17" t="s">
        <v>849</v>
      </c>
      <c r="D17" t="s">
        <v>850</v>
      </c>
      <c r="E17">
        <v>78249</v>
      </c>
      <c r="F17">
        <v>40158</v>
      </c>
      <c r="G17" t="s">
        <v>850</v>
      </c>
      <c r="H17" s="1">
        <v>245</v>
      </c>
      <c r="I17" s="1">
        <v>128</v>
      </c>
      <c r="J17" s="10">
        <v>0.16</v>
      </c>
      <c r="K17" s="10">
        <f t="shared" ca="1" si="0"/>
        <v>8.4308955633431958E-3</v>
      </c>
      <c r="L17" s="7">
        <v>2.3699999999999999E-2</v>
      </c>
      <c r="M17" s="7">
        <f t="shared" ca="1" si="1"/>
        <v>1.2902232364982425E-3</v>
      </c>
      <c r="N17" s="7">
        <v>0.97275999999999996</v>
      </c>
      <c r="O17" s="8">
        <v>42.194090000000003</v>
      </c>
      <c r="P17" s="8">
        <f t="shared" ca="1" si="2"/>
        <v>2.2970381321326037</v>
      </c>
      <c r="Q17" s="9">
        <v>4.9050000000000003E-2</v>
      </c>
      <c r="R17" s="9">
        <f t="shared" ca="1" si="3"/>
        <v>1.1295844368616275E-3</v>
      </c>
      <c r="S17" s="8">
        <f t="shared" si="4"/>
        <v>0.45982048874120207</v>
      </c>
      <c r="T17" s="11">
        <v>7.4099999999999999E-3</v>
      </c>
      <c r="U17" s="11">
        <f t="shared" ca="1" si="5"/>
        <v>5.6961674834927394E-4</v>
      </c>
      <c r="V17" s="6" t="e">
        <f ca="1">IF(agePb6U8(1/O17)&lt;1400,age7corr(1/O17,Q17,$W$2),agePb76(Q17))</f>
        <v>#NAME?</v>
      </c>
      <c r="W17" s="6" t="e">
        <f ca="1">IF(agePb6U8(1/O17)&lt;1400,ageer7corr(V17,1/O17,P17/O17*(1/O17),Q17,R17,$W$2,0.05),ageerPb76(Q17,R17))</f>
        <v>#NAME?</v>
      </c>
      <c r="X17" s="4" t="e">
        <f ca="1">agePb6U8(L17)/agePb7u5(J17)</f>
        <v>#NAME?</v>
      </c>
      <c r="Y17" s="3"/>
      <c r="Z17" s="1">
        <v>0.16</v>
      </c>
      <c r="AA17" s="1">
        <v>7.7999999999999996E-3</v>
      </c>
      <c r="AB17" s="1">
        <v>2.3699999999999999E-2</v>
      </c>
      <c r="AC17" s="1">
        <v>1.1999999999999999E-3</v>
      </c>
      <c r="AD17" s="1">
        <v>0.97275999999999996</v>
      </c>
      <c r="AE17" s="1">
        <v>42.194090000000003</v>
      </c>
      <c r="AF17" s="1">
        <v>2.1364100000000001</v>
      </c>
      <c r="AG17" s="1">
        <v>4.9050000000000003E-2</v>
      </c>
      <c r="AH17" s="1">
        <v>5.5999999999999995E-4</v>
      </c>
      <c r="AI17" s="1">
        <v>0.13155</v>
      </c>
      <c r="AJ17" s="1">
        <v>7.4099999999999999E-3</v>
      </c>
      <c r="AK17" s="1">
        <v>5.5000000000000003E-4</v>
      </c>
      <c r="AL17" s="1">
        <v>6.69</v>
      </c>
      <c r="AM17" s="1">
        <v>0.17</v>
      </c>
      <c r="AN17" s="1">
        <v>150.5</v>
      </c>
      <c r="AO17" s="1">
        <v>6.9</v>
      </c>
      <c r="AP17" s="1">
        <v>151.19999999999999</v>
      </c>
      <c r="AQ17" s="1">
        <v>7.3</v>
      </c>
      <c r="AR17" s="1">
        <v>149</v>
      </c>
      <c r="AS17" s="1">
        <v>11</v>
      </c>
      <c r="AT17" s="1">
        <v>149</v>
      </c>
      <c r="AU17" s="1">
        <v>27</v>
      </c>
      <c r="AV17" s="1">
        <v>52.6</v>
      </c>
      <c r="AW17" s="1">
        <v>2.8</v>
      </c>
      <c r="AX17" s="1">
        <v>10.09</v>
      </c>
      <c r="AY17" s="1">
        <v>0.92</v>
      </c>
      <c r="AZ17" s="1">
        <v>6036.1200000000008</v>
      </c>
      <c r="BA17" s="1">
        <v>409.86</v>
      </c>
      <c r="BB17" s="1">
        <v>2446.7400000000002</v>
      </c>
      <c r="BC17" s="1">
        <v>117.99</v>
      </c>
      <c r="BD17" s="1">
        <v>50425.200000000004</v>
      </c>
      <c r="BE17" s="1">
        <v>2359.7999999999997</v>
      </c>
      <c r="BF17" s="1">
        <v>0.93149999999999988</v>
      </c>
      <c r="BG17" s="1">
        <v>4.5953999999999997</v>
      </c>
      <c r="BH17" s="1">
        <f t="shared" si="6"/>
        <v>54133.333333333343</v>
      </c>
      <c r="BI17" s="1">
        <f t="shared" si="7"/>
        <v>267069.79321777058</v>
      </c>
      <c r="BJ17" s="27">
        <v>150.76</v>
      </c>
      <c r="BK17" s="27">
        <v>6.81</v>
      </c>
      <c r="BL17" s="27">
        <v>151.01</v>
      </c>
      <c r="BM17" s="27">
        <v>8.14</v>
      </c>
      <c r="BN17" s="27">
        <v>146.78</v>
      </c>
      <c r="BO17" s="27">
        <v>47.86</v>
      </c>
      <c r="BP17" s="27">
        <v>150.63</v>
      </c>
      <c r="BQ17" s="27">
        <v>6.62</v>
      </c>
      <c r="BR17" s="27">
        <v>-0.18</v>
      </c>
    </row>
    <row r="18" spans="1:70" x14ac:dyDescent="0.2">
      <c r="A18" t="s">
        <v>851</v>
      </c>
      <c r="B18" t="s">
        <v>38</v>
      </c>
      <c r="C18" t="s">
        <v>852</v>
      </c>
      <c r="D18" t="s">
        <v>853</v>
      </c>
      <c r="E18">
        <v>78235</v>
      </c>
      <c r="F18">
        <v>40454</v>
      </c>
      <c r="G18" t="s">
        <v>853</v>
      </c>
      <c r="H18" s="1">
        <v>994</v>
      </c>
      <c r="I18" s="1">
        <v>817</v>
      </c>
      <c r="J18" s="10">
        <v>0.52300000000000002</v>
      </c>
      <c r="K18" s="10">
        <f t="shared" ca="1" si="0"/>
        <v>1.9960250499430111E-2</v>
      </c>
      <c r="L18" s="7">
        <v>6.7199999999999996E-2</v>
      </c>
      <c r="M18" s="7">
        <f t="shared" ca="1" si="1"/>
        <v>2.3273023009484609E-3</v>
      </c>
      <c r="N18" s="7">
        <v>0.99072000000000005</v>
      </c>
      <c r="O18" s="8">
        <v>14.88095</v>
      </c>
      <c r="P18" s="8">
        <f t="shared" ca="1" si="2"/>
        <v>0.51536416885386971</v>
      </c>
      <c r="Q18" s="9">
        <v>5.6219999999999999E-2</v>
      </c>
      <c r="R18" s="9">
        <f t="shared" ca="1" si="3"/>
        <v>1.1540690447282606E-3</v>
      </c>
      <c r="S18" s="8">
        <f t="shared" si="4"/>
        <v>0.50472904144634556</v>
      </c>
      <c r="T18" s="11">
        <v>2.1520000000000001E-2</v>
      </c>
      <c r="U18" s="11">
        <f t="shared" ca="1" si="5"/>
        <v>8.734095030396682E-4</v>
      </c>
      <c r="V18" s="6" t="e">
        <f ca="1">IF(agePb6U8(1/O18)&lt;1400,age7corr(1/O18,Q18,$W$2),agePb76(Q18))</f>
        <v>#NAME?</v>
      </c>
      <c r="W18" s="6" t="e">
        <f ca="1">IF(agePb6U8(1/O18)&lt;1400,ageer7corr(V18,1/O18,P18/O18*(1/O18),Q18,R18,$W$2,0.05),ageerPb76(Q18,R18))</f>
        <v>#NAME?</v>
      </c>
      <c r="X18" s="4" t="e">
        <f ca="1">agePb6U8(L18)/agePb7u5(J18)</f>
        <v>#NAME?</v>
      </c>
      <c r="Y18" s="3"/>
      <c r="Z18" s="1">
        <v>0.52300000000000002</v>
      </c>
      <c r="AA18" s="1">
        <v>1.7000000000000001E-2</v>
      </c>
      <c r="AB18" s="1">
        <v>6.7199999999999996E-2</v>
      </c>
      <c r="AC18" s="1">
        <v>1.9E-3</v>
      </c>
      <c r="AD18" s="1">
        <v>0.99072000000000005</v>
      </c>
      <c r="AE18" s="1">
        <v>14.88095</v>
      </c>
      <c r="AF18" s="1">
        <v>0.42074119999999998</v>
      </c>
      <c r="AG18" s="1">
        <v>5.6219999999999999E-2</v>
      </c>
      <c r="AH18" s="1">
        <v>2.5999999999999998E-4</v>
      </c>
      <c r="AI18" s="1">
        <v>-0.34950999999999999</v>
      </c>
      <c r="AJ18" s="1">
        <v>2.1520000000000001E-2</v>
      </c>
      <c r="AK18" s="1">
        <v>7.6000000000000004E-4</v>
      </c>
      <c r="AL18" s="1">
        <v>4.05</v>
      </c>
      <c r="AM18" s="1">
        <v>7.5999999999999998E-2</v>
      </c>
      <c r="AN18" s="1">
        <v>427</v>
      </c>
      <c r="AO18" s="1">
        <v>11</v>
      </c>
      <c r="AP18" s="1">
        <v>419</v>
      </c>
      <c r="AQ18" s="1">
        <v>12</v>
      </c>
      <c r="AR18" s="1">
        <v>430</v>
      </c>
      <c r="AS18" s="1">
        <v>15</v>
      </c>
      <c r="AT18" s="1">
        <v>461</v>
      </c>
      <c r="AU18" s="1">
        <v>10</v>
      </c>
      <c r="AV18" s="1">
        <v>213.79999999999998</v>
      </c>
      <c r="AW18" s="1">
        <v>6.2</v>
      </c>
      <c r="AX18" s="1">
        <v>64.100000000000009</v>
      </c>
      <c r="AY18" s="1">
        <v>4.8999999999999995</v>
      </c>
      <c r="AZ18" s="1">
        <v>113643</v>
      </c>
      <c r="BA18" s="1">
        <v>4409.1000000000004</v>
      </c>
      <c r="BB18" s="1">
        <v>31422.6</v>
      </c>
      <c r="BC18" s="1">
        <v>869.4</v>
      </c>
      <c r="BD18" s="1">
        <v>564489.00000000012</v>
      </c>
      <c r="BE18" s="1">
        <v>16145.999999999996</v>
      </c>
      <c r="BF18" s="1">
        <v>32.975099999999998</v>
      </c>
      <c r="BG18" s="1">
        <v>6.0858000000000008</v>
      </c>
      <c r="BH18" s="1">
        <f t="shared" si="6"/>
        <v>17118.644067796617</v>
      </c>
      <c r="BI18" s="1">
        <f t="shared" si="7"/>
        <v>3197.0905342475794</v>
      </c>
      <c r="BJ18" s="27">
        <v>424.26</v>
      </c>
      <c r="BK18" s="27">
        <v>10.5</v>
      </c>
      <c r="BL18" s="27">
        <v>419.29</v>
      </c>
      <c r="BM18" s="27">
        <v>14.19</v>
      </c>
      <c r="BN18" s="27">
        <v>451.37</v>
      </c>
      <c r="BO18" s="27">
        <v>39.65</v>
      </c>
      <c r="BP18" s="27">
        <v>425.87</v>
      </c>
      <c r="BQ18" s="27">
        <v>10.24</v>
      </c>
      <c r="BR18" s="27">
        <v>1.2</v>
      </c>
    </row>
    <row r="19" spans="1:70" x14ac:dyDescent="0.2">
      <c r="A19" t="s">
        <v>854</v>
      </c>
      <c r="B19" t="s">
        <v>38</v>
      </c>
      <c r="C19" t="s">
        <v>855</v>
      </c>
      <c r="D19" t="s">
        <v>856</v>
      </c>
      <c r="E19">
        <v>78173</v>
      </c>
      <c r="F19">
        <v>40555</v>
      </c>
      <c r="G19" t="s">
        <v>856</v>
      </c>
      <c r="H19" s="1">
        <v>25.81</v>
      </c>
      <c r="I19" s="1">
        <v>30.59</v>
      </c>
      <c r="J19" s="10">
        <v>2.5910000000000002</v>
      </c>
      <c r="K19" s="10">
        <f t="shared" ca="1" si="0"/>
        <v>8.1573968887139484E-2</v>
      </c>
      <c r="L19" s="7">
        <v>0.22090000000000001</v>
      </c>
      <c r="M19" s="7">
        <f t="shared" ca="1" si="1"/>
        <v>6.4504824625759589E-3</v>
      </c>
      <c r="N19" s="7">
        <v>0.93459000000000003</v>
      </c>
      <c r="O19" s="8">
        <v>4.5269349999999999</v>
      </c>
      <c r="P19" s="8">
        <f t="shared" ca="1" si="2"/>
        <v>0.13219065403977279</v>
      </c>
      <c r="Q19" s="9">
        <v>8.5739999999999997E-2</v>
      </c>
      <c r="R19" s="9">
        <f t="shared" ca="1" si="3"/>
        <v>1.8922312332270599E-3</v>
      </c>
      <c r="S19" s="8">
        <f t="shared" si="4"/>
        <v>0.33431521879272513</v>
      </c>
      <c r="T19" s="11">
        <v>5.9299999999999999E-2</v>
      </c>
      <c r="U19" s="11">
        <f t="shared" ca="1" si="5"/>
        <v>1.8348286023495491E-3</v>
      </c>
      <c r="V19" s="6" t="e">
        <f ca="1">IF(agePb6U8(1/O19)&lt;1400,age7corr(1/O19,Q19,$W$2),agePb76(Q19))</f>
        <v>#NAME?</v>
      </c>
      <c r="W19" s="6" t="e">
        <f ca="1">IF(agePb6U8(1/O19)&lt;1400,ageer7corr(V19,1/O19,P19/O19*(1/O19),Q19,R19,$W$2,0.05),ageerPb76(Q19,R19))</f>
        <v>#NAME?</v>
      </c>
      <c r="X19" s="4" t="e">
        <f ca="1">agePb6U8(L19)/agePb7u5(J19)</f>
        <v>#NAME?</v>
      </c>
      <c r="Y19" s="3"/>
      <c r="Z19" s="1">
        <v>2.5910000000000002</v>
      </c>
      <c r="AA19" s="1">
        <v>6.3E-2</v>
      </c>
      <c r="AB19" s="1">
        <v>0.22090000000000001</v>
      </c>
      <c r="AC19" s="1">
        <v>4.7000000000000002E-3</v>
      </c>
      <c r="AD19" s="1">
        <v>0.93459000000000003</v>
      </c>
      <c r="AE19" s="1">
        <v>4.5269349999999999</v>
      </c>
      <c r="AF19" s="1">
        <v>9.6317769999999997E-2</v>
      </c>
      <c r="AG19" s="1">
        <v>8.5739999999999997E-2</v>
      </c>
      <c r="AH19" s="1">
        <v>8.0000000000000004E-4</v>
      </c>
      <c r="AI19" s="1">
        <v>-0.26008999999999999</v>
      </c>
      <c r="AJ19" s="1">
        <v>5.9299999999999999E-2</v>
      </c>
      <c r="AK19" s="1">
        <v>1.4E-3</v>
      </c>
      <c r="AL19" s="1">
        <v>3.27</v>
      </c>
      <c r="AM19" s="1">
        <v>0.02</v>
      </c>
      <c r="AN19" s="1">
        <v>1297</v>
      </c>
      <c r="AO19" s="1">
        <v>18</v>
      </c>
      <c r="AP19" s="1">
        <v>1286</v>
      </c>
      <c r="AQ19" s="1">
        <v>25</v>
      </c>
      <c r="AR19" s="1">
        <v>1164</v>
      </c>
      <c r="AS19" s="1">
        <v>26</v>
      </c>
      <c r="AT19" s="1">
        <v>1332</v>
      </c>
      <c r="AU19" s="1">
        <v>18</v>
      </c>
      <c r="AV19" s="1">
        <v>5.55</v>
      </c>
      <c r="AW19" s="1">
        <v>0.11</v>
      </c>
      <c r="AX19" s="1">
        <v>2.403</v>
      </c>
      <c r="AY19" s="1">
        <v>4.3000000000000003E-2</v>
      </c>
      <c r="AZ19" s="1">
        <v>11712.06</v>
      </c>
      <c r="BA19" s="1">
        <v>186.3</v>
      </c>
      <c r="BB19" s="1">
        <v>4048.9199999999996</v>
      </c>
      <c r="BC19" s="1">
        <v>68.31</v>
      </c>
      <c r="BD19" s="1">
        <v>47816.999999999993</v>
      </c>
      <c r="BE19" s="1">
        <v>621</v>
      </c>
      <c r="BF19" s="1">
        <v>55.89</v>
      </c>
      <c r="BG19" s="1">
        <v>7.4519999999999991</v>
      </c>
      <c r="BH19" s="1">
        <f t="shared" si="6"/>
        <v>855.55555555555543</v>
      </c>
      <c r="BI19" s="1">
        <f t="shared" si="7"/>
        <v>114.61392221707094</v>
      </c>
      <c r="BJ19" s="27">
        <v>1305.26</v>
      </c>
      <c r="BK19" s="27">
        <v>22.33</v>
      </c>
      <c r="BL19" s="27">
        <v>1285.8399999999999</v>
      </c>
      <c r="BM19" s="27">
        <v>33.450000000000003</v>
      </c>
      <c r="BN19" s="27">
        <v>1337.31</v>
      </c>
      <c r="BO19" s="27">
        <v>44.96</v>
      </c>
      <c r="BP19" s="27">
        <v>1305.82</v>
      </c>
      <c r="BQ19" s="27">
        <v>22.46</v>
      </c>
      <c r="BR19" s="27">
        <v>1.4</v>
      </c>
    </row>
    <row r="20" spans="1:70" x14ac:dyDescent="0.2">
      <c r="A20" t="s">
        <v>857</v>
      </c>
      <c r="B20" t="s">
        <v>38</v>
      </c>
      <c r="C20" t="s">
        <v>858</v>
      </c>
      <c r="D20" t="s">
        <v>859</v>
      </c>
      <c r="E20">
        <v>78311</v>
      </c>
      <c r="F20">
        <v>40766</v>
      </c>
      <c r="G20" t="s">
        <v>859</v>
      </c>
      <c r="H20" s="1">
        <v>311.8</v>
      </c>
      <c r="I20" s="1">
        <v>129.69999999999999</v>
      </c>
      <c r="J20" s="10">
        <v>0.16850000000000001</v>
      </c>
      <c r="K20" s="10">
        <f t="shared" ca="1" si="0"/>
        <v>4.8586932399566039E-3</v>
      </c>
      <c r="L20" s="7">
        <v>2.5049999999999999E-2</v>
      </c>
      <c r="M20" s="7">
        <f t="shared" ca="1" si="1"/>
        <v>7.2208102038483191E-4</v>
      </c>
      <c r="N20" s="7">
        <v>0.89122000000000001</v>
      </c>
      <c r="O20" s="8">
        <v>39.920160000000003</v>
      </c>
      <c r="P20" s="8">
        <f t="shared" ca="1" si="2"/>
        <v>1.1507221762416158</v>
      </c>
      <c r="Q20" s="9">
        <v>4.888E-2</v>
      </c>
      <c r="R20" s="9">
        <f t="shared" ca="1" si="3"/>
        <v>1.1120259709197443E-3</v>
      </c>
      <c r="S20" s="8">
        <f t="shared" si="4"/>
        <v>0.42609222112595313</v>
      </c>
      <c r="T20" s="11">
        <v>8.2699999999999996E-3</v>
      </c>
      <c r="U20" s="11">
        <f t="shared" ca="1" si="5"/>
        <v>2.2328716935820559E-4</v>
      </c>
      <c r="V20" s="6" t="e">
        <f ca="1">IF(agePb6U8(1/O20)&lt;1400,age7corr(1/O20,Q20,$W$2),agePb76(Q20))</f>
        <v>#NAME?</v>
      </c>
      <c r="W20" s="6" t="e">
        <f ca="1">IF(agePb6U8(1/O20)&lt;1400,ageer7corr(V20,1/O20,P20/O20*(1/O20),Q20,R20,$W$2,0.05),ageerPb76(Q20,R20))</f>
        <v>#NAME?</v>
      </c>
      <c r="X20" s="4" t="e">
        <f ca="1">agePb6U8(L20)/agePb7u5(J20)</f>
        <v>#NAME?</v>
      </c>
      <c r="Y20" s="3"/>
      <c r="Z20" s="1">
        <v>0.16850000000000001</v>
      </c>
      <c r="AA20" s="1">
        <v>3.5000000000000001E-3</v>
      </c>
      <c r="AB20" s="1">
        <v>2.5049999999999999E-2</v>
      </c>
      <c r="AC20" s="1">
        <v>5.1999999999999995E-4</v>
      </c>
      <c r="AD20" s="1">
        <v>0.89122000000000001</v>
      </c>
      <c r="AE20" s="1">
        <v>39.920160000000003</v>
      </c>
      <c r="AF20" s="1">
        <v>0.82868200000000003</v>
      </c>
      <c r="AG20" s="1">
        <v>4.888E-2</v>
      </c>
      <c r="AH20" s="1">
        <v>5.2999999999999998E-4</v>
      </c>
      <c r="AI20" s="1">
        <v>-8.0952000000000003E-3</v>
      </c>
      <c r="AJ20" s="1">
        <v>8.2699999999999996E-3</v>
      </c>
      <c r="AK20" s="1">
        <v>1.4999999999999999E-4</v>
      </c>
      <c r="AL20" s="1">
        <v>7.742</v>
      </c>
      <c r="AM20" s="1">
        <v>6.5000000000000002E-2</v>
      </c>
      <c r="AN20" s="1">
        <v>158.1</v>
      </c>
      <c r="AO20" s="1">
        <v>3.1</v>
      </c>
      <c r="AP20" s="1">
        <v>159.5</v>
      </c>
      <c r="AQ20" s="1">
        <v>3.3</v>
      </c>
      <c r="AR20" s="1">
        <v>166.4</v>
      </c>
      <c r="AS20" s="1">
        <v>3</v>
      </c>
      <c r="AT20" s="1">
        <v>141</v>
      </c>
      <c r="AU20" s="1">
        <v>26</v>
      </c>
      <c r="AV20" s="1">
        <v>67.100000000000009</v>
      </c>
      <c r="AW20" s="1">
        <v>1.4</v>
      </c>
      <c r="AX20" s="1">
        <v>10.18</v>
      </c>
      <c r="AY20" s="1">
        <v>0.35</v>
      </c>
      <c r="AZ20" s="1">
        <v>6812.37</v>
      </c>
      <c r="BA20" s="1">
        <v>155.25</v>
      </c>
      <c r="BB20" s="1">
        <v>3154.6800000000003</v>
      </c>
      <c r="BC20" s="1">
        <v>86.94</v>
      </c>
      <c r="BD20" s="1">
        <v>65577.600000000006</v>
      </c>
      <c r="BE20" s="1">
        <v>1366.1999999999998</v>
      </c>
      <c r="BF20" s="1">
        <v>4.5332999999999997</v>
      </c>
      <c r="BG20" s="1">
        <v>5.4647999999999994</v>
      </c>
      <c r="BH20" s="1">
        <f t="shared" si="6"/>
        <v>14465.753424657536</v>
      </c>
      <c r="BI20" s="1">
        <f t="shared" si="7"/>
        <v>17440.772484162197</v>
      </c>
      <c r="BJ20" s="27">
        <v>158.69</v>
      </c>
      <c r="BK20" s="27">
        <v>4</v>
      </c>
      <c r="BL20" s="27">
        <v>159.49</v>
      </c>
      <c r="BM20" s="27">
        <v>4.54</v>
      </c>
      <c r="BN20" s="27">
        <v>146.78</v>
      </c>
      <c r="BO20" s="27">
        <v>47.86</v>
      </c>
      <c r="BP20" s="27">
        <v>158.91</v>
      </c>
      <c r="BQ20" s="27">
        <v>3.91</v>
      </c>
      <c r="BR20" s="27">
        <v>-0.38</v>
      </c>
    </row>
    <row r="21" spans="1:70" x14ac:dyDescent="0.2">
      <c r="A21" t="s">
        <v>860</v>
      </c>
      <c r="B21" t="s">
        <v>38</v>
      </c>
      <c r="C21" t="s">
        <v>861</v>
      </c>
      <c r="D21" t="s">
        <v>862</v>
      </c>
      <c r="E21">
        <v>78295</v>
      </c>
      <c r="F21">
        <v>40936</v>
      </c>
      <c r="G21" t="s">
        <v>862</v>
      </c>
      <c r="H21" s="1">
        <v>46.5</v>
      </c>
      <c r="I21" s="1">
        <v>73.2</v>
      </c>
      <c r="J21" s="10">
        <v>13.44</v>
      </c>
      <c r="K21" s="10">
        <f t="shared" ca="1" si="0"/>
        <v>0.37396983835598291</v>
      </c>
      <c r="L21" s="7">
        <v>0.48930000000000001</v>
      </c>
      <c r="M21" s="7">
        <f t="shared" ca="1" si="1"/>
        <v>1.3500214664959962E-2</v>
      </c>
      <c r="N21" s="7">
        <v>0.98738000000000004</v>
      </c>
      <c r="O21" s="8">
        <v>2.043736</v>
      </c>
      <c r="P21" s="8">
        <f t="shared" ca="1" si="2"/>
        <v>5.6388464169822003E-2</v>
      </c>
      <c r="Q21" s="9">
        <v>0.19988</v>
      </c>
      <c r="R21" s="9">
        <f t="shared" ca="1" si="3"/>
        <v>4.0710816449685706E-3</v>
      </c>
      <c r="S21" s="8">
        <f t="shared" si="4"/>
        <v>0.5701008991308133</v>
      </c>
      <c r="T21" s="11">
        <v>0.14610000000000001</v>
      </c>
      <c r="U21" s="11">
        <f t="shared" ca="1" si="5"/>
        <v>4.4830886674256179E-3</v>
      </c>
      <c r="V21" s="6" t="e">
        <f ca="1">IF(agePb6U8(1/O21)&lt;1400,age7corr(1/O21,Q21,$W$2),agePb76(Q21))</f>
        <v>#NAME?</v>
      </c>
      <c r="W21" s="6" t="e">
        <f ca="1">IF(agePb6U8(1/O21)&lt;1400,ageer7corr(V21,1/O21,P21/O21*(1/O21),Q21,R21,$W$2,0.05),ageerPb76(Q21,R21))</f>
        <v>#NAME?</v>
      </c>
      <c r="X21" s="4" t="e">
        <f ca="1">agePb6U8(L21)/agePb7u5(J21)</f>
        <v>#NAME?</v>
      </c>
      <c r="Y21" s="3"/>
      <c r="Z21" s="1">
        <v>13.44</v>
      </c>
      <c r="AA21" s="1">
        <v>0.26</v>
      </c>
      <c r="AB21" s="1">
        <v>0.48930000000000001</v>
      </c>
      <c r="AC21" s="1">
        <v>9.2999999999999992E-3</v>
      </c>
      <c r="AD21" s="1">
        <v>0.98738000000000004</v>
      </c>
      <c r="AE21" s="1">
        <v>2.043736</v>
      </c>
      <c r="AF21" s="1">
        <v>3.8844770000000001E-2</v>
      </c>
      <c r="AG21" s="1">
        <v>0.19988</v>
      </c>
      <c r="AH21" s="1">
        <v>7.6999999999999996E-4</v>
      </c>
      <c r="AI21" s="1">
        <v>6.1054999999999998E-2</v>
      </c>
      <c r="AJ21" s="1">
        <v>0.14610000000000001</v>
      </c>
      <c r="AK21" s="1">
        <v>3.3999999999999998E-3</v>
      </c>
      <c r="AL21" s="1">
        <v>2.242</v>
      </c>
      <c r="AM21" s="1">
        <v>4.7E-2</v>
      </c>
      <c r="AN21" s="1">
        <v>2710</v>
      </c>
      <c r="AO21" s="1">
        <v>18</v>
      </c>
      <c r="AP21" s="1">
        <v>2567</v>
      </c>
      <c r="AQ21" s="1">
        <v>40</v>
      </c>
      <c r="AR21" s="1">
        <v>2755</v>
      </c>
      <c r="AS21" s="1">
        <v>60</v>
      </c>
      <c r="AT21" s="1">
        <v>2825.2</v>
      </c>
      <c r="AU21" s="1">
        <v>6.3</v>
      </c>
      <c r="AV21" s="1">
        <v>10.01</v>
      </c>
      <c r="AW21" s="1">
        <v>0.4</v>
      </c>
      <c r="AX21" s="1">
        <v>5.75</v>
      </c>
      <c r="AY21" s="1">
        <v>0.24000000000000002</v>
      </c>
      <c r="AZ21" s="1">
        <v>68372.100000000006</v>
      </c>
      <c r="BA21" s="1">
        <v>2484</v>
      </c>
      <c r="BB21" s="1">
        <v>37694.699999999997</v>
      </c>
      <c r="BC21" s="1">
        <v>2111.4</v>
      </c>
      <c r="BD21" s="1">
        <v>190647</v>
      </c>
      <c r="BE21" s="1">
        <v>10557</v>
      </c>
      <c r="BF21" s="1">
        <v>84.455999999999989</v>
      </c>
      <c r="BG21" s="1">
        <v>8.6940000000000008</v>
      </c>
      <c r="BH21" s="1">
        <f t="shared" si="6"/>
        <v>2257.3529411764707</v>
      </c>
      <c r="BI21" s="1">
        <f t="shared" si="7"/>
        <v>263.8615917649841</v>
      </c>
      <c r="BJ21" s="27">
        <v>2716.1</v>
      </c>
      <c r="BK21" s="27">
        <v>23.05</v>
      </c>
      <c r="BL21" s="27">
        <v>2571.52</v>
      </c>
      <c r="BM21" s="27">
        <v>62.37</v>
      </c>
      <c r="BN21" s="27">
        <v>2825.46</v>
      </c>
      <c r="BO21" s="27">
        <v>32.64</v>
      </c>
      <c r="BP21" s="27">
        <v>2749.52</v>
      </c>
      <c r="BQ21" s="27">
        <v>19.739999999999998</v>
      </c>
      <c r="BR21" s="27">
        <v>5.8</v>
      </c>
    </row>
    <row r="22" spans="1:70" x14ac:dyDescent="0.2">
      <c r="A22" t="s">
        <v>863</v>
      </c>
      <c r="B22" t="s">
        <v>38</v>
      </c>
      <c r="C22" t="s">
        <v>864</v>
      </c>
      <c r="D22" t="s">
        <v>865</v>
      </c>
      <c r="E22">
        <v>78356</v>
      </c>
      <c r="F22">
        <v>41084</v>
      </c>
      <c r="G22" t="s">
        <v>865</v>
      </c>
      <c r="H22" s="1">
        <v>490</v>
      </c>
      <c r="I22" s="1">
        <v>489</v>
      </c>
      <c r="J22" s="10">
        <v>0.16619999999999999</v>
      </c>
      <c r="K22" s="10">
        <f t="shared" ca="1" si="0"/>
        <v>6.6849813761894654E-3</v>
      </c>
      <c r="L22" s="7">
        <v>2.461E-2</v>
      </c>
      <c r="M22" s="7">
        <f t="shared" ca="1" si="1"/>
        <v>1.034582447173738E-3</v>
      </c>
      <c r="N22" s="7">
        <v>0.97526999999999997</v>
      </c>
      <c r="O22" s="8">
        <v>40.633890000000001</v>
      </c>
      <c r="P22" s="8">
        <f t="shared" ca="1" si="2"/>
        <v>1.7082126687803951</v>
      </c>
      <c r="Q22" s="9">
        <v>4.9529999999999998E-2</v>
      </c>
      <c r="R22" s="9">
        <f t="shared" ca="1" si="3"/>
        <v>1.109634336166649E-3</v>
      </c>
      <c r="S22" s="8">
        <f t="shared" si="4"/>
        <v>0.49733916846937432</v>
      </c>
      <c r="T22" s="11">
        <v>7.7299999999999999E-3</v>
      </c>
      <c r="U22" s="11">
        <f t="shared" ca="1" si="5"/>
        <v>3.4641183582550985E-4</v>
      </c>
      <c r="V22" s="6" t="e">
        <f ca="1">IF(agePb6U8(1/O22)&lt;1400,age7corr(1/O22,Q22,$W$2),agePb76(Q22))</f>
        <v>#NAME?</v>
      </c>
      <c r="W22" s="6" t="e">
        <f ca="1">IF(agePb6U8(1/O22)&lt;1400,ageer7corr(V22,1/O22,P22/O22*(1/O22),Q22,R22,$W$2,0.05),ageerPb76(Q22,R22))</f>
        <v>#NAME?</v>
      </c>
      <c r="X22" s="4" t="e">
        <f ca="1">agePb6U8(L22)/agePb7u5(J22)</f>
        <v>#NAME?</v>
      </c>
      <c r="Y22" s="3"/>
      <c r="Z22" s="1">
        <v>0.16619999999999999</v>
      </c>
      <c r="AA22" s="1">
        <v>5.7999999999999996E-3</v>
      </c>
      <c r="AB22" s="1">
        <v>2.461E-2</v>
      </c>
      <c r="AC22" s="1">
        <v>9.1E-4</v>
      </c>
      <c r="AD22" s="1">
        <v>0.97526999999999997</v>
      </c>
      <c r="AE22" s="1">
        <v>40.633890000000001</v>
      </c>
      <c r="AF22" s="1">
        <v>1.502513</v>
      </c>
      <c r="AG22" s="1">
        <v>4.9529999999999998E-2</v>
      </c>
      <c r="AH22" s="1">
        <v>5.0000000000000001E-4</v>
      </c>
      <c r="AI22" s="1">
        <v>6.0831000000000003E-2</v>
      </c>
      <c r="AJ22" s="1">
        <v>7.7299999999999999E-3</v>
      </c>
      <c r="AK22" s="1">
        <v>3.1E-4</v>
      </c>
      <c r="AL22" s="1">
        <v>3.2370000000000001</v>
      </c>
      <c r="AM22" s="1">
        <v>6.0999999999999999E-2</v>
      </c>
      <c r="AN22" s="1">
        <v>156.1</v>
      </c>
      <c r="AO22" s="1">
        <v>5</v>
      </c>
      <c r="AP22" s="1">
        <v>156.69999999999999</v>
      </c>
      <c r="AQ22" s="1">
        <v>5.7</v>
      </c>
      <c r="AR22" s="1">
        <v>155.69999999999999</v>
      </c>
      <c r="AS22" s="1">
        <v>6.2</v>
      </c>
      <c r="AT22" s="1">
        <v>172</v>
      </c>
      <c r="AU22" s="1">
        <v>23</v>
      </c>
      <c r="AV22" s="1">
        <v>105.5</v>
      </c>
      <c r="AW22" s="1">
        <v>5.3</v>
      </c>
      <c r="AX22" s="1">
        <v>38.4</v>
      </c>
      <c r="AY22" s="1">
        <v>1.7</v>
      </c>
      <c r="AZ22" s="1">
        <v>24777.9</v>
      </c>
      <c r="BA22" s="1">
        <v>1304.0999999999999</v>
      </c>
      <c r="BB22" s="1">
        <v>4974.2099999999991</v>
      </c>
      <c r="BC22" s="1">
        <v>242.19</v>
      </c>
      <c r="BD22" s="1">
        <v>100974.6</v>
      </c>
      <c r="BE22" s="1">
        <v>4968</v>
      </c>
      <c r="BF22" s="1">
        <v>13.041</v>
      </c>
      <c r="BG22" s="1">
        <v>7.4519999999999991</v>
      </c>
      <c r="BH22" s="1">
        <f t="shared" si="6"/>
        <v>7742.8571428571431</v>
      </c>
      <c r="BI22" s="1">
        <f t="shared" si="7"/>
        <v>4440.8596769926244</v>
      </c>
      <c r="BJ22" s="27">
        <v>159.07</v>
      </c>
      <c r="BK22" s="27">
        <v>5.37</v>
      </c>
      <c r="BL22" s="27">
        <v>156.74</v>
      </c>
      <c r="BM22" s="27">
        <v>6.52</v>
      </c>
      <c r="BN22" s="27">
        <v>193.95</v>
      </c>
      <c r="BO22" s="27">
        <v>46.5</v>
      </c>
      <c r="BP22" s="27">
        <v>159.54</v>
      </c>
      <c r="BQ22" s="27">
        <v>5.34</v>
      </c>
      <c r="BR22" s="27">
        <v>1.3</v>
      </c>
    </row>
    <row r="23" spans="1:70" x14ac:dyDescent="0.2">
      <c r="A23" t="s">
        <v>866</v>
      </c>
      <c r="B23" t="s">
        <v>38</v>
      </c>
      <c r="C23" t="s">
        <v>867</v>
      </c>
      <c r="D23" t="s">
        <v>868</v>
      </c>
      <c r="E23">
        <v>78417</v>
      </c>
      <c r="F23">
        <v>41403</v>
      </c>
      <c r="G23" t="s">
        <v>868</v>
      </c>
      <c r="H23" s="1">
        <v>93.2</v>
      </c>
      <c r="I23" s="1">
        <v>36.450000000000003</v>
      </c>
      <c r="J23" s="10">
        <v>0.78300000000000003</v>
      </c>
      <c r="K23" s="10">
        <f t="shared" ca="1" si="0"/>
        <v>3.1212747395895798E-2</v>
      </c>
      <c r="L23" s="7">
        <v>9.4600000000000004E-2</v>
      </c>
      <c r="M23" s="7">
        <f t="shared" ca="1" si="1"/>
        <v>3.7174808674692596E-3</v>
      </c>
      <c r="N23" s="7">
        <v>0.96348999999999996</v>
      </c>
      <c r="O23" s="8">
        <v>10.570819999999999</v>
      </c>
      <c r="P23" s="8">
        <f t="shared" ca="1" si="2"/>
        <v>0.41539996676601931</v>
      </c>
      <c r="Q23" s="9">
        <v>6.0199999999999997E-2</v>
      </c>
      <c r="R23" s="9">
        <f t="shared" ca="1" si="3"/>
        <v>1.3588657034453405E-3</v>
      </c>
      <c r="S23" s="8">
        <f t="shared" si="4"/>
        <v>0.37182219990685217</v>
      </c>
      <c r="T23" s="11">
        <v>3.1040000000000002E-2</v>
      </c>
      <c r="U23" s="11">
        <f t="shared" ca="1" si="5"/>
        <v>1.1685429559926328E-3</v>
      </c>
      <c r="V23" s="6" t="e">
        <f ca="1">IF(agePb6U8(1/O23)&lt;1400,age7corr(1/O23,Q23,$W$2),agePb76(Q23))</f>
        <v>#NAME?</v>
      </c>
      <c r="W23" s="6" t="e">
        <f ca="1">IF(agePb6U8(1/O23)&lt;1400,ageer7corr(V23,1/O23,P23/O23*(1/O23),Q23,R23,$W$2,0.05),ageerPb76(Q23,R23))</f>
        <v>#NAME?</v>
      </c>
      <c r="X23" s="4" t="e">
        <f ca="1">agePb6U8(L23)/agePb7u5(J23)</f>
        <v>#NAME?</v>
      </c>
      <c r="Y23" s="3"/>
      <c r="Z23" s="1">
        <v>0.78300000000000003</v>
      </c>
      <c r="AA23" s="1">
        <v>2.7E-2</v>
      </c>
      <c r="AB23" s="1">
        <v>9.4600000000000004E-2</v>
      </c>
      <c r="AC23" s="1">
        <v>3.2000000000000002E-3</v>
      </c>
      <c r="AD23" s="1">
        <v>0.96348999999999996</v>
      </c>
      <c r="AE23" s="1">
        <v>10.570819999999999</v>
      </c>
      <c r="AF23" s="1">
        <v>0.35757549999999999</v>
      </c>
      <c r="AG23" s="1">
        <v>6.0199999999999997E-2</v>
      </c>
      <c r="AH23" s="1">
        <v>6.3000000000000003E-4</v>
      </c>
      <c r="AI23" s="1">
        <v>-6.8684999999999996E-2</v>
      </c>
      <c r="AJ23" s="1">
        <v>3.1040000000000002E-2</v>
      </c>
      <c r="AK23" s="1">
        <v>9.8999999999999999E-4</v>
      </c>
      <c r="AL23" s="1">
        <v>8.3829999999999991</v>
      </c>
      <c r="AM23" s="1">
        <v>5.2999999999999999E-2</v>
      </c>
      <c r="AN23" s="1">
        <v>587</v>
      </c>
      <c r="AO23" s="1">
        <v>16</v>
      </c>
      <c r="AP23" s="1">
        <v>583</v>
      </c>
      <c r="AQ23" s="1">
        <v>19</v>
      </c>
      <c r="AR23" s="1">
        <v>618</v>
      </c>
      <c r="AS23" s="1">
        <v>20</v>
      </c>
      <c r="AT23" s="1">
        <v>610</v>
      </c>
      <c r="AU23" s="1">
        <v>23</v>
      </c>
      <c r="AV23" s="1">
        <v>20.049999999999997</v>
      </c>
      <c r="AW23" s="1">
        <v>0.64</v>
      </c>
      <c r="AX23" s="1">
        <v>2.8620000000000001</v>
      </c>
      <c r="AY23" s="1">
        <v>5.2999999999999999E-2</v>
      </c>
      <c r="AZ23" s="1">
        <v>7197.39</v>
      </c>
      <c r="BA23" s="1">
        <v>167.67000000000002</v>
      </c>
      <c r="BB23" s="1">
        <v>4446.3600000000006</v>
      </c>
      <c r="BC23" s="1">
        <v>117.99</v>
      </c>
      <c r="BD23" s="1">
        <v>74644.2</v>
      </c>
      <c r="BE23" s="1">
        <v>1676.7</v>
      </c>
      <c r="BF23" s="1">
        <v>12.419999999999998</v>
      </c>
      <c r="BG23" s="1">
        <v>8.0729999999999986</v>
      </c>
      <c r="BH23" s="1">
        <f t="shared" si="6"/>
        <v>6010.0000000000009</v>
      </c>
      <c r="BI23" s="1">
        <f t="shared" si="7"/>
        <v>3908.8319546892781</v>
      </c>
      <c r="BJ23" s="27">
        <v>586.79999999999995</v>
      </c>
      <c r="BK23" s="27">
        <v>16.48</v>
      </c>
      <c r="BL23" s="27">
        <v>582.73</v>
      </c>
      <c r="BM23" s="27">
        <v>22.14</v>
      </c>
      <c r="BN23" s="27">
        <v>602.6</v>
      </c>
      <c r="BO23" s="27">
        <v>36.07</v>
      </c>
      <c r="BP23" s="27">
        <v>589.27</v>
      </c>
      <c r="BQ23" s="27">
        <v>15.35</v>
      </c>
      <c r="BR23" s="27">
        <v>0.82</v>
      </c>
    </row>
    <row r="24" spans="1:70" x14ac:dyDescent="0.2">
      <c r="A24" t="s">
        <v>776</v>
      </c>
      <c r="B24" t="s">
        <v>38</v>
      </c>
      <c r="C24" t="s">
        <v>777</v>
      </c>
      <c r="D24" t="s">
        <v>778</v>
      </c>
      <c r="E24">
        <v>78656</v>
      </c>
      <c r="F24">
        <v>40594</v>
      </c>
      <c r="G24" t="s">
        <v>778</v>
      </c>
      <c r="H24" s="1">
        <v>178.6</v>
      </c>
      <c r="I24" s="1">
        <v>70.599999999999994</v>
      </c>
      <c r="J24" s="10">
        <v>0.16589999999999999</v>
      </c>
      <c r="K24" s="10">
        <f t="shared" ca="1" si="0"/>
        <v>4.969821324756052E-3</v>
      </c>
      <c r="L24" s="7">
        <v>2.4670000000000001E-2</v>
      </c>
      <c r="M24" s="7">
        <f t="shared" ca="1" si="1"/>
        <v>6.2277087279351794E-4</v>
      </c>
      <c r="N24" s="7">
        <v>0.62346999999999997</v>
      </c>
      <c r="O24" s="8">
        <v>40.535060000000001</v>
      </c>
      <c r="P24" s="8">
        <f t="shared" ca="1" si="2"/>
        <v>1.0232693690722545</v>
      </c>
      <c r="Q24" s="9">
        <v>4.8939999999999997E-2</v>
      </c>
      <c r="R24" s="9">
        <f t="shared" ca="1" si="3"/>
        <v>1.2898253525187044E-3</v>
      </c>
      <c r="S24" s="8">
        <f t="shared" si="4"/>
        <v>0.42975520668977196</v>
      </c>
      <c r="T24" s="11">
        <v>8.1600000000000006E-3</v>
      </c>
      <c r="U24" s="11">
        <f t="shared" ca="1" si="5"/>
        <v>2.2166244607510764E-4</v>
      </c>
      <c r="V24" s="6" t="e">
        <f ca="1">IF(agePb6U8(1/O24)&lt;1400,age7corr(1/O24,Q24,$W$2),agePb76(Q24))</f>
        <v>#NAME?</v>
      </c>
      <c r="W24" s="6" t="e">
        <f ca="1">IF(agePb6U8(1/O24)&lt;1400,ageer7corr(V24,1/O24,P24/O24*(1/O24),Q24,R24,$W$2,0.05),ageerPb76(Q24,R24))</f>
        <v>#NAME?</v>
      </c>
      <c r="X24" s="4" t="e">
        <f ca="1">agePb6U8(L24)/agePb7u5(J24)</f>
        <v>#NAME?</v>
      </c>
      <c r="Y24" s="3"/>
      <c r="Z24" s="1">
        <v>0.16589999999999999</v>
      </c>
      <c r="AA24" s="1">
        <v>3.7000000000000002E-3</v>
      </c>
      <c r="AB24" s="1">
        <v>2.4670000000000001E-2</v>
      </c>
      <c r="AC24" s="1">
        <v>3.8000000000000002E-4</v>
      </c>
      <c r="AD24" s="1">
        <v>0.62346999999999997</v>
      </c>
      <c r="AE24" s="1">
        <v>40.535060000000001</v>
      </c>
      <c r="AF24" s="1">
        <v>0.62437469999999995</v>
      </c>
      <c r="AG24" s="1">
        <v>4.8939999999999997E-2</v>
      </c>
      <c r="AH24" s="1">
        <v>8.4000000000000003E-4</v>
      </c>
      <c r="AI24" s="1">
        <v>0.13184999999999999</v>
      </c>
      <c r="AJ24" s="1">
        <v>8.1600000000000006E-3</v>
      </c>
      <c r="AK24" s="1">
        <v>1.4999999999999999E-4</v>
      </c>
      <c r="AL24" s="1">
        <v>8.06</v>
      </c>
      <c r="AM24" s="1">
        <v>9.6000000000000002E-2</v>
      </c>
      <c r="AN24" s="1">
        <v>155.80000000000001</v>
      </c>
      <c r="AO24" s="1">
        <v>3.2</v>
      </c>
      <c r="AP24" s="1">
        <v>157.1</v>
      </c>
      <c r="AQ24" s="1">
        <v>2.4</v>
      </c>
      <c r="AR24" s="1">
        <v>164.2</v>
      </c>
      <c r="AS24" s="1">
        <v>3.1</v>
      </c>
      <c r="AT24" s="1">
        <v>143</v>
      </c>
      <c r="AU24" s="1">
        <v>40</v>
      </c>
      <c r="AV24" s="1">
        <v>38.5</v>
      </c>
      <c r="AW24" s="1">
        <v>1.3</v>
      </c>
      <c r="AX24" s="1">
        <v>5.55</v>
      </c>
      <c r="AY24" s="1">
        <v>8.5000000000000006E-2</v>
      </c>
      <c r="AZ24" s="1">
        <v>3726.0000000000005</v>
      </c>
      <c r="BA24" s="1">
        <v>117.99</v>
      </c>
      <c r="BB24" s="1">
        <v>1817.6670000000001</v>
      </c>
      <c r="BC24" s="1">
        <v>50.921999999999997</v>
      </c>
      <c r="BD24" s="1">
        <v>37073.699999999997</v>
      </c>
      <c r="BE24" s="1">
        <v>993.6</v>
      </c>
      <c r="BF24" s="1">
        <v>7.4519999999999991</v>
      </c>
      <c r="BG24" s="1">
        <v>6.8310000000000004</v>
      </c>
      <c r="BH24" s="1">
        <f t="shared" si="6"/>
        <v>4975</v>
      </c>
      <c r="BI24" s="1">
        <f t="shared" si="7"/>
        <v>4562.3653899472911</v>
      </c>
      <c r="BJ24" s="27">
        <v>156.44999999999999</v>
      </c>
      <c r="BK24" s="27">
        <v>3.57</v>
      </c>
      <c r="BL24" s="27">
        <v>157.08000000000001</v>
      </c>
      <c r="BM24" s="27">
        <v>3.9</v>
      </c>
      <c r="BN24" s="27">
        <v>146.78</v>
      </c>
      <c r="BO24" s="27">
        <v>47.86</v>
      </c>
      <c r="BP24" s="27">
        <v>156.68</v>
      </c>
      <c r="BQ24" s="27">
        <v>3.39</v>
      </c>
      <c r="BR24" s="27">
        <v>-0.3</v>
      </c>
    </row>
    <row r="25" spans="1:70" x14ac:dyDescent="0.2">
      <c r="A25" t="s">
        <v>869</v>
      </c>
      <c r="B25" t="s">
        <v>38</v>
      </c>
      <c r="C25" t="s">
        <v>870</v>
      </c>
      <c r="D25" t="s">
        <v>871</v>
      </c>
      <c r="E25">
        <v>78336</v>
      </c>
      <c r="F25">
        <v>42009</v>
      </c>
      <c r="G25" t="s">
        <v>871</v>
      </c>
      <c r="H25" s="1">
        <v>363</v>
      </c>
      <c r="I25" s="1">
        <v>223.8</v>
      </c>
      <c r="J25" s="10">
        <v>0.55000000000000004</v>
      </c>
      <c r="K25" s="10">
        <f t="shared" ca="1" si="0"/>
        <v>1.7029386365926401E-2</v>
      </c>
      <c r="L25" s="7">
        <v>6.7100000000000007E-2</v>
      </c>
      <c r="M25" s="7">
        <f t="shared" ca="1" si="1"/>
        <v>1.9393204995564815E-3</v>
      </c>
      <c r="N25" s="7">
        <v>0.93713000000000002</v>
      </c>
      <c r="O25" s="8">
        <v>14.903130000000001</v>
      </c>
      <c r="P25" s="8">
        <f t="shared" ca="1" si="2"/>
        <v>0.43072944848004069</v>
      </c>
      <c r="Q25" s="9">
        <v>5.9389999999999998E-2</v>
      </c>
      <c r="R25" s="9">
        <f t="shared" ca="1" si="3"/>
        <v>1.2598685804479767E-3</v>
      </c>
      <c r="S25" s="8">
        <f t="shared" si="4"/>
        <v>0.43844233009882205</v>
      </c>
      <c r="T25" s="11">
        <v>2.1829999999999999E-2</v>
      </c>
      <c r="U25" s="11">
        <f t="shared" ca="1" si="5"/>
        <v>6.8667281874266724E-4</v>
      </c>
      <c r="V25" s="6" t="e">
        <f ca="1">IF(agePb6U8(1/O25)&lt;1400,age7corr(1/O25,Q25,$W$2),agePb76(Q25))</f>
        <v>#NAME?</v>
      </c>
      <c r="W25" s="6" t="e">
        <f ca="1">IF(agePb6U8(1/O25)&lt;1400,ageer7corr(V25,1/O25,P25/O25*(1/O25),Q25,R25,$W$2,0.05),ageerPb76(Q25,R25))</f>
        <v>#NAME?</v>
      </c>
      <c r="X25" s="4" t="e">
        <f ca="1">agePb6U8(L25)/agePb7u5(J25)</f>
        <v>#NAME?</v>
      </c>
      <c r="Y25" s="3"/>
      <c r="Z25" s="1">
        <v>0.55000000000000004</v>
      </c>
      <c r="AA25" s="1">
        <v>1.2999999999999999E-2</v>
      </c>
      <c r="AB25" s="1">
        <v>6.7100000000000007E-2</v>
      </c>
      <c r="AC25" s="1">
        <v>1.4E-3</v>
      </c>
      <c r="AD25" s="1">
        <v>0.93713000000000002</v>
      </c>
      <c r="AE25" s="1">
        <v>14.903130000000001</v>
      </c>
      <c r="AF25" s="1">
        <v>0.31094460000000002</v>
      </c>
      <c r="AG25" s="1">
        <v>5.9389999999999998E-2</v>
      </c>
      <c r="AH25" s="1">
        <v>4.2000000000000002E-4</v>
      </c>
      <c r="AI25" s="1">
        <v>-1.7083000000000001E-2</v>
      </c>
      <c r="AJ25" s="1">
        <v>2.1829999999999999E-2</v>
      </c>
      <c r="AK25" s="1">
        <v>5.2999999999999998E-4</v>
      </c>
      <c r="AL25" s="1">
        <v>5.3369999999999997</v>
      </c>
      <c r="AM25" s="1">
        <v>6.7000000000000004E-2</v>
      </c>
      <c r="AN25" s="1">
        <v>444.5</v>
      </c>
      <c r="AO25" s="1">
        <v>8.6999999999999993</v>
      </c>
      <c r="AP25" s="1">
        <v>418.7</v>
      </c>
      <c r="AQ25" s="1">
        <v>8.5</v>
      </c>
      <c r="AR25" s="1">
        <v>436</v>
      </c>
      <c r="AS25" s="1">
        <v>10</v>
      </c>
      <c r="AT25" s="1">
        <v>585</v>
      </c>
      <c r="AU25" s="1">
        <v>14</v>
      </c>
      <c r="AV25" s="1">
        <v>78</v>
      </c>
      <c r="AW25" s="1">
        <v>2.5</v>
      </c>
      <c r="AX25" s="1">
        <v>17.57</v>
      </c>
      <c r="AY25" s="1">
        <v>0.18000000000000002</v>
      </c>
      <c r="AZ25" s="1">
        <v>31062.42</v>
      </c>
      <c r="BA25" s="1">
        <v>496.8</v>
      </c>
      <c r="BB25" s="1">
        <v>12066.03</v>
      </c>
      <c r="BC25" s="1">
        <v>235.98</v>
      </c>
      <c r="BD25" s="1">
        <v>204930</v>
      </c>
      <c r="BE25" s="1">
        <v>4657.5</v>
      </c>
      <c r="BF25" s="1">
        <v>58.994999999999997</v>
      </c>
      <c r="BG25" s="1">
        <v>7.4519999999999991</v>
      </c>
      <c r="BH25" s="1">
        <f t="shared" si="6"/>
        <v>3473.6842105263158</v>
      </c>
      <c r="BI25" s="1">
        <f t="shared" si="7"/>
        <v>445.82686815163623</v>
      </c>
      <c r="BJ25" s="27">
        <v>442.19</v>
      </c>
      <c r="BK25" s="27">
        <v>9.41</v>
      </c>
      <c r="BL25" s="27">
        <v>418.75</v>
      </c>
      <c r="BM25" s="27">
        <v>11.7</v>
      </c>
      <c r="BN25" s="27">
        <v>566.12</v>
      </c>
      <c r="BO25" s="27">
        <v>36.909999999999997</v>
      </c>
      <c r="BP25" s="27">
        <v>442.62</v>
      </c>
      <c r="BQ25" s="27">
        <v>9.59</v>
      </c>
      <c r="BR25" s="27">
        <v>4.5999999999999996</v>
      </c>
    </row>
    <row r="26" spans="1:70" x14ac:dyDescent="0.2">
      <c r="A26" t="s">
        <v>872</v>
      </c>
      <c r="B26" t="s">
        <v>38</v>
      </c>
      <c r="C26" t="s">
        <v>873</v>
      </c>
      <c r="D26" t="s">
        <v>874</v>
      </c>
      <c r="E26">
        <v>78555</v>
      </c>
      <c r="F26">
        <v>43320</v>
      </c>
      <c r="G26" t="s">
        <v>874</v>
      </c>
      <c r="H26" s="1">
        <v>50.27</v>
      </c>
      <c r="I26" s="1">
        <v>41.6</v>
      </c>
      <c r="J26" s="10">
        <v>0.81299999999999994</v>
      </c>
      <c r="K26" s="10">
        <f t="shared" ca="1" si="0"/>
        <v>2.5775717254811748E-2</v>
      </c>
      <c r="L26" s="7">
        <v>9.8000000000000004E-2</v>
      </c>
      <c r="M26" s="7">
        <f t="shared" ca="1" si="1"/>
        <v>2.6611275805567837E-3</v>
      </c>
      <c r="N26" s="7">
        <v>0.82452000000000003</v>
      </c>
      <c r="O26" s="8">
        <v>10.204079999999999</v>
      </c>
      <c r="P26" s="8">
        <f t="shared" ca="1" si="2"/>
        <v>0.2770853082683562</v>
      </c>
      <c r="Q26" s="9">
        <v>6.046E-2</v>
      </c>
      <c r="R26" s="9">
        <f t="shared" ca="1" si="3"/>
        <v>1.4955148411165968E-3</v>
      </c>
      <c r="S26" s="8">
        <f t="shared" si="4"/>
        <v>0.39210266486914669</v>
      </c>
      <c r="T26" s="11">
        <v>3.2919999999999998E-2</v>
      </c>
      <c r="U26" s="11">
        <f t="shared" ca="1" si="5"/>
        <v>8.8407610532125576E-4</v>
      </c>
      <c r="V26" s="6" t="e">
        <f ca="1">IF(agePb6U8(1/O26)&lt;1400,age7corr(1/O26,Q26,$W$2),agePb76(Q26))</f>
        <v>#NAME?</v>
      </c>
      <c r="W26" s="6" t="e">
        <f ca="1">IF(agePb6U8(1/O26)&lt;1400,ageer7corr(V26,1/O26,P26/O26*(1/O26),Q26,R26,$W$2,0.05),ageerPb76(Q26,R26))</f>
        <v>#NAME?</v>
      </c>
      <c r="X26" s="4" t="e">
        <f ca="1">agePb6U8(L26)/agePb7u5(J26)</f>
        <v>#NAME?</v>
      </c>
      <c r="Y26" s="3"/>
      <c r="Z26" s="1">
        <v>0.81299999999999994</v>
      </c>
      <c r="AA26" s="1">
        <v>0.02</v>
      </c>
      <c r="AB26" s="1">
        <v>9.8000000000000004E-2</v>
      </c>
      <c r="AC26" s="1">
        <v>1.8E-3</v>
      </c>
      <c r="AD26" s="1">
        <v>0.82452000000000003</v>
      </c>
      <c r="AE26" s="1">
        <v>10.204079999999999</v>
      </c>
      <c r="AF26" s="1">
        <v>0.1874219</v>
      </c>
      <c r="AG26" s="1">
        <v>6.046E-2</v>
      </c>
      <c r="AH26" s="1">
        <v>8.8000000000000003E-4</v>
      </c>
      <c r="AI26" s="1">
        <v>-0.16650000000000001</v>
      </c>
      <c r="AJ26" s="1">
        <v>3.2919999999999998E-2</v>
      </c>
      <c r="AK26" s="1">
        <v>5.9000000000000003E-4</v>
      </c>
      <c r="AL26" s="1">
        <v>3.794</v>
      </c>
      <c r="AM26" s="1">
        <v>5.8999999999999997E-2</v>
      </c>
      <c r="AN26" s="1">
        <v>604</v>
      </c>
      <c r="AO26" s="1">
        <v>11</v>
      </c>
      <c r="AP26" s="1">
        <v>603</v>
      </c>
      <c r="AQ26" s="1">
        <v>10</v>
      </c>
      <c r="AR26" s="1">
        <v>655</v>
      </c>
      <c r="AS26" s="1">
        <v>11</v>
      </c>
      <c r="AT26" s="1">
        <v>618</v>
      </c>
      <c r="AU26" s="1">
        <v>32</v>
      </c>
      <c r="AV26" s="1">
        <v>10.81</v>
      </c>
      <c r="AW26" s="1">
        <v>0.12999999999999998</v>
      </c>
      <c r="AX26" s="1">
        <v>3.27</v>
      </c>
      <c r="AY26" s="1">
        <v>0.12999999999999998</v>
      </c>
      <c r="AZ26" s="1">
        <v>8687.7900000000009</v>
      </c>
      <c r="BA26" s="1">
        <v>204.93</v>
      </c>
      <c r="BB26" s="1">
        <v>2429.973</v>
      </c>
      <c r="BC26" s="1">
        <v>46.575000000000003</v>
      </c>
      <c r="BD26" s="1">
        <v>40874.22</v>
      </c>
      <c r="BE26" s="1">
        <v>509.21999999999991</v>
      </c>
      <c r="BF26" s="1">
        <v>7.4519999999999991</v>
      </c>
      <c r="BG26" s="1">
        <v>3.0429000000000004</v>
      </c>
      <c r="BH26" s="1">
        <f t="shared" si="6"/>
        <v>5485.0000000000009</v>
      </c>
      <c r="BI26" s="1">
        <f t="shared" si="7"/>
        <v>2240.7505132984411</v>
      </c>
      <c r="BJ26" s="27">
        <v>602.84</v>
      </c>
      <c r="BK26" s="27">
        <v>11.81</v>
      </c>
      <c r="BL26" s="27">
        <v>602.91</v>
      </c>
      <c r="BM26" s="27">
        <v>15.8</v>
      </c>
      <c r="BN26" s="27">
        <v>602.6</v>
      </c>
      <c r="BO26" s="27">
        <v>36.07</v>
      </c>
      <c r="BP26" s="27">
        <v>602.84</v>
      </c>
      <c r="BQ26" s="27">
        <v>11.75</v>
      </c>
      <c r="BR26" s="27">
        <v>-9.7000000000000003E-3</v>
      </c>
    </row>
    <row r="27" spans="1:70" x14ac:dyDescent="0.2">
      <c r="A27" t="s">
        <v>881</v>
      </c>
      <c r="B27" t="s">
        <v>38</v>
      </c>
      <c r="C27" t="s">
        <v>882</v>
      </c>
      <c r="D27" t="s">
        <v>883</v>
      </c>
      <c r="E27">
        <v>78503</v>
      </c>
      <c r="F27">
        <v>43418</v>
      </c>
      <c r="G27" t="s">
        <v>883</v>
      </c>
      <c r="H27" s="1">
        <v>228.9</v>
      </c>
      <c r="I27" s="1">
        <v>184.4</v>
      </c>
      <c r="J27" s="10">
        <v>0.54300000000000004</v>
      </c>
      <c r="K27" s="10">
        <f t="shared" ca="1" si="0"/>
        <v>1.6184548186464771E-2</v>
      </c>
      <c r="L27" s="7">
        <v>7.0000000000000007E-2</v>
      </c>
      <c r="M27" s="7">
        <f t="shared" ca="1" si="1"/>
        <v>2.0518284528683191E-3</v>
      </c>
      <c r="N27" s="7">
        <v>0.95921000000000001</v>
      </c>
      <c r="O27" s="8">
        <v>14.28571</v>
      </c>
      <c r="P27" s="8">
        <f t="shared" ca="1" si="2"/>
        <v>0.41874040629416215</v>
      </c>
      <c r="Q27" s="9">
        <v>5.6640000000000003E-2</v>
      </c>
      <c r="R27" s="9">
        <f t="shared" ca="1" si="3"/>
        <v>1.1886277129530508E-3</v>
      </c>
      <c r="S27" s="8">
        <f t="shared" si="4"/>
        <v>0.45426324484500619</v>
      </c>
      <c r="T27" s="11">
        <v>2.3290000000000002E-2</v>
      </c>
      <c r="U27" s="11">
        <f t="shared" ca="1" si="5"/>
        <v>6.9070228029158851E-4</v>
      </c>
      <c r="V27" s="6" t="e">
        <f ca="1">IF(agePb6U8(1/O27)&lt;1400,age7corr(1/O27,Q27,$W$2),agePb76(Q27))</f>
        <v>#NAME?</v>
      </c>
      <c r="W27" s="6" t="e">
        <f ca="1">IF(agePb6U8(1/O27)&lt;1400,ageer7corr(V27,1/O27,P27/O27*(1/O27),Q27,R27,$W$2,0.05),ageerPb76(Q27,R27))</f>
        <v>#NAME?</v>
      </c>
      <c r="X27" s="4" t="e">
        <f ca="1">agePb6U8(L27)/agePb7u5(J27)</f>
        <v>#NAME?</v>
      </c>
      <c r="Y27" s="3"/>
      <c r="Z27" s="1">
        <v>0.54300000000000004</v>
      </c>
      <c r="AA27" s="1">
        <v>1.2E-2</v>
      </c>
      <c r="AB27" s="1">
        <v>7.0000000000000007E-2</v>
      </c>
      <c r="AC27" s="1">
        <v>1.5E-3</v>
      </c>
      <c r="AD27" s="1">
        <v>0.95921000000000001</v>
      </c>
      <c r="AE27" s="1">
        <v>14.28571</v>
      </c>
      <c r="AF27" s="1">
        <v>0.30612240000000002</v>
      </c>
      <c r="AG27" s="1">
        <v>5.6640000000000003E-2</v>
      </c>
      <c r="AH27" s="1">
        <v>3.6000000000000002E-4</v>
      </c>
      <c r="AI27" s="1">
        <v>8.9883000000000005E-2</v>
      </c>
      <c r="AJ27" s="1">
        <v>2.3290000000000002E-2</v>
      </c>
      <c r="AK27" s="1">
        <v>5.1000000000000004E-4</v>
      </c>
      <c r="AL27" s="1">
        <v>3.9140000000000001</v>
      </c>
      <c r="AM27" s="1">
        <v>2.5000000000000001E-2</v>
      </c>
      <c r="AN27" s="1">
        <v>442</v>
      </c>
      <c r="AO27" s="1">
        <v>7.4</v>
      </c>
      <c r="AP27" s="1">
        <v>436.1</v>
      </c>
      <c r="AQ27" s="1">
        <v>9.1999999999999993</v>
      </c>
      <c r="AR27" s="1">
        <v>465</v>
      </c>
      <c r="AS27" s="1">
        <v>10</v>
      </c>
      <c r="AT27" s="1">
        <v>477</v>
      </c>
      <c r="AU27" s="1">
        <v>14</v>
      </c>
      <c r="AV27" s="1">
        <v>49.2</v>
      </c>
      <c r="AW27" s="1">
        <v>1.2</v>
      </c>
      <c r="AX27" s="1">
        <v>14.47</v>
      </c>
      <c r="AY27" s="1">
        <v>0.18000000000000002</v>
      </c>
      <c r="AZ27" s="1">
        <v>27386.1</v>
      </c>
      <c r="BA27" s="1">
        <v>683.09999999999991</v>
      </c>
      <c r="BB27" s="1">
        <v>7501.6799999999994</v>
      </c>
      <c r="BC27" s="1">
        <v>155.25</v>
      </c>
      <c r="BD27" s="1">
        <v>132894</v>
      </c>
      <c r="BE27" s="1">
        <v>2732.3999999999996</v>
      </c>
      <c r="BF27" s="1">
        <v>13.662000000000001</v>
      </c>
      <c r="BG27" s="1">
        <v>7.4519999999999991</v>
      </c>
      <c r="BH27" s="1">
        <f t="shared" si="6"/>
        <v>9727.2727272727261</v>
      </c>
      <c r="BI27" s="1">
        <f t="shared" si="7"/>
        <v>5309.5532563209945</v>
      </c>
      <c r="BJ27" s="27">
        <v>444.82</v>
      </c>
      <c r="BK27" s="27">
        <v>9.58</v>
      </c>
      <c r="BL27" s="27">
        <v>436.03</v>
      </c>
      <c r="BM27" s="27">
        <v>12.39</v>
      </c>
      <c r="BN27" s="27">
        <v>490.54</v>
      </c>
      <c r="BO27" s="27">
        <v>38.700000000000003</v>
      </c>
      <c r="BP27" s="27">
        <v>445.49</v>
      </c>
      <c r="BQ27" s="27">
        <v>9.6199999999999992</v>
      </c>
      <c r="BR27" s="27">
        <v>1.7</v>
      </c>
    </row>
    <row r="28" spans="1:70" s="23" customFormat="1" x14ac:dyDescent="0.2">
      <c r="A28" s="23" t="s">
        <v>884</v>
      </c>
      <c r="B28" s="23" t="s">
        <v>38</v>
      </c>
      <c r="C28" s="23" t="s">
        <v>885</v>
      </c>
      <c r="D28" s="23" t="s">
        <v>886</v>
      </c>
      <c r="E28" s="23">
        <v>78540</v>
      </c>
      <c r="F28" s="23">
        <v>43636</v>
      </c>
      <c r="G28" s="23" t="s">
        <v>886</v>
      </c>
      <c r="H28" s="24">
        <v>166.3</v>
      </c>
      <c r="I28" s="24">
        <v>107.5</v>
      </c>
      <c r="J28" s="25">
        <v>0.26900000000000002</v>
      </c>
      <c r="K28" s="25">
        <f t="shared" ca="1" si="0"/>
        <v>1.406927148078393E-2</v>
      </c>
      <c r="L28" s="26">
        <v>2.6919999999999999E-2</v>
      </c>
      <c r="M28" s="26">
        <f t="shared" ca="1" si="1"/>
        <v>9.4777347504559342E-4</v>
      </c>
      <c r="N28" s="26">
        <v>0.66152999999999995</v>
      </c>
      <c r="O28" s="26">
        <v>37.147100000000002</v>
      </c>
      <c r="P28" s="26">
        <f t="shared" ca="1" si="2"/>
        <v>1.3078397374862107</v>
      </c>
      <c r="Q28" s="25">
        <v>7.1499999999999994E-2</v>
      </c>
      <c r="R28" s="25">
        <f t="shared" ca="1" si="3"/>
        <v>2.5406495232518788E-3</v>
      </c>
      <c r="S28" s="26">
        <f t="shared" si="4"/>
        <v>0.32991803825875865</v>
      </c>
      <c r="T28" s="25">
        <v>1.162E-2</v>
      </c>
      <c r="U28" s="25">
        <f t="shared" ca="1" si="5"/>
        <v>5.5137080082282193E-4</v>
      </c>
      <c r="V28" s="24" t="e">
        <f ca="1">IF(agePb6U8(1/O28)&lt;1400,age7corr(1/O28,Q28,$W$2),agePb76(Q28))</f>
        <v>#NAME?</v>
      </c>
      <c r="W28" s="24" t="e">
        <f ca="1">IF(agePb6U8(1/O28)&lt;1400,ageer7corr(V28,1/O28,P28/O28*(1/O28),Q28,R28,$W$2,0.05),ageerPb76(Q28,R28))</f>
        <v>#NAME?</v>
      </c>
      <c r="X28" s="26" t="e">
        <f ca="1">agePb6U8(L28)/agePb7u5(J28)</f>
        <v>#NAME?</v>
      </c>
      <c r="Y28" s="24"/>
      <c r="Z28" s="24">
        <v>0.26900000000000002</v>
      </c>
      <c r="AA28" s="24">
        <v>1.2999999999999999E-2</v>
      </c>
      <c r="AB28" s="24">
        <v>2.6919999999999999E-2</v>
      </c>
      <c r="AC28" s="24">
        <v>7.7999999999999999E-4</v>
      </c>
      <c r="AD28" s="24">
        <v>0.66152999999999995</v>
      </c>
      <c r="AE28" s="24">
        <v>37.147100000000002</v>
      </c>
      <c r="AF28" s="24">
        <v>1.076328</v>
      </c>
      <c r="AG28" s="24">
        <v>7.1499999999999994E-2</v>
      </c>
      <c r="AH28" s="24">
        <v>2.0999999999999999E-3</v>
      </c>
      <c r="AI28" s="24">
        <v>-0.11998</v>
      </c>
      <c r="AJ28" s="24">
        <v>1.162E-2</v>
      </c>
      <c r="AK28" s="24">
        <v>5.0000000000000001E-4</v>
      </c>
      <c r="AL28" s="24">
        <v>3.859</v>
      </c>
      <c r="AM28" s="24">
        <v>7.3999999999999996E-2</v>
      </c>
      <c r="AN28" s="24">
        <v>241</v>
      </c>
      <c r="AO28" s="24">
        <v>10</v>
      </c>
      <c r="AP28" s="24">
        <v>171.2</v>
      </c>
      <c r="AQ28" s="24">
        <v>4.9000000000000004</v>
      </c>
      <c r="AR28" s="24">
        <v>234</v>
      </c>
      <c r="AS28" s="24">
        <v>10</v>
      </c>
      <c r="AT28" s="24">
        <v>986</v>
      </c>
      <c r="AU28" s="24">
        <v>68</v>
      </c>
      <c r="AV28" s="24">
        <v>35.74</v>
      </c>
      <c r="AW28" s="24">
        <v>0.63</v>
      </c>
      <c r="AX28" s="24">
        <v>8.44</v>
      </c>
      <c r="AY28" s="24">
        <v>0.12000000000000001</v>
      </c>
      <c r="AZ28" s="24">
        <v>7880.4899999999989</v>
      </c>
      <c r="BA28" s="24">
        <v>242.19</v>
      </c>
      <c r="BB28" s="24">
        <v>2651.67</v>
      </c>
      <c r="BC28" s="24">
        <v>105.57000000000001</v>
      </c>
      <c r="BD28" s="24">
        <v>37881</v>
      </c>
      <c r="BE28" s="24">
        <v>745.2</v>
      </c>
      <c r="BF28" s="24">
        <v>73.277999999999992</v>
      </c>
      <c r="BG28" s="24">
        <v>13.041</v>
      </c>
      <c r="BH28" s="24">
        <f t="shared" si="6"/>
        <v>516.94915254237299</v>
      </c>
      <c r="BI28" s="24">
        <f t="shared" si="7"/>
        <v>92.559779826162696</v>
      </c>
      <c r="BJ28" s="27">
        <v>240.38</v>
      </c>
      <c r="BK28" s="27">
        <v>9.6</v>
      </c>
      <c r="BL28" s="27">
        <v>171.23</v>
      </c>
      <c r="BM28" s="27">
        <v>5.96</v>
      </c>
      <c r="BN28" s="27">
        <v>985.03</v>
      </c>
      <c r="BO28" s="27">
        <v>84.81</v>
      </c>
      <c r="BP28" s="27">
        <v>176.7</v>
      </c>
      <c r="BQ28" s="27">
        <v>5.99</v>
      </c>
      <c r="BR28" s="27">
        <v>29</v>
      </c>
    </row>
    <row r="29" spans="1:70" x14ac:dyDescent="0.2">
      <c r="A29" t="s">
        <v>887</v>
      </c>
      <c r="B29" t="s">
        <v>38</v>
      </c>
      <c r="C29" t="s">
        <v>888</v>
      </c>
      <c r="D29" t="s">
        <v>889</v>
      </c>
      <c r="E29">
        <v>78533</v>
      </c>
      <c r="F29">
        <v>43778</v>
      </c>
      <c r="G29" t="s">
        <v>889</v>
      </c>
      <c r="H29" s="1">
        <v>303</v>
      </c>
      <c r="I29" s="1">
        <v>18.100000000000001</v>
      </c>
      <c r="J29" s="10">
        <v>0.48799999999999999</v>
      </c>
      <c r="K29" s="10">
        <f t="shared" ca="1" si="0"/>
        <v>2.4067770981127442E-2</v>
      </c>
      <c r="L29" s="7">
        <v>6.5199999999999994E-2</v>
      </c>
      <c r="M29" s="7">
        <f t="shared" ca="1" si="1"/>
        <v>2.7313762098985922E-3</v>
      </c>
      <c r="N29" s="7">
        <v>0.99265000000000003</v>
      </c>
      <c r="O29" s="8">
        <v>15.33742</v>
      </c>
      <c r="P29" s="8">
        <f t="shared" ca="1" si="2"/>
        <v>0.64251946957726502</v>
      </c>
      <c r="Q29" s="9">
        <v>5.5140000000000002E-2</v>
      </c>
      <c r="R29" s="9">
        <f t="shared" ca="1" si="3"/>
        <v>1.1353712344427263E-3</v>
      </c>
      <c r="S29" s="8">
        <f t="shared" si="4"/>
        <v>0.45551306780346912</v>
      </c>
      <c r="T29" s="11">
        <v>2.3800000000000002E-2</v>
      </c>
      <c r="U29" s="11">
        <f t="shared" ca="1" si="5"/>
        <v>1.6693040466014574E-3</v>
      </c>
      <c r="V29" s="6" t="e">
        <f ca="1">IF(agePb6U8(1/O29)&lt;1400,age7corr(1/O29,Q29,$W$2),agePb76(Q29))</f>
        <v>#NAME?</v>
      </c>
      <c r="W29" s="6" t="e">
        <f ca="1">IF(agePb6U8(1/O29)&lt;1400,ageer7corr(V29,1/O29,P29/O29*(1/O29),Q29,R29,$W$2,0.05),ageerPb76(Q29,R29))</f>
        <v>#NAME?</v>
      </c>
      <c r="X29" s="4" t="e">
        <f ca="1">agePb6U8(L29)/agePb7u5(J29)</f>
        <v>#NAME?</v>
      </c>
      <c r="Y29" s="3"/>
      <c r="Z29" s="1">
        <v>0.48799999999999999</v>
      </c>
      <c r="AA29" s="1">
        <v>2.1999999999999999E-2</v>
      </c>
      <c r="AB29" s="1">
        <v>6.5199999999999994E-2</v>
      </c>
      <c r="AC29" s="1">
        <v>2.3999999999999998E-3</v>
      </c>
      <c r="AD29" s="1">
        <v>0.99265000000000003</v>
      </c>
      <c r="AE29" s="1">
        <v>15.33742</v>
      </c>
      <c r="AF29" s="1">
        <v>0.56456770000000001</v>
      </c>
      <c r="AG29" s="1">
        <v>5.5140000000000002E-2</v>
      </c>
      <c r="AH29" s="1">
        <v>2.7E-4</v>
      </c>
      <c r="AI29" s="1">
        <v>-4.0078999999999997E-2</v>
      </c>
      <c r="AJ29" s="1">
        <v>2.3800000000000002E-2</v>
      </c>
      <c r="AK29" s="1">
        <v>1.6000000000000001E-3</v>
      </c>
      <c r="AL29" s="1">
        <v>52.5</v>
      </c>
      <c r="AM29" s="1">
        <v>3.1</v>
      </c>
      <c r="AN29" s="1">
        <v>407</v>
      </c>
      <c r="AO29" s="1">
        <v>13</v>
      </c>
      <c r="AP29" s="1">
        <v>407</v>
      </c>
      <c r="AQ29" s="1">
        <v>15</v>
      </c>
      <c r="AR29" s="1">
        <v>475</v>
      </c>
      <c r="AS29" s="1">
        <v>31</v>
      </c>
      <c r="AT29" s="1">
        <v>418</v>
      </c>
      <c r="AU29" s="1">
        <v>11</v>
      </c>
      <c r="AV29" s="1">
        <v>65.199999999999989</v>
      </c>
      <c r="AW29" s="1">
        <v>5.8</v>
      </c>
      <c r="AX29" s="1">
        <v>1.42</v>
      </c>
      <c r="AY29" s="1">
        <v>0.16</v>
      </c>
      <c r="AZ29" s="1">
        <v>2651.67</v>
      </c>
      <c r="BA29" s="1">
        <v>316.71000000000004</v>
      </c>
      <c r="BB29" s="1">
        <v>8756.1</v>
      </c>
      <c r="BC29" s="1">
        <v>621</v>
      </c>
      <c r="BD29" s="1">
        <v>161460</v>
      </c>
      <c r="BE29" s="1">
        <v>11799</v>
      </c>
      <c r="BF29" s="1">
        <v>7.4519999999999991</v>
      </c>
      <c r="BG29" s="1">
        <v>6.8310000000000004</v>
      </c>
      <c r="BH29" s="1">
        <f t="shared" si="6"/>
        <v>21666.666666666668</v>
      </c>
      <c r="BI29" s="1">
        <f t="shared" si="7"/>
        <v>19924.123042491628</v>
      </c>
      <c r="BJ29" s="27">
        <v>407.72</v>
      </c>
      <c r="BK29" s="27">
        <v>12.44</v>
      </c>
      <c r="BL29" s="27">
        <v>407.11</v>
      </c>
      <c r="BM29" s="27">
        <v>16.46</v>
      </c>
      <c r="BN29" s="27">
        <v>411.22</v>
      </c>
      <c r="BO29" s="27">
        <v>40.659999999999997</v>
      </c>
      <c r="BP29" s="27">
        <v>408.04</v>
      </c>
      <c r="BQ29" s="27">
        <v>11.82</v>
      </c>
      <c r="BR29" s="27">
        <v>0.17</v>
      </c>
    </row>
    <row r="30" spans="1:70" s="23" customFormat="1" x14ac:dyDescent="0.2">
      <c r="A30" s="23" t="s">
        <v>890</v>
      </c>
      <c r="B30" s="23" t="s">
        <v>38</v>
      </c>
      <c r="C30" s="23" t="s">
        <v>891</v>
      </c>
      <c r="D30" s="23" t="s">
        <v>892</v>
      </c>
      <c r="E30" s="23">
        <v>78630</v>
      </c>
      <c r="F30" s="23">
        <v>44570</v>
      </c>
      <c r="G30" s="23" t="s">
        <v>892</v>
      </c>
      <c r="H30" s="24">
        <v>44</v>
      </c>
      <c r="I30" s="24">
        <v>4.3</v>
      </c>
      <c r="J30" s="25">
        <v>0.77</v>
      </c>
      <c r="K30" s="25">
        <f t="shared" ca="1" si="0"/>
        <v>0.32037034819096477</v>
      </c>
      <c r="L30" s="26">
        <v>8.2000000000000003E-2</v>
      </c>
      <c r="M30" s="26">
        <f t="shared" ca="1" si="1"/>
        <v>3.0044793226114905E-2</v>
      </c>
      <c r="N30" s="26">
        <v>0.99502000000000002</v>
      </c>
      <c r="O30" s="26">
        <v>12.195119999999999</v>
      </c>
      <c r="P30" s="26">
        <f t="shared" ca="1" si="2"/>
        <v>4.4682916911976287</v>
      </c>
      <c r="Q30" s="25">
        <v>7.0400000000000004E-2</v>
      </c>
      <c r="R30" s="25">
        <f t="shared" ca="1" si="3"/>
        <v>5.677364177151225E-3</v>
      </c>
      <c r="S30" s="26">
        <f t="shared" si="4"/>
        <v>0.34100603950446268</v>
      </c>
      <c r="T30" s="25">
        <v>3.2000000000000001E-2</v>
      </c>
      <c r="U30" s="25">
        <f t="shared" ca="1" si="5"/>
        <v>3.1006605747807999E-2</v>
      </c>
      <c r="V30" s="24" t="e">
        <f ca="1">IF(agePb6U8(1/O30)&lt;1400,age7corr(1/O30,Q30,$W$2),agePb76(Q30))</f>
        <v>#NAME?</v>
      </c>
      <c r="W30" s="24" t="e">
        <f ca="1">IF(agePb6U8(1/O30)&lt;1400,ageer7corr(V30,1/O30,P30/O30*(1/O30),Q30,R30,$W$2,0.05),ageerPb76(Q30,R30))</f>
        <v>#NAME?</v>
      </c>
      <c r="X30" s="26" t="e">
        <f ca="1">agePb6U8(L30)/agePb7u5(J30)</f>
        <v>#NAME?</v>
      </c>
      <c r="Y30" s="24"/>
      <c r="Z30" s="24">
        <v>0.77</v>
      </c>
      <c r="AA30" s="24">
        <v>0.32</v>
      </c>
      <c r="AB30" s="24">
        <v>8.2000000000000003E-2</v>
      </c>
      <c r="AC30" s="24">
        <v>0.03</v>
      </c>
      <c r="AD30" s="24">
        <v>0.99502000000000002</v>
      </c>
      <c r="AE30" s="24">
        <v>12.195119999999999</v>
      </c>
      <c r="AF30" s="24">
        <v>4.4616300000000004</v>
      </c>
      <c r="AG30" s="24">
        <v>7.0400000000000004E-2</v>
      </c>
      <c r="AH30" s="24">
        <v>5.4999999999999997E-3</v>
      </c>
      <c r="AI30" s="24">
        <v>-0.72841</v>
      </c>
      <c r="AJ30" s="24">
        <v>3.2000000000000001E-2</v>
      </c>
      <c r="AK30" s="24">
        <v>3.1E-2</v>
      </c>
      <c r="AL30" s="24">
        <v>37.9</v>
      </c>
      <c r="AM30" s="24">
        <v>2.1</v>
      </c>
      <c r="AN30" s="24">
        <v>560</v>
      </c>
      <c r="AO30" s="24">
        <v>190</v>
      </c>
      <c r="AP30" s="24">
        <v>500</v>
      </c>
      <c r="AQ30" s="24">
        <v>180</v>
      </c>
      <c r="AR30" s="24">
        <v>600</v>
      </c>
      <c r="AS30" s="24">
        <v>610</v>
      </c>
      <c r="AT30" s="24">
        <v>900</v>
      </c>
      <c r="AU30" s="24">
        <v>170</v>
      </c>
      <c r="AV30" s="24">
        <v>9.6</v>
      </c>
      <c r="AW30" s="24">
        <v>7.6</v>
      </c>
      <c r="AX30" s="24">
        <v>0.34</v>
      </c>
      <c r="AY30" s="24">
        <v>0.27999999999999997</v>
      </c>
      <c r="AZ30" s="24">
        <v>353.96999999999997</v>
      </c>
      <c r="BA30" s="24">
        <v>111.78</v>
      </c>
      <c r="BB30" s="24">
        <v>1136.43</v>
      </c>
      <c r="BC30" s="24">
        <v>310.5</v>
      </c>
      <c r="BD30" s="24">
        <v>16767</v>
      </c>
      <c r="BE30" s="24">
        <v>6210</v>
      </c>
      <c r="BF30" s="24">
        <v>5.0301</v>
      </c>
      <c r="BG30" s="24">
        <v>5.0301</v>
      </c>
      <c r="BH30" s="24">
        <f t="shared" si="6"/>
        <v>3333.3333333333335</v>
      </c>
      <c r="BI30" s="24">
        <f t="shared" si="7"/>
        <v>3554.6123577501157</v>
      </c>
      <c r="BJ30" s="27">
        <v>591.6</v>
      </c>
      <c r="BK30" s="27">
        <v>155.47</v>
      </c>
      <c r="BL30" s="27">
        <v>507.85</v>
      </c>
      <c r="BM30" s="27">
        <v>178.93</v>
      </c>
      <c r="BN30" s="27">
        <v>927.43</v>
      </c>
      <c r="BO30" s="27">
        <v>176.03</v>
      </c>
      <c r="BP30" s="27">
        <v>753.8</v>
      </c>
      <c r="BQ30" s="27">
        <v>116.53</v>
      </c>
      <c r="BR30" s="27">
        <v>31</v>
      </c>
    </row>
    <row r="31" spans="1:70" x14ac:dyDescent="0.2">
      <c r="A31" t="s">
        <v>893</v>
      </c>
      <c r="B31" t="s">
        <v>38</v>
      </c>
      <c r="C31" t="s">
        <v>894</v>
      </c>
      <c r="D31" t="s">
        <v>895</v>
      </c>
      <c r="E31">
        <v>78631</v>
      </c>
      <c r="F31">
        <v>44984</v>
      </c>
      <c r="G31" t="s">
        <v>895</v>
      </c>
      <c r="H31" s="1">
        <v>185.3</v>
      </c>
      <c r="I31" s="1">
        <v>35.299999999999997</v>
      </c>
      <c r="J31" s="10">
        <v>1.752</v>
      </c>
      <c r="K31" s="10">
        <f t="shared" ca="1" si="0"/>
        <v>6.105572536625866E-2</v>
      </c>
      <c r="L31" s="7">
        <v>0.16950000000000001</v>
      </c>
      <c r="M31" s="7">
        <f t="shared" ca="1" si="1"/>
        <v>5.2432909513014823E-3</v>
      </c>
      <c r="N31" s="7">
        <v>0.95318999999999998</v>
      </c>
      <c r="O31" s="8">
        <v>5.899705</v>
      </c>
      <c r="P31" s="8">
        <f t="shared" ca="1" si="2"/>
        <v>0.18250072480957438</v>
      </c>
      <c r="Q31" s="9">
        <v>7.5200000000000003E-2</v>
      </c>
      <c r="R31" s="9">
        <f t="shared" ca="1" si="3"/>
        <v>1.619264030354531E-3</v>
      </c>
      <c r="S31" s="8">
        <f t="shared" si="4"/>
        <v>0.46883328027576371</v>
      </c>
      <c r="T31" s="11">
        <v>6.0199999999999997E-2</v>
      </c>
      <c r="U31" s="11">
        <f t="shared" ca="1" si="5"/>
        <v>3.2325865804336937E-3</v>
      </c>
      <c r="V31" s="6" t="e">
        <f ca="1">IF(agePb6U8(1/O31)&lt;1400,age7corr(1/O31,Q31,$W$2),agePb76(Q31))</f>
        <v>#NAME?</v>
      </c>
      <c r="W31" s="6" t="e">
        <f ca="1">IF(agePb6U8(1/O31)&lt;1400,ageer7corr(V31,1/O31,P31/O31*(1/O31),Q31,R31,$W$2,0.05),ageerPb76(Q31,R31))</f>
        <v>#NAME?</v>
      </c>
      <c r="X31" s="4" t="e">
        <f ca="1">agePb6U8(L31)/agePb7u5(J31)</f>
        <v>#NAME?</v>
      </c>
      <c r="Y31" s="3"/>
      <c r="Z31" s="1">
        <v>1.752</v>
      </c>
      <c r="AA31" s="1">
        <v>0.05</v>
      </c>
      <c r="AB31" s="1">
        <v>0.16950000000000001</v>
      </c>
      <c r="AC31" s="1">
        <v>4.0000000000000001E-3</v>
      </c>
      <c r="AD31" s="1">
        <v>0.95318999999999998</v>
      </c>
      <c r="AE31" s="1">
        <v>5.899705</v>
      </c>
      <c r="AF31" s="1">
        <v>0.13922609999999999</v>
      </c>
      <c r="AG31" s="1">
        <v>7.5200000000000003E-2</v>
      </c>
      <c r="AH31" s="1">
        <v>5.9999999999999995E-4</v>
      </c>
      <c r="AI31" s="1">
        <v>-0.44658999999999999</v>
      </c>
      <c r="AJ31" s="1">
        <v>6.0199999999999997E-2</v>
      </c>
      <c r="AK31" s="1">
        <v>3.0000000000000001E-3</v>
      </c>
      <c r="AL31" s="1">
        <v>15.88</v>
      </c>
      <c r="AM31" s="1">
        <v>0.44</v>
      </c>
      <c r="AN31" s="1">
        <v>1027</v>
      </c>
      <c r="AO31" s="1">
        <v>19</v>
      </c>
      <c r="AP31" s="1">
        <v>1009</v>
      </c>
      <c r="AQ31" s="1">
        <v>22</v>
      </c>
      <c r="AR31" s="1">
        <v>1181</v>
      </c>
      <c r="AS31" s="1">
        <v>57</v>
      </c>
      <c r="AT31" s="1">
        <v>1074</v>
      </c>
      <c r="AU31" s="1">
        <v>16</v>
      </c>
      <c r="AV31" s="1">
        <v>39.809999999999995</v>
      </c>
      <c r="AW31" s="1">
        <v>0.82</v>
      </c>
      <c r="AX31" s="1">
        <v>2.77</v>
      </c>
      <c r="AY31" s="1">
        <v>0.11</v>
      </c>
      <c r="AZ31" s="1">
        <v>13183.830000000002</v>
      </c>
      <c r="BA31" s="1">
        <v>310.5</v>
      </c>
      <c r="BB31" s="1">
        <v>19561.5</v>
      </c>
      <c r="BC31" s="1">
        <v>422.28000000000003</v>
      </c>
      <c r="BD31" s="1">
        <v>263241.89999999997</v>
      </c>
      <c r="BE31" s="1">
        <v>5216.3999999999996</v>
      </c>
      <c r="BF31" s="1">
        <v>37.26</v>
      </c>
      <c r="BG31" s="1">
        <v>11.177999999999999</v>
      </c>
      <c r="BH31" s="1">
        <f t="shared" si="6"/>
        <v>7064.9999999999991</v>
      </c>
      <c r="BI31" s="1">
        <f t="shared" si="7"/>
        <v>2124.1186996022602</v>
      </c>
      <c r="BJ31" s="27">
        <v>1027.8699999999999</v>
      </c>
      <c r="BK31" s="27">
        <v>19.14</v>
      </c>
      <c r="BL31" s="27">
        <v>1009.31</v>
      </c>
      <c r="BM31" s="27">
        <v>28.5</v>
      </c>
      <c r="BN31" s="27">
        <v>1067.5999999999999</v>
      </c>
      <c r="BO31" s="27">
        <v>53.61</v>
      </c>
      <c r="BP31" s="27">
        <v>1026.55</v>
      </c>
      <c r="BQ31" s="27">
        <v>19.21</v>
      </c>
      <c r="BR31" s="27">
        <v>1.6</v>
      </c>
    </row>
    <row r="32" spans="1:70" s="23" customFormat="1" x14ac:dyDescent="0.2">
      <c r="A32" s="23" t="s">
        <v>896</v>
      </c>
      <c r="B32" s="23" t="s">
        <v>38</v>
      </c>
      <c r="C32" s="23" t="s">
        <v>897</v>
      </c>
      <c r="D32" s="23" t="s">
        <v>898</v>
      </c>
      <c r="E32" s="23">
        <v>78662</v>
      </c>
      <c r="F32" s="23">
        <v>45378</v>
      </c>
      <c r="G32" s="23" t="s">
        <v>898</v>
      </c>
      <c r="H32" s="24">
        <v>963</v>
      </c>
      <c r="I32" s="24">
        <v>850</v>
      </c>
      <c r="J32" s="25">
        <v>0.24199999999999999</v>
      </c>
      <c r="K32" s="25">
        <f t="shared" ca="1" si="0"/>
        <v>2.0577307890003494E-2</v>
      </c>
      <c r="L32" s="26">
        <v>2.8000000000000001E-2</v>
      </c>
      <c r="M32" s="26">
        <f t="shared" ca="1" si="1"/>
        <v>9.8473346647709697E-4</v>
      </c>
      <c r="N32" s="26">
        <v>9.9772999999999997E-3</v>
      </c>
      <c r="O32" s="26">
        <v>35.714289999999998</v>
      </c>
      <c r="P32" s="26">
        <f t="shared" ca="1" si="2"/>
        <v>1.2560374153068212</v>
      </c>
      <c r="Q32" s="25">
        <v>6.4399999999999999E-2</v>
      </c>
      <c r="R32" s="25">
        <f t="shared" ca="1" si="3"/>
        <v>5.9412914421024645E-3</v>
      </c>
      <c r="S32" s="26">
        <f t="shared" si="4"/>
        <v>0.33590191205611375</v>
      </c>
      <c r="T32" s="25">
        <v>1.1299999999999999E-2</v>
      </c>
      <c r="U32" s="25">
        <f t="shared" ca="1" si="5"/>
        <v>4.2505999576530369E-4</v>
      </c>
      <c r="V32" s="24" t="e">
        <f ca="1">IF(agePb6U8(1/O32)&lt;1400,age7corr(1/O32,Q32,$W$2),agePb76(Q32))</f>
        <v>#NAME?</v>
      </c>
      <c r="W32" s="24" t="e">
        <f ca="1">IF(agePb6U8(1/O32)&lt;1400,ageer7corr(V32,1/O32,P32/O32*(1/O32),Q32,R32,$W$2,0.05),ageerPb76(Q32,R32))</f>
        <v>#NAME?</v>
      </c>
      <c r="X32" s="26" t="e">
        <f ca="1">agePb6U8(L32)/agePb7u5(J32)</f>
        <v>#NAME?</v>
      </c>
      <c r="Y32" s="24"/>
      <c r="Z32" s="24">
        <v>0.24199999999999999</v>
      </c>
      <c r="AA32" s="24">
        <v>0.02</v>
      </c>
      <c r="AB32" s="24">
        <v>2.8000000000000001E-2</v>
      </c>
      <c r="AC32" s="24">
        <v>8.0999999999999996E-4</v>
      </c>
      <c r="AD32" s="24">
        <v>9.9772999999999997E-3</v>
      </c>
      <c r="AE32" s="24">
        <v>35.714289999999998</v>
      </c>
      <c r="AF32" s="24">
        <v>1.0331630000000001</v>
      </c>
      <c r="AG32" s="24">
        <v>6.4399999999999999E-2</v>
      </c>
      <c r="AH32" s="24">
        <v>5.7999999999999996E-3</v>
      </c>
      <c r="AI32" s="24">
        <v>0.27842</v>
      </c>
      <c r="AJ32" s="24">
        <v>1.1299999999999999E-2</v>
      </c>
      <c r="AK32" s="24">
        <v>3.6000000000000002E-4</v>
      </c>
      <c r="AL32" s="24">
        <v>3.33</v>
      </c>
      <c r="AM32" s="24">
        <v>0.42</v>
      </c>
      <c r="AN32" s="24">
        <v>219</v>
      </c>
      <c r="AO32" s="24">
        <v>16</v>
      </c>
      <c r="AP32" s="24">
        <v>178</v>
      </c>
      <c r="AQ32" s="24">
        <v>5.0999999999999996</v>
      </c>
      <c r="AR32" s="24">
        <v>227.1</v>
      </c>
      <c r="AS32" s="24">
        <v>7.1</v>
      </c>
      <c r="AT32" s="24">
        <v>700</v>
      </c>
      <c r="AU32" s="24">
        <v>180</v>
      </c>
      <c r="AV32" s="24">
        <v>207</v>
      </c>
      <c r="AW32" s="24">
        <v>19</v>
      </c>
      <c r="AX32" s="24">
        <v>67</v>
      </c>
      <c r="AY32" s="24">
        <v>15</v>
      </c>
      <c r="AZ32" s="24">
        <v>63963</v>
      </c>
      <c r="BA32" s="24">
        <v>14283</v>
      </c>
      <c r="BB32" s="24">
        <v>14966.1</v>
      </c>
      <c r="BC32" s="24">
        <v>2732.3999999999996</v>
      </c>
      <c r="BD32" s="24">
        <v>226665</v>
      </c>
      <c r="BE32" s="24">
        <v>21735</v>
      </c>
      <c r="BF32" s="24">
        <v>298.08</v>
      </c>
      <c r="BG32" s="24">
        <v>130.41</v>
      </c>
      <c r="BH32" s="24">
        <f t="shared" si="6"/>
        <v>760.41666666666674</v>
      </c>
      <c r="BI32" s="24">
        <f t="shared" si="7"/>
        <v>340.57942901232724</v>
      </c>
      <c r="BJ32" s="27">
        <v>224.14</v>
      </c>
      <c r="BK32" s="27">
        <v>17.75</v>
      </c>
      <c r="BL32" s="27">
        <v>178.04</v>
      </c>
      <c r="BM32" s="27">
        <v>6.2</v>
      </c>
      <c r="BN32" s="27">
        <v>740.68</v>
      </c>
      <c r="BO32" s="27">
        <v>198.32</v>
      </c>
      <c r="BP32" s="27">
        <v>182.33</v>
      </c>
      <c r="BQ32" s="27">
        <v>5.95</v>
      </c>
      <c r="BR32" s="27">
        <v>20</v>
      </c>
    </row>
    <row r="33" spans="1:70" x14ac:dyDescent="0.2">
      <c r="A33" t="s">
        <v>899</v>
      </c>
      <c r="B33" t="s">
        <v>38</v>
      </c>
      <c r="C33" t="s">
        <v>900</v>
      </c>
      <c r="D33" t="s">
        <v>901</v>
      </c>
      <c r="E33">
        <v>78715</v>
      </c>
      <c r="F33">
        <v>46503</v>
      </c>
      <c r="G33" t="s">
        <v>901</v>
      </c>
      <c r="H33" s="1">
        <v>394.2</v>
      </c>
      <c r="I33" s="1">
        <v>189.5</v>
      </c>
      <c r="J33" s="10">
        <v>1.7949999999999999</v>
      </c>
      <c r="K33" s="10">
        <f t="shared" ca="1" si="0"/>
        <v>4.3183445902336234E-2</v>
      </c>
      <c r="L33" s="7">
        <v>0.1661</v>
      </c>
      <c r="M33" s="7">
        <f t="shared" ca="1" si="1"/>
        <v>3.7783176150239144E-3</v>
      </c>
      <c r="N33" s="7">
        <v>0.95643999999999996</v>
      </c>
      <c r="O33" s="8">
        <v>6.0204700000000004</v>
      </c>
      <c r="P33" s="8">
        <f t="shared" ca="1" si="2"/>
        <v>0.13694911320914058</v>
      </c>
      <c r="Q33" s="9">
        <v>7.8289999999999998E-2</v>
      </c>
      <c r="R33" s="9">
        <f t="shared" ca="1" si="3"/>
        <v>1.6663221897340263E-3</v>
      </c>
      <c r="S33" s="8">
        <f t="shared" si="4"/>
        <v>0.59330168553681673</v>
      </c>
      <c r="T33" s="11">
        <v>5.3859999999999998E-2</v>
      </c>
      <c r="U33" s="11">
        <f t="shared" ca="1" si="5"/>
        <v>1.3183170483612812E-3</v>
      </c>
      <c r="V33" s="6" t="e">
        <f ca="1">IF(agePb6U8(1/O33)&lt;1400,age7corr(1/O33,Q33,$W$2),agePb76(Q33))</f>
        <v>#NAME?</v>
      </c>
      <c r="W33" s="6" t="e">
        <f ca="1">IF(agePb6U8(1/O33)&lt;1400,ageer7corr(V33,1/O33,P33/O33*(1/O33),Q33,R33,$W$2,0.05),ageerPb76(Q33,R33))</f>
        <v>#NAME?</v>
      </c>
      <c r="X33" s="4" t="e">
        <f ca="1">agePb6U8(L33)/agePb7u5(J33)</f>
        <v>#NAME?</v>
      </c>
      <c r="Y33" s="3"/>
      <c r="Z33" s="1">
        <v>1.7949999999999999</v>
      </c>
      <c r="AA33" s="1">
        <v>2.4E-2</v>
      </c>
      <c r="AB33" s="1">
        <v>0.1661</v>
      </c>
      <c r="AC33" s="1">
        <v>1.8E-3</v>
      </c>
      <c r="AD33" s="1">
        <v>0.95643999999999996</v>
      </c>
      <c r="AE33" s="1">
        <v>6.0204700000000004</v>
      </c>
      <c r="AF33" s="1">
        <v>6.5242900000000006E-2</v>
      </c>
      <c r="AG33" s="1">
        <v>7.8289999999999998E-2</v>
      </c>
      <c r="AH33" s="1">
        <v>5.6999999999999998E-4</v>
      </c>
      <c r="AI33" s="1">
        <v>-0.13500999999999999</v>
      </c>
      <c r="AJ33" s="1">
        <v>5.3859999999999998E-2</v>
      </c>
      <c r="AK33" s="1">
        <v>7.6000000000000004E-4</v>
      </c>
      <c r="AL33" s="1">
        <v>6.79</v>
      </c>
      <c r="AM33" s="1">
        <v>0.12</v>
      </c>
      <c r="AN33" s="1">
        <v>1043.3</v>
      </c>
      <c r="AO33" s="1">
        <v>8.6</v>
      </c>
      <c r="AP33" s="1">
        <v>990.5</v>
      </c>
      <c r="AQ33" s="1">
        <v>9.8000000000000007</v>
      </c>
      <c r="AR33" s="1">
        <v>1060</v>
      </c>
      <c r="AS33" s="1">
        <v>15</v>
      </c>
      <c r="AT33" s="1">
        <v>1154</v>
      </c>
      <c r="AU33" s="1">
        <v>14</v>
      </c>
      <c r="AV33" s="1">
        <v>84.7</v>
      </c>
      <c r="AW33" s="1">
        <v>1.8</v>
      </c>
      <c r="AX33" s="1">
        <v>14.88</v>
      </c>
      <c r="AY33" s="1">
        <v>0.3</v>
      </c>
      <c r="AZ33" s="1">
        <v>65515.499999999993</v>
      </c>
      <c r="BA33" s="1">
        <v>869.4</v>
      </c>
      <c r="BB33" s="1">
        <v>42476.4</v>
      </c>
      <c r="BC33" s="1">
        <v>993.6</v>
      </c>
      <c r="BD33" s="1">
        <v>552690</v>
      </c>
      <c r="BE33" s="1">
        <v>14904.000000000002</v>
      </c>
      <c r="BF33" s="1">
        <v>115.506</v>
      </c>
      <c r="BG33" s="1">
        <v>15.525</v>
      </c>
      <c r="BH33" s="1">
        <f t="shared" si="6"/>
        <v>4784.9462365591398</v>
      </c>
      <c r="BI33" s="1">
        <f t="shared" si="7"/>
        <v>655.95405866935926</v>
      </c>
      <c r="BJ33" s="27">
        <v>1040.25</v>
      </c>
      <c r="BK33" s="27">
        <v>14.48</v>
      </c>
      <c r="BL33" s="27">
        <v>990.66</v>
      </c>
      <c r="BM33" s="27">
        <v>21.36</v>
      </c>
      <c r="BN33" s="27">
        <v>1145.98</v>
      </c>
      <c r="BO33" s="27">
        <v>50.95</v>
      </c>
      <c r="BP33" s="27">
        <v>1028.92</v>
      </c>
      <c r="BQ33" s="27">
        <v>13.95</v>
      </c>
      <c r="BR33" s="27">
        <v>4.2</v>
      </c>
    </row>
    <row r="34" spans="1:70" x14ac:dyDescent="0.2">
      <c r="A34" t="s">
        <v>902</v>
      </c>
      <c r="B34" t="s">
        <v>38</v>
      </c>
      <c r="C34" t="s">
        <v>903</v>
      </c>
      <c r="D34" t="s">
        <v>904</v>
      </c>
      <c r="E34">
        <v>77918</v>
      </c>
      <c r="F34">
        <v>39608</v>
      </c>
      <c r="G34" t="s">
        <v>904</v>
      </c>
      <c r="H34" s="1">
        <v>304</v>
      </c>
      <c r="I34" s="1">
        <v>97.8</v>
      </c>
      <c r="J34" s="10">
        <v>1.403</v>
      </c>
      <c r="K34" s="10">
        <f t="shared" ca="1" si="0"/>
        <v>3.7581426263514801E-2</v>
      </c>
      <c r="L34" s="7">
        <v>0.1381</v>
      </c>
      <c r="M34" s="7">
        <f t="shared" ca="1" si="1"/>
        <v>4.1519446046400952E-3</v>
      </c>
      <c r="N34" s="7">
        <v>0.83379999999999999</v>
      </c>
      <c r="O34" s="8">
        <v>7.2411300000000001</v>
      </c>
      <c r="P34" s="8">
        <f t="shared" ca="1" si="2"/>
        <v>0.21770291689100077</v>
      </c>
      <c r="Q34" s="9">
        <v>7.3959999999999998E-2</v>
      </c>
      <c r="R34" s="9">
        <f t="shared" ca="1" si="3"/>
        <v>1.7367016554376863E-3</v>
      </c>
      <c r="S34" s="8">
        <f t="shared" si="4"/>
        <v>0.52361922089463619</v>
      </c>
      <c r="T34" s="11">
        <v>5.2499999999999998E-2</v>
      </c>
      <c r="U34" s="11">
        <f t="shared" ca="1" si="5"/>
        <v>1.913765920900464E-3</v>
      </c>
      <c r="V34" s="6" t="e">
        <f ca="1">IF(agePb6U8(1/O34)&lt;1400,age7corr(1/O34,Q34,$W$2),agePb76(Q34))</f>
        <v>#NAME?</v>
      </c>
      <c r="W34" s="6" t="e">
        <f ca="1">IF(agePb6U8(1/O34)&lt;1400,ageer7corr(V34,1/O34,P34/O34*(1/O34),Q34,R34,$W$2,0.05),ageerPb76(Q34,R34))</f>
        <v>#NAME?</v>
      </c>
      <c r="X34" s="4" t="e">
        <f ca="1">agePb6U8(L34)/agePb7u5(J34)</f>
        <v>#NAME?</v>
      </c>
      <c r="Y34" s="3"/>
      <c r="Z34" s="1">
        <v>1.403</v>
      </c>
      <c r="AA34" s="1">
        <v>2.5000000000000001E-2</v>
      </c>
      <c r="AB34" s="1">
        <v>0.1381</v>
      </c>
      <c r="AC34" s="1">
        <v>3.0999999999999999E-3</v>
      </c>
      <c r="AD34" s="1">
        <v>0.83379999999999999</v>
      </c>
      <c r="AE34" s="1">
        <v>7.2411300000000001</v>
      </c>
      <c r="AF34" s="1">
        <v>0.1625453</v>
      </c>
      <c r="AG34" s="1">
        <v>7.3959999999999998E-2</v>
      </c>
      <c r="AH34" s="1">
        <v>9.1E-4</v>
      </c>
      <c r="AI34" s="1">
        <v>0.18783</v>
      </c>
      <c r="AJ34" s="1">
        <v>5.2499999999999998E-2</v>
      </c>
      <c r="AK34" s="1">
        <v>1.6000000000000001E-3</v>
      </c>
      <c r="AL34" s="1">
        <v>8.6300000000000008</v>
      </c>
      <c r="AM34" s="1">
        <v>0.76</v>
      </c>
      <c r="AN34" s="1">
        <v>890</v>
      </c>
      <c r="AO34" s="1">
        <v>11</v>
      </c>
      <c r="AP34" s="1">
        <v>834</v>
      </c>
      <c r="AQ34" s="1">
        <v>18</v>
      </c>
      <c r="AR34" s="1">
        <v>1034</v>
      </c>
      <c r="AS34" s="1">
        <v>30</v>
      </c>
      <c r="AT34" s="1">
        <v>1039</v>
      </c>
      <c r="AU34" s="1">
        <v>25</v>
      </c>
      <c r="AV34" s="1">
        <v>65.3</v>
      </c>
      <c r="AW34" s="1">
        <v>5.3</v>
      </c>
      <c r="AX34" s="1">
        <v>7.6800000000000006</v>
      </c>
      <c r="AY34" s="1">
        <v>0.12000000000000001</v>
      </c>
      <c r="AZ34" s="1">
        <v>33062.04</v>
      </c>
      <c r="BA34" s="1">
        <v>552.68999999999994</v>
      </c>
      <c r="BB34" s="1">
        <v>25647.300000000003</v>
      </c>
      <c r="BC34" s="1">
        <v>1800.9</v>
      </c>
      <c r="BD34" s="1">
        <v>352107</v>
      </c>
      <c r="BE34" s="1">
        <v>27945</v>
      </c>
      <c r="BF34" s="1">
        <v>42.227999999999994</v>
      </c>
      <c r="BG34" s="1">
        <v>16.145999999999997</v>
      </c>
      <c r="BH34" s="1">
        <f t="shared" si="6"/>
        <v>8338.2352941176487</v>
      </c>
      <c r="BI34" s="1">
        <f t="shared" si="7"/>
        <v>3256.1058376979081</v>
      </c>
      <c r="BJ34" s="27">
        <v>892.58</v>
      </c>
      <c r="BK34" s="27">
        <v>16.79</v>
      </c>
      <c r="BL34" s="27">
        <v>834.03</v>
      </c>
      <c r="BM34" s="27">
        <v>23.77</v>
      </c>
      <c r="BN34" s="27">
        <v>1040.56</v>
      </c>
      <c r="BO34" s="27">
        <v>54.55</v>
      </c>
      <c r="BP34" s="27">
        <v>884.04</v>
      </c>
      <c r="BQ34" s="27">
        <v>16.989999999999998</v>
      </c>
      <c r="BR34" s="27">
        <v>5.8</v>
      </c>
    </row>
    <row r="35" spans="1:70" x14ac:dyDescent="0.2">
      <c r="A35" t="s">
        <v>779</v>
      </c>
      <c r="B35" t="s">
        <v>38</v>
      </c>
      <c r="C35" t="s">
        <v>780</v>
      </c>
      <c r="D35" t="s">
        <v>781</v>
      </c>
      <c r="E35">
        <v>78629</v>
      </c>
      <c r="F35">
        <v>40711</v>
      </c>
      <c r="G35" t="s">
        <v>781</v>
      </c>
      <c r="H35" s="1">
        <v>295</v>
      </c>
      <c r="I35" s="1">
        <v>145.9</v>
      </c>
      <c r="J35" s="10">
        <v>0.1721</v>
      </c>
      <c r="K35" s="10">
        <f t="shared" ca="1" si="0"/>
        <v>7.3550910259493046E-3</v>
      </c>
      <c r="L35" s="7">
        <v>2.5309999999999999E-2</v>
      </c>
      <c r="M35" s="7">
        <f t="shared" ca="1" si="1"/>
        <v>1.0413157254166481E-3</v>
      </c>
      <c r="N35" s="7">
        <v>0.97548999999999997</v>
      </c>
      <c r="O35" s="8">
        <v>39.510080000000002</v>
      </c>
      <c r="P35" s="8">
        <f t="shared" ca="1" si="2"/>
        <v>1.6255419260500665</v>
      </c>
      <c r="Q35" s="9">
        <v>4.9509999999999998E-2</v>
      </c>
      <c r="R35" s="9">
        <f t="shared" ca="1" si="3"/>
        <v>1.0795351036441566E-3</v>
      </c>
      <c r="S35" s="8">
        <f t="shared" si="4"/>
        <v>0.46235654424433076</v>
      </c>
      <c r="T35" s="11">
        <v>8.09E-3</v>
      </c>
      <c r="U35" s="11">
        <f t="shared" ca="1" si="5"/>
        <v>3.6753127758056188E-4</v>
      </c>
      <c r="V35" s="6" t="e">
        <f ca="1">IF(agePb6U8(1/O35)&lt;1400,age7corr(1/O35,Q35,$W$2),agePb76(Q35))</f>
        <v>#NAME?</v>
      </c>
      <c r="W35" s="6" t="e">
        <f ca="1">IF(agePb6U8(1/O35)&lt;1400,ageer7corr(V35,1/O35,P35/O35*(1/O35),Q35,R35,$W$2,0.05),ageerPb76(Q35,R35))</f>
        <v>#NAME?</v>
      </c>
      <c r="X35" s="4" t="e">
        <f ca="1">agePb6U8(L35)/agePb7u5(J35)</f>
        <v>#NAME?</v>
      </c>
      <c r="Y35" s="3"/>
      <c r="Z35" s="1">
        <v>0.1721</v>
      </c>
      <c r="AA35" s="1">
        <v>6.4999999999999997E-3</v>
      </c>
      <c r="AB35" s="1">
        <v>2.5309999999999999E-2</v>
      </c>
      <c r="AC35" s="1">
        <v>9.1E-4</v>
      </c>
      <c r="AD35" s="1">
        <v>0.97548999999999997</v>
      </c>
      <c r="AE35" s="1">
        <v>39.510080000000002</v>
      </c>
      <c r="AF35" s="1">
        <v>1.420552</v>
      </c>
      <c r="AG35" s="1">
        <v>4.9509999999999998E-2</v>
      </c>
      <c r="AH35" s="1">
        <v>4.2999999999999999E-4</v>
      </c>
      <c r="AI35" s="1">
        <v>-0.11225</v>
      </c>
      <c r="AJ35" s="1">
        <v>8.09E-3</v>
      </c>
      <c r="AK35" s="1">
        <v>3.3E-4</v>
      </c>
      <c r="AL35" s="1">
        <v>6.77</v>
      </c>
      <c r="AM35" s="1">
        <v>0.11</v>
      </c>
      <c r="AN35" s="1">
        <v>161.1</v>
      </c>
      <c r="AO35" s="1">
        <v>5.7</v>
      </c>
      <c r="AP35" s="1">
        <v>161.1</v>
      </c>
      <c r="AQ35" s="1">
        <v>5.7</v>
      </c>
      <c r="AR35" s="1">
        <v>162.9</v>
      </c>
      <c r="AS35" s="1">
        <v>6.6</v>
      </c>
      <c r="AT35" s="1">
        <v>172</v>
      </c>
      <c r="AU35" s="1">
        <v>20</v>
      </c>
      <c r="AV35" s="1">
        <v>63.6</v>
      </c>
      <c r="AW35" s="1">
        <v>3.6</v>
      </c>
      <c r="AX35" s="1">
        <v>11.469999999999999</v>
      </c>
      <c r="AY35" s="1">
        <v>0.7</v>
      </c>
      <c r="AZ35" s="1">
        <v>7445.79</v>
      </c>
      <c r="BA35" s="1">
        <v>459.54</v>
      </c>
      <c r="BB35" s="1">
        <v>3073.95</v>
      </c>
      <c r="BC35" s="1">
        <v>167.67000000000002</v>
      </c>
      <c r="BD35" s="1">
        <v>62658.899999999994</v>
      </c>
      <c r="BE35" s="1">
        <v>3229.2</v>
      </c>
      <c r="BF35" s="1">
        <v>3.1049999999999995</v>
      </c>
      <c r="BG35" s="1">
        <v>5.4647999999999994</v>
      </c>
      <c r="BH35" s="1">
        <f t="shared" si="6"/>
        <v>20180</v>
      </c>
      <c r="BI35" s="1">
        <f t="shared" si="7"/>
        <v>35532.02333445142</v>
      </c>
      <c r="BJ35" s="27">
        <v>163.24</v>
      </c>
      <c r="BK35" s="27">
        <v>5.53</v>
      </c>
      <c r="BL35" s="27">
        <v>161.13</v>
      </c>
      <c r="BM35" s="27">
        <v>6.57</v>
      </c>
      <c r="BN35" s="27">
        <v>193.95</v>
      </c>
      <c r="BO35" s="27">
        <v>46.5</v>
      </c>
      <c r="BP35" s="27">
        <v>163.49</v>
      </c>
      <c r="BQ35" s="27">
        <v>5.53</v>
      </c>
      <c r="BR35" s="27">
        <v>1.1000000000000001</v>
      </c>
    </row>
    <row r="36" spans="1:70" s="23" customFormat="1" x14ac:dyDescent="0.2">
      <c r="A36" s="23" t="s">
        <v>905</v>
      </c>
      <c r="B36" s="23" t="s">
        <v>38</v>
      </c>
      <c r="C36" s="23" t="s">
        <v>906</v>
      </c>
      <c r="D36" s="23" t="s">
        <v>907</v>
      </c>
      <c r="E36" s="23">
        <v>77966</v>
      </c>
      <c r="F36" s="23">
        <v>39866</v>
      </c>
      <c r="G36" s="23" t="s">
        <v>907</v>
      </c>
      <c r="H36" s="24">
        <v>271.89999999999998</v>
      </c>
      <c r="I36" s="24">
        <v>137.30000000000001</v>
      </c>
      <c r="J36" s="25">
        <v>2.411</v>
      </c>
      <c r="K36" s="25">
        <f t="shared" ca="1" si="0"/>
        <v>7.6198217826928191E-2</v>
      </c>
      <c r="L36" s="26">
        <v>0.20519999999999999</v>
      </c>
      <c r="M36" s="26">
        <f t="shared" ca="1" si="1"/>
        <v>5.2041152946490339E-3</v>
      </c>
      <c r="N36" s="26">
        <v>0.37907999999999997</v>
      </c>
      <c r="O36" s="26">
        <v>4.8732939999999996</v>
      </c>
      <c r="P36" s="26">
        <f t="shared" ca="1" si="2"/>
        <v>0.12359251536593345</v>
      </c>
      <c r="Q36" s="25">
        <v>8.5900000000000004E-2</v>
      </c>
      <c r="R36" s="25">
        <f t="shared" ca="1" si="3"/>
        <v>2.6365742925242974E-3</v>
      </c>
      <c r="S36" s="26">
        <f t="shared" si="4"/>
        <v>0.24287877005537895</v>
      </c>
      <c r="T36" s="25">
        <v>6.7900000000000002E-2</v>
      </c>
      <c r="U36" s="25">
        <f t="shared" ca="1" si="5"/>
        <v>2.0986100161773744E-3</v>
      </c>
      <c r="V36" s="24" t="e">
        <f ca="1">IF(agePb6U8(1/O36)&lt;1400,age7corr(1/O36,Q36,$W$2),agePb76(Q36))</f>
        <v>#NAME?</v>
      </c>
      <c r="W36" s="24" t="e">
        <f ca="1">IF(agePb6U8(1/O36)&lt;1400,ageer7corr(V36,1/O36,P36/O36*(1/O36),Q36,R36,$W$2,0.05),ageerPb76(Q36,R36))</f>
        <v>#NAME?</v>
      </c>
      <c r="X36" s="26" t="e">
        <f ca="1">agePb6U8(L36)/agePb7u5(J36)</f>
        <v>#NAME?</v>
      </c>
      <c r="Y36" s="24"/>
      <c r="Z36" s="24">
        <v>2.411</v>
      </c>
      <c r="AA36" s="24">
        <v>5.8999999999999997E-2</v>
      </c>
      <c r="AB36" s="24">
        <v>0.20519999999999999</v>
      </c>
      <c r="AC36" s="24">
        <v>3.2000000000000002E-3</v>
      </c>
      <c r="AD36" s="24">
        <v>0.37907999999999997</v>
      </c>
      <c r="AE36" s="24">
        <v>4.8732939999999996</v>
      </c>
      <c r="AF36" s="24">
        <v>7.5996789999999995E-2</v>
      </c>
      <c r="AG36" s="24">
        <v>8.5900000000000004E-2</v>
      </c>
      <c r="AH36" s="24">
        <v>2E-3</v>
      </c>
      <c r="AI36" s="24">
        <v>-5.5544000000000003E-2</v>
      </c>
      <c r="AJ36" s="24">
        <v>6.7900000000000002E-2</v>
      </c>
      <c r="AK36" s="24">
        <v>1.6000000000000001E-3</v>
      </c>
      <c r="AL36" s="24">
        <v>6.4</v>
      </c>
      <c r="AM36" s="24">
        <v>0.18</v>
      </c>
      <c r="AN36" s="24">
        <v>1245</v>
      </c>
      <c r="AO36" s="24">
        <v>18</v>
      </c>
      <c r="AP36" s="24">
        <v>1203</v>
      </c>
      <c r="AQ36" s="24">
        <v>17</v>
      </c>
      <c r="AR36" s="24">
        <v>1328</v>
      </c>
      <c r="AS36" s="24">
        <v>30</v>
      </c>
      <c r="AT36" s="24">
        <v>1334</v>
      </c>
      <c r="AU36" s="24">
        <v>43</v>
      </c>
      <c r="AV36" s="24">
        <v>58.4</v>
      </c>
      <c r="AW36" s="24">
        <v>0.80999999999999994</v>
      </c>
      <c r="AX36" s="24">
        <v>10.78</v>
      </c>
      <c r="AY36" s="24">
        <v>0.12999999999999998</v>
      </c>
      <c r="AZ36" s="24">
        <v>59243.399999999994</v>
      </c>
      <c r="BA36" s="24">
        <v>1987.2</v>
      </c>
      <c r="BB36" s="24">
        <v>39806.1</v>
      </c>
      <c r="BC36" s="24">
        <v>1117.8000000000002</v>
      </c>
      <c r="BD36" s="24">
        <v>468482.4</v>
      </c>
      <c r="BE36" s="24">
        <v>5402.7</v>
      </c>
      <c r="BF36" s="24">
        <v>155.25</v>
      </c>
      <c r="BG36" s="24">
        <v>62.1</v>
      </c>
      <c r="BH36" s="24">
        <f t="shared" si="6"/>
        <v>3017.6000000000004</v>
      </c>
      <c r="BI36" s="24">
        <f t="shared" si="7"/>
        <v>1207.5415527425964</v>
      </c>
      <c r="BJ36" s="27">
        <v>1252.6300000000001</v>
      </c>
      <c r="BK36" s="27">
        <v>27.04</v>
      </c>
      <c r="BL36" s="27">
        <v>1203.94</v>
      </c>
      <c r="BM36" s="27">
        <v>27.06</v>
      </c>
      <c r="BN36" s="27">
        <v>1337.31</v>
      </c>
      <c r="BO36" s="27">
        <v>67.44</v>
      </c>
      <c r="BP36" s="27">
        <v>1227.27</v>
      </c>
      <c r="BQ36" s="27">
        <v>23.44</v>
      </c>
      <c r="BR36" s="27">
        <v>4</v>
      </c>
    </row>
    <row r="37" spans="1:70" x14ac:dyDescent="0.2">
      <c r="A37" t="s">
        <v>908</v>
      </c>
      <c r="B37" t="s">
        <v>38</v>
      </c>
      <c r="C37" t="s">
        <v>909</v>
      </c>
      <c r="D37" t="s">
        <v>910</v>
      </c>
      <c r="E37">
        <v>77952</v>
      </c>
      <c r="F37">
        <v>39997</v>
      </c>
      <c r="G37" t="s">
        <v>910</v>
      </c>
      <c r="H37" s="1">
        <v>257.89999999999998</v>
      </c>
      <c r="I37" s="1">
        <v>151.1</v>
      </c>
      <c r="J37" s="10">
        <v>0.1676</v>
      </c>
      <c r="K37" s="10">
        <f t="shared" ca="1" si="0"/>
        <v>5.2958383661135281E-3</v>
      </c>
      <c r="L37" s="7">
        <v>2.4469999999999999E-2</v>
      </c>
      <c r="M37" s="7">
        <f t="shared" ca="1" si="1"/>
        <v>7.9775457378820469E-4</v>
      </c>
      <c r="N37" s="7">
        <v>0.88775999999999999</v>
      </c>
      <c r="O37" s="8">
        <v>40.866370000000003</v>
      </c>
      <c r="P37" s="8">
        <f t="shared" ca="1" si="2"/>
        <v>1.3322981835290328</v>
      </c>
      <c r="Q37" s="9">
        <v>4.9579999999999999E-2</v>
      </c>
      <c r="R37" s="9">
        <f t="shared" ca="1" si="3"/>
        <v>1.1801993729874626E-3</v>
      </c>
      <c r="S37" s="8">
        <f t="shared" si="4"/>
        <v>0.38852291921135607</v>
      </c>
      <c r="T37" s="11">
        <v>7.5599999999999999E-3</v>
      </c>
      <c r="U37" s="11">
        <f t="shared" ca="1" si="5"/>
        <v>2.428197685527272E-4</v>
      </c>
      <c r="V37" s="6" t="e">
        <f ca="1">IF(agePb6U8(1/O37)&lt;1400,age7corr(1/O37,Q37,$W$2),agePb76(Q37))</f>
        <v>#NAME?</v>
      </c>
      <c r="W37" s="6" t="e">
        <f ca="1">IF(agePb6U8(1/O37)&lt;1400,ageer7corr(V37,1/O37,P37/O37*(1/O37),Q37,R37,$W$2,0.05),ageerPb76(Q37,R37))</f>
        <v>#NAME?</v>
      </c>
      <c r="X37" s="4" t="e">
        <f ca="1">agePb6U8(L37)/agePb7u5(J37)</f>
        <v>#NAME?</v>
      </c>
      <c r="Y37" s="3"/>
      <c r="Z37" s="1">
        <v>0.1676</v>
      </c>
      <c r="AA37" s="1">
        <v>4.1000000000000003E-3</v>
      </c>
      <c r="AB37" s="1">
        <v>2.4469999999999999E-2</v>
      </c>
      <c r="AC37" s="1">
        <v>6.3000000000000003E-4</v>
      </c>
      <c r="AD37" s="1">
        <v>0.88775999999999999</v>
      </c>
      <c r="AE37" s="1">
        <v>40.866370000000003</v>
      </c>
      <c r="AF37" s="1">
        <v>1.052138</v>
      </c>
      <c r="AG37" s="1">
        <v>4.9579999999999999E-2</v>
      </c>
      <c r="AH37" s="1">
        <v>6.4000000000000005E-4</v>
      </c>
      <c r="AI37" s="1">
        <v>0.41025</v>
      </c>
      <c r="AJ37" s="1">
        <v>7.5599999999999999E-3</v>
      </c>
      <c r="AK37" s="1">
        <v>1.9000000000000001E-4</v>
      </c>
      <c r="AL37" s="1">
        <v>5.8440000000000003</v>
      </c>
      <c r="AM37" s="1">
        <v>5.0999999999999997E-2</v>
      </c>
      <c r="AN37" s="1">
        <v>157.30000000000001</v>
      </c>
      <c r="AO37" s="1">
        <v>3.6</v>
      </c>
      <c r="AP37" s="1">
        <v>155.80000000000001</v>
      </c>
      <c r="AQ37" s="1">
        <v>3.9</v>
      </c>
      <c r="AR37" s="1">
        <v>153</v>
      </c>
      <c r="AS37" s="1">
        <v>3.5</v>
      </c>
      <c r="AT37" s="1">
        <v>174</v>
      </c>
      <c r="AU37" s="1">
        <v>30</v>
      </c>
      <c r="AV37" s="1">
        <v>55.4</v>
      </c>
      <c r="AW37" s="1">
        <v>1.3</v>
      </c>
      <c r="AX37" s="1">
        <v>11.85</v>
      </c>
      <c r="AY37" s="1">
        <v>0.24000000000000002</v>
      </c>
      <c r="AZ37" s="1">
        <v>7346.43</v>
      </c>
      <c r="BA37" s="1">
        <v>186.3</v>
      </c>
      <c r="BB37" s="1">
        <v>2617.5149999999999</v>
      </c>
      <c r="BC37" s="1">
        <v>61.478999999999999</v>
      </c>
      <c r="BD37" s="1">
        <v>53095.5</v>
      </c>
      <c r="BE37" s="1">
        <v>993.6</v>
      </c>
      <c r="BF37" s="1">
        <v>31.05</v>
      </c>
      <c r="BG37" s="1">
        <v>7.4519999999999991</v>
      </c>
      <c r="BH37" s="1">
        <f t="shared" si="6"/>
        <v>1710</v>
      </c>
      <c r="BI37" s="1">
        <f t="shared" si="7"/>
        <v>411.64567287899428</v>
      </c>
      <c r="BJ37" s="27">
        <v>158.21</v>
      </c>
      <c r="BK37" s="27">
        <v>4.5199999999999996</v>
      </c>
      <c r="BL37" s="27">
        <v>155.83000000000001</v>
      </c>
      <c r="BM37" s="27">
        <v>5.01</v>
      </c>
      <c r="BN37" s="27">
        <v>193.95</v>
      </c>
      <c r="BO37" s="27">
        <v>46.5</v>
      </c>
      <c r="BP37" s="27">
        <v>157.62</v>
      </c>
      <c r="BQ37" s="27">
        <v>4.47</v>
      </c>
      <c r="BR37" s="27">
        <v>1.1000000000000001</v>
      </c>
    </row>
    <row r="38" spans="1:70" x14ac:dyDescent="0.2">
      <c r="A38" t="s">
        <v>917</v>
      </c>
      <c r="B38" t="s">
        <v>38</v>
      </c>
      <c r="C38" t="s">
        <v>918</v>
      </c>
      <c r="D38" t="s">
        <v>919</v>
      </c>
      <c r="E38">
        <v>77988</v>
      </c>
      <c r="F38">
        <v>40122</v>
      </c>
      <c r="G38" t="s">
        <v>919</v>
      </c>
      <c r="H38" s="1">
        <v>170.6</v>
      </c>
      <c r="I38" s="1">
        <v>155</v>
      </c>
      <c r="J38" s="10">
        <v>15</v>
      </c>
      <c r="K38" s="10">
        <f t="shared" ca="1" si="0"/>
        <v>0.46861498055439926</v>
      </c>
      <c r="L38" s="7">
        <v>0.53100000000000003</v>
      </c>
      <c r="M38" s="7">
        <f t="shared" ca="1" si="1"/>
        <v>1.6024493751753906E-2</v>
      </c>
      <c r="N38" s="7">
        <v>0.99046999999999996</v>
      </c>
      <c r="O38" s="8">
        <v>1.8832390000000001</v>
      </c>
      <c r="P38" s="8">
        <f t="shared" ca="1" si="2"/>
        <v>5.6832305451167471E-2</v>
      </c>
      <c r="Q38" s="9">
        <v>0.20443</v>
      </c>
      <c r="R38" s="9">
        <f t="shared" ca="1" si="3"/>
        <v>4.1178574477511972E-3</v>
      </c>
      <c r="S38" s="8">
        <f t="shared" si="4"/>
        <v>0.55157459685616306</v>
      </c>
      <c r="T38" s="11">
        <v>0.14860000000000001</v>
      </c>
      <c r="U38" s="11">
        <f t="shared" ca="1" si="5"/>
        <v>5.3096877497645764E-3</v>
      </c>
      <c r="V38" s="6" t="e">
        <f ca="1">IF(agePb6U8(1/O38)&lt;1400,age7corr(1/O38,Q38,$W$2),agePb76(Q38))</f>
        <v>#NAME?</v>
      </c>
      <c r="W38" s="6" t="e">
        <f ca="1">IF(agePb6U8(1/O38)&lt;1400,ageer7corr(V38,1/O38,P38/O38*(1/O38),Q38,R38,$W$2,0.05),ageerPb76(Q38,R38))</f>
        <v>#NAME?</v>
      </c>
      <c r="X38" s="4" t="e">
        <f ca="1">agePb6U8(L38)/agePb7u5(J38)</f>
        <v>#NAME?</v>
      </c>
      <c r="Y38" s="3"/>
      <c r="Z38" s="1">
        <v>15</v>
      </c>
      <c r="AA38" s="1">
        <v>0.36</v>
      </c>
      <c r="AB38" s="1">
        <v>0.53100000000000003</v>
      </c>
      <c r="AC38" s="1">
        <v>1.2E-2</v>
      </c>
      <c r="AD38" s="1">
        <v>0.99046999999999996</v>
      </c>
      <c r="AE38" s="1">
        <v>1.8832390000000001</v>
      </c>
      <c r="AF38" s="1">
        <v>4.2559079999999999E-2</v>
      </c>
      <c r="AG38" s="1">
        <v>0.20443</v>
      </c>
      <c r="AH38" s="1">
        <v>4.8999999999999998E-4</v>
      </c>
      <c r="AI38" s="1">
        <v>-5.3728999999999999E-2</v>
      </c>
      <c r="AJ38" s="1">
        <v>0.14860000000000001</v>
      </c>
      <c r="AK38" s="1">
        <v>4.4000000000000003E-3</v>
      </c>
      <c r="AL38" s="1">
        <v>4.22</v>
      </c>
      <c r="AM38" s="1">
        <v>0.1</v>
      </c>
      <c r="AN38" s="1">
        <v>2814</v>
      </c>
      <c r="AO38" s="1">
        <v>23</v>
      </c>
      <c r="AP38" s="1">
        <v>2745</v>
      </c>
      <c r="AQ38" s="1">
        <v>50</v>
      </c>
      <c r="AR38" s="1">
        <v>2799</v>
      </c>
      <c r="AS38" s="1">
        <v>78</v>
      </c>
      <c r="AT38" s="1">
        <v>2861.9</v>
      </c>
      <c r="AU38" s="1">
        <v>3.9</v>
      </c>
      <c r="AV38" s="1">
        <v>36.630000000000003</v>
      </c>
      <c r="AW38" s="1">
        <v>0.79</v>
      </c>
      <c r="AX38" s="1">
        <v>12.14</v>
      </c>
      <c r="AY38" s="1">
        <v>0.78</v>
      </c>
      <c r="AZ38" s="1">
        <v>145935</v>
      </c>
      <c r="BA38" s="1">
        <v>6831</v>
      </c>
      <c r="BB38" s="1">
        <v>154380.59999999998</v>
      </c>
      <c r="BC38" s="1">
        <v>3726.0000000000005</v>
      </c>
      <c r="BD38" s="1">
        <v>759483</v>
      </c>
      <c r="BE38" s="1">
        <v>19251</v>
      </c>
      <c r="BF38" s="1">
        <v>2.6703000000000001</v>
      </c>
      <c r="BG38" s="1">
        <v>4.968</v>
      </c>
      <c r="BH38" s="1">
        <f t="shared" si="6"/>
        <v>284418.60465116275</v>
      </c>
      <c r="BI38" s="1">
        <f t="shared" si="7"/>
        <v>529200.0008885992</v>
      </c>
      <c r="BJ38" s="27">
        <v>2812.36</v>
      </c>
      <c r="BK38" s="27">
        <v>25.44</v>
      </c>
      <c r="BL38" s="27">
        <v>2749.52</v>
      </c>
      <c r="BM38" s="27">
        <v>71.44</v>
      </c>
      <c r="BN38" s="27">
        <v>2857.74</v>
      </c>
      <c r="BO38" s="27">
        <v>31.91</v>
      </c>
      <c r="BP38" s="27">
        <v>2829.59</v>
      </c>
      <c r="BQ38" s="27">
        <v>20.46</v>
      </c>
      <c r="BR38" s="27">
        <v>2.5</v>
      </c>
    </row>
    <row r="39" spans="1:70" x14ac:dyDescent="0.2">
      <c r="A39" t="s">
        <v>920</v>
      </c>
      <c r="B39" t="s">
        <v>38</v>
      </c>
      <c r="C39" t="s">
        <v>921</v>
      </c>
      <c r="D39" t="s">
        <v>922</v>
      </c>
      <c r="E39">
        <v>77947</v>
      </c>
      <c r="F39">
        <v>40561</v>
      </c>
      <c r="G39" t="s">
        <v>922</v>
      </c>
      <c r="H39" s="1">
        <v>65</v>
      </c>
      <c r="I39" s="1">
        <v>23.82</v>
      </c>
      <c r="J39" s="10">
        <v>5.75</v>
      </c>
      <c r="K39" s="10">
        <f t="shared" ca="1" si="0"/>
        <v>0.15913830462839548</v>
      </c>
      <c r="L39" s="7">
        <v>0.34610000000000002</v>
      </c>
      <c r="M39" s="7">
        <f t="shared" ca="1" si="1"/>
        <v>9.427305235325735E-3</v>
      </c>
      <c r="N39" s="7">
        <v>0.97075</v>
      </c>
      <c r="O39" s="8">
        <v>2.889338</v>
      </c>
      <c r="P39" s="8">
        <f t="shared" ca="1" si="2"/>
        <v>7.8701743732642285E-2</v>
      </c>
      <c r="Q39" s="9">
        <v>0.12060999999999999</v>
      </c>
      <c r="R39" s="9">
        <f t="shared" ca="1" si="3"/>
        <v>2.4719038897173975E-3</v>
      </c>
      <c r="S39" s="8">
        <f t="shared" si="4"/>
        <v>0.42190235862016967</v>
      </c>
      <c r="T39" s="11">
        <v>0.10050000000000001</v>
      </c>
      <c r="U39" s="11">
        <f t="shared" ca="1" si="5"/>
        <v>2.9069055712217418E-3</v>
      </c>
      <c r="V39" s="6" t="e">
        <f ca="1">IF(agePb6U8(1/O39)&lt;1400,age7corr(1/O39,Q39,$W$2),agePb76(Q39))</f>
        <v>#NAME?</v>
      </c>
      <c r="W39" s="6" t="e">
        <f ca="1">IF(agePb6U8(1/O39)&lt;1400,ageer7corr(V39,1/O39,P39/O39*(1/O39),Q39,R39,$W$2,0.05),ageerPb76(Q39,R39))</f>
        <v>#NAME?</v>
      </c>
      <c r="X39" s="4" t="e">
        <f ca="1">agePb6U8(L39)/agePb7u5(J39)</f>
        <v>#NAME?</v>
      </c>
      <c r="Y39" s="3"/>
      <c r="Z39" s="1">
        <v>5.75</v>
      </c>
      <c r="AA39" s="1">
        <v>0.11</v>
      </c>
      <c r="AB39" s="1">
        <v>0.34610000000000002</v>
      </c>
      <c r="AC39" s="1">
        <v>6.4000000000000003E-3</v>
      </c>
      <c r="AD39" s="1">
        <v>0.97075</v>
      </c>
      <c r="AE39" s="1">
        <v>2.889338</v>
      </c>
      <c r="AF39" s="1">
        <v>5.3428969999999999E-2</v>
      </c>
      <c r="AG39" s="1">
        <v>0.12060999999999999</v>
      </c>
      <c r="AH39" s="1">
        <v>5.4000000000000001E-4</v>
      </c>
      <c r="AI39" s="1">
        <v>0.35560999999999998</v>
      </c>
      <c r="AJ39" s="1">
        <v>0.10050000000000001</v>
      </c>
      <c r="AK39" s="1">
        <v>2.0999999999999999E-3</v>
      </c>
      <c r="AL39" s="1">
        <v>9.9979999999999993</v>
      </c>
      <c r="AM39" s="1">
        <v>4.1000000000000002E-2</v>
      </c>
      <c r="AN39" s="1">
        <v>1938</v>
      </c>
      <c r="AO39" s="1">
        <v>16</v>
      </c>
      <c r="AP39" s="1">
        <v>1915</v>
      </c>
      <c r="AQ39" s="1">
        <v>31</v>
      </c>
      <c r="AR39" s="1">
        <v>1936</v>
      </c>
      <c r="AS39" s="1">
        <v>39</v>
      </c>
      <c r="AT39" s="1">
        <v>1965.2</v>
      </c>
      <c r="AU39" s="1">
        <v>8.1</v>
      </c>
      <c r="AV39" s="1">
        <v>13.96</v>
      </c>
      <c r="AW39" s="1">
        <v>0.24000000000000002</v>
      </c>
      <c r="AX39" s="1">
        <v>1.869</v>
      </c>
      <c r="AY39" s="1">
        <v>3.6000000000000004E-2</v>
      </c>
      <c r="AZ39" s="1">
        <v>15146.19</v>
      </c>
      <c r="BA39" s="1">
        <v>186.3</v>
      </c>
      <c r="BB39" s="1">
        <v>22610.61</v>
      </c>
      <c r="BC39" s="1">
        <v>260.82</v>
      </c>
      <c r="BD39" s="1">
        <v>187790.4</v>
      </c>
      <c r="BE39" s="1">
        <v>2297.6999999999998</v>
      </c>
      <c r="BF39" s="1">
        <v>6.0858000000000008</v>
      </c>
      <c r="BG39" s="1">
        <v>4.8437999999999999</v>
      </c>
      <c r="BH39" s="1">
        <f t="shared" si="6"/>
        <v>30857.142857142851</v>
      </c>
      <c r="BI39" s="1">
        <f t="shared" si="7"/>
        <v>24562.66859011136</v>
      </c>
      <c r="BJ39" s="27">
        <v>1941.96</v>
      </c>
      <c r="BK39" s="27">
        <v>22.15</v>
      </c>
      <c r="BL39" s="27">
        <v>1915.57</v>
      </c>
      <c r="BM39" s="27">
        <v>45.87</v>
      </c>
      <c r="BN39" s="27">
        <v>1970.22</v>
      </c>
      <c r="BO39" s="27">
        <v>29.46</v>
      </c>
      <c r="BP39" s="27">
        <v>1951.23</v>
      </c>
      <c r="BQ39" s="27">
        <v>19.22</v>
      </c>
      <c r="BR39" s="27">
        <v>1.5</v>
      </c>
    </row>
    <row r="40" spans="1:70" x14ac:dyDescent="0.2">
      <c r="A40" t="s">
        <v>923</v>
      </c>
      <c r="B40" t="s">
        <v>38</v>
      </c>
      <c r="C40" t="s">
        <v>924</v>
      </c>
      <c r="D40" t="s">
        <v>925</v>
      </c>
      <c r="E40">
        <v>78076</v>
      </c>
      <c r="F40">
        <v>40667</v>
      </c>
      <c r="G40" t="s">
        <v>925</v>
      </c>
      <c r="H40" s="1">
        <v>188</v>
      </c>
      <c r="I40" s="1">
        <v>65.599999999999994</v>
      </c>
      <c r="J40" s="10">
        <v>4.9400000000000004</v>
      </c>
      <c r="K40" s="10">
        <f t="shared" ca="1" si="0"/>
        <v>0.14785614630444011</v>
      </c>
      <c r="L40" s="7">
        <v>0.31230000000000002</v>
      </c>
      <c r="M40" s="7">
        <f t="shared" ca="1" si="1"/>
        <v>9.1598316578417553E-3</v>
      </c>
      <c r="N40" s="7">
        <v>0.99070000000000003</v>
      </c>
      <c r="O40" s="8">
        <v>3.2020490000000001</v>
      </c>
      <c r="P40" s="8">
        <f t="shared" ca="1" si="2"/>
        <v>9.3916845114017752E-2</v>
      </c>
      <c r="Q40" s="9">
        <v>0.11513</v>
      </c>
      <c r="R40" s="9">
        <f t="shared" ca="1" si="3"/>
        <v>2.3480985413734238E-3</v>
      </c>
      <c r="S40" s="8">
        <f t="shared" si="4"/>
        <v>0.52175170612497257</v>
      </c>
      <c r="T40" s="11">
        <v>9.5799999999999996E-2</v>
      </c>
      <c r="U40" s="11">
        <f t="shared" ca="1" si="5"/>
        <v>2.9173714196173242E-3</v>
      </c>
      <c r="V40" s="6" t="e">
        <f ca="1">IF(agePb6U8(1/O40)&lt;1400,age7corr(1/O40,Q40,$W$2),agePb76(Q40))</f>
        <v>#NAME?</v>
      </c>
      <c r="W40" s="6" t="e">
        <f ca="1">IF(agePb6U8(1/O40)&lt;1400,ageer7corr(V40,1/O40,P40/O40*(1/O40),Q40,R40,$W$2,0.05),ageerPb76(Q40,R40))</f>
        <v>#NAME?</v>
      </c>
      <c r="X40" s="4" t="e">
        <f ca="1">agePb6U8(L40)/agePb7u5(J40)</f>
        <v>#NAME?</v>
      </c>
      <c r="Y40" s="3"/>
      <c r="Z40" s="1">
        <v>4.9400000000000004</v>
      </c>
      <c r="AA40" s="1">
        <v>0.11</v>
      </c>
      <c r="AB40" s="1">
        <v>0.31230000000000002</v>
      </c>
      <c r="AC40" s="1">
        <v>6.7000000000000002E-3</v>
      </c>
      <c r="AD40" s="1">
        <v>0.99070000000000003</v>
      </c>
      <c r="AE40" s="1">
        <v>3.2020490000000001</v>
      </c>
      <c r="AF40" s="1">
        <v>6.8695900000000004E-2</v>
      </c>
      <c r="AG40" s="1">
        <v>0.11513</v>
      </c>
      <c r="AH40" s="1">
        <v>4.6000000000000001E-4</v>
      </c>
      <c r="AI40" s="1">
        <v>-5.2433E-2</v>
      </c>
      <c r="AJ40" s="1">
        <v>9.5799999999999996E-2</v>
      </c>
      <c r="AK40" s="1">
        <v>2.2000000000000001E-3</v>
      </c>
      <c r="AL40" s="1">
        <v>10.089</v>
      </c>
      <c r="AM40" s="1">
        <v>0.03</v>
      </c>
      <c r="AN40" s="1">
        <v>1809</v>
      </c>
      <c r="AO40" s="1">
        <v>18</v>
      </c>
      <c r="AP40" s="1">
        <v>1751</v>
      </c>
      <c r="AQ40" s="1">
        <v>33</v>
      </c>
      <c r="AR40" s="1">
        <v>1848</v>
      </c>
      <c r="AS40" s="1">
        <v>40</v>
      </c>
      <c r="AT40" s="1">
        <v>1881.8</v>
      </c>
      <c r="AU40" s="1">
        <v>7.2</v>
      </c>
      <c r="AV40" s="1">
        <v>40.349999999999994</v>
      </c>
      <c r="AW40" s="1">
        <v>0.44</v>
      </c>
      <c r="AX40" s="1">
        <v>5.1450000000000005</v>
      </c>
      <c r="AY40" s="1">
        <v>9.4E-2</v>
      </c>
      <c r="AZ40" s="1">
        <v>39744</v>
      </c>
      <c r="BA40" s="1">
        <v>478.17000000000007</v>
      </c>
      <c r="BB40" s="1">
        <v>56573.1</v>
      </c>
      <c r="BC40" s="1">
        <v>683.09999999999991</v>
      </c>
      <c r="BD40" s="1">
        <v>496737.89999999991</v>
      </c>
      <c r="BE40" s="1">
        <v>5961.6</v>
      </c>
      <c r="BF40" s="1">
        <v>8.6940000000000008</v>
      </c>
      <c r="BG40" s="1">
        <v>6.8310000000000004</v>
      </c>
      <c r="BH40" s="1">
        <f t="shared" si="6"/>
        <v>57135.714285714268</v>
      </c>
      <c r="BI40" s="1">
        <f t="shared" si="7"/>
        <v>44897.58365160667</v>
      </c>
      <c r="BJ40" s="27">
        <v>1811.31</v>
      </c>
      <c r="BK40" s="27">
        <v>20.43</v>
      </c>
      <c r="BL40" s="27">
        <v>1753</v>
      </c>
      <c r="BM40" s="27">
        <v>43.17</v>
      </c>
      <c r="BN40" s="27">
        <v>1879.07</v>
      </c>
      <c r="BO40" s="27">
        <v>31.34</v>
      </c>
      <c r="BP40" s="27">
        <v>1829.63</v>
      </c>
      <c r="BQ40" s="27">
        <v>17.97</v>
      </c>
      <c r="BR40" s="27">
        <v>3.4</v>
      </c>
    </row>
    <row r="41" spans="1:70" x14ac:dyDescent="0.2">
      <c r="A41" t="s">
        <v>926</v>
      </c>
      <c r="B41" t="s">
        <v>38</v>
      </c>
      <c r="C41" t="s">
        <v>927</v>
      </c>
      <c r="D41" t="s">
        <v>928</v>
      </c>
      <c r="E41">
        <v>78013</v>
      </c>
      <c r="F41">
        <v>40788</v>
      </c>
      <c r="G41" t="s">
        <v>928</v>
      </c>
      <c r="H41" s="1">
        <v>329</v>
      </c>
      <c r="I41" s="1">
        <v>107.8</v>
      </c>
      <c r="J41" s="10">
        <v>3.302</v>
      </c>
      <c r="K41" s="10">
        <f t="shared" ca="1" si="0"/>
        <v>0.10220216044683204</v>
      </c>
      <c r="L41" s="7">
        <v>0.25240000000000001</v>
      </c>
      <c r="M41" s="7">
        <f t="shared" ca="1" si="1"/>
        <v>7.5393835291753123E-3</v>
      </c>
      <c r="N41" s="7">
        <v>0.99143999999999999</v>
      </c>
      <c r="O41" s="8">
        <v>3.9619650000000002</v>
      </c>
      <c r="P41" s="8">
        <f t="shared" ca="1" si="2"/>
        <v>0.11834696655863049</v>
      </c>
      <c r="Q41" s="9">
        <v>9.5100000000000004E-2</v>
      </c>
      <c r="R41" s="9">
        <f t="shared" ca="1" si="3"/>
        <v>1.9196885164005125E-3</v>
      </c>
      <c r="S41" s="8">
        <f t="shared" si="4"/>
        <v>0.41115247859579501</v>
      </c>
      <c r="T41" s="11">
        <v>7.6200000000000004E-2</v>
      </c>
      <c r="U41" s="11">
        <f t="shared" ca="1" si="5"/>
        <v>2.1383582487506628E-3</v>
      </c>
      <c r="V41" s="6" t="e">
        <f ca="1">IF(agePb6U8(1/O41)&lt;1400,age7corr(1/O41,Q41,$W$2),agePb76(Q41))</f>
        <v>#NAME?</v>
      </c>
      <c r="W41" s="6" t="e">
        <f ca="1">IF(agePb6U8(1/O41)&lt;1400,ageer7corr(V41,1/O41,P41/O41*(1/O41),Q41,R41,$W$2,0.05),ageerPb76(Q41,R41))</f>
        <v>#NAME?</v>
      </c>
      <c r="X41" s="4" t="e">
        <f ca="1">agePb6U8(L41)/agePb7u5(J41)</f>
        <v>#NAME?</v>
      </c>
      <c r="Y41" s="3"/>
      <c r="Z41" s="1">
        <v>3.302</v>
      </c>
      <c r="AA41" s="1">
        <v>7.8E-2</v>
      </c>
      <c r="AB41" s="1">
        <v>0.25240000000000001</v>
      </c>
      <c r="AC41" s="1">
        <v>5.5999999999999999E-3</v>
      </c>
      <c r="AD41" s="1">
        <v>0.99143999999999999</v>
      </c>
      <c r="AE41" s="1">
        <v>3.9619650000000002</v>
      </c>
      <c r="AF41" s="1">
        <v>8.7904140000000006E-2</v>
      </c>
      <c r="AG41" s="1">
        <v>9.5100000000000004E-2</v>
      </c>
      <c r="AH41" s="1">
        <v>2.5999999999999998E-4</v>
      </c>
      <c r="AI41" s="1">
        <v>-0.33106000000000002</v>
      </c>
      <c r="AJ41" s="1">
        <v>7.6200000000000004E-2</v>
      </c>
      <c r="AK41" s="1">
        <v>1.5E-3</v>
      </c>
      <c r="AL41" s="1">
        <v>10.762</v>
      </c>
      <c r="AM41" s="1">
        <v>8.6999999999999994E-2</v>
      </c>
      <c r="AN41" s="1">
        <v>1481</v>
      </c>
      <c r="AO41" s="1">
        <v>18</v>
      </c>
      <c r="AP41" s="1">
        <v>1450</v>
      </c>
      <c r="AQ41" s="1">
        <v>29</v>
      </c>
      <c r="AR41" s="1">
        <v>1483</v>
      </c>
      <c r="AS41" s="1">
        <v>28</v>
      </c>
      <c r="AT41" s="1">
        <v>1530.1</v>
      </c>
      <c r="AU41" s="1">
        <v>5.2</v>
      </c>
      <c r="AV41" s="1">
        <v>70.5</v>
      </c>
      <c r="AW41" s="1">
        <v>2.6</v>
      </c>
      <c r="AX41" s="1">
        <v>8.4600000000000009</v>
      </c>
      <c r="AY41" s="1">
        <v>0.1</v>
      </c>
      <c r="AZ41" s="1">
        <v>52039.799999999996</v>
      </c>
      <c r="BA41" s="1">
        <v>1304.0999999999999</v>
      </c>
      <c r="BB41" s="1">
        <v>65515.499999999993</v>
      </c>
      <c r="BC41" s="1">
        <v>1925.1</v>
      </c>
      <c r="BD41" s="1">
        <v>696141</v>
      </c>
      <c r="BE41" s="1">
        <v>19251</v>
      </c>
      <c r="BF41" s="1">
        <v>1.1178000000000001</v>
      </c>
      <c r="BG41" s="1">
        <v>5.0301</v>
      </c>
      <c r="BH41" s="1">
        <f t="shared" si="6"/>
        <v>622777.77777777775</v>
      </c>
      <c r="BI41" s="1">
        <f t="shared" si="7"/>
        <v>2802552.9174198061</v>
      </c>
      <c r="BJ41" s="27">
        <v>1482.53</v>
      </c>
      <c r="BK41" s="27">
        <v>22.57</v>
      </c>
      <c r="BL41" s="27">
        <v>1451.49</v>
      </c>
      <c r="BM41" s="27">
        <v>39.380000000000003</v>
      </c>
      <c r="BN41" s="27">
        <v>1527.23</v>
      </c>
      <c r="BO41" s="27">
        <v>39.659999999999997</v>
      </c>
      <c r="BP41" s="27">
        <v>1489.17</v>
      </c>
      <c r="BQ41" s="27">
        <v>21.86</v>
      </c>
      <c r="BR41" s="27">
        <v>2.1</v>
      </c>
    </row>
    <row r="42" spans="1:70" s="23" customFormat="1" x14ac:dyDescent="0.2">
      <c r="A42" s="23" t="s">
        <v>929</v>
      </c>
      <c r="B42" s="23" t="s">
        <v>38</v>
      </c>
      <c r="C42" s="23" t="s">
        <v>930</v>
      </c>
      <c r="D42" s="23" t="s">
        <v>931</v>
      </c>
      <c r="E42" s="23">
        <v>78021</v>
      </c>
      <c r="F42" s="23">
        <v>40957</v>
      </c>
      <c r="G42" s="23" t="s">
        <v>931</v>
      </c>
      <c r="H42" s="24">
        <v>93</v>
      </c>
      <c r="I42" s="24">
        <v>25.4</v>
      </c>
      <c r="J42" s="25">
        <v>2.23</v>
      </c>
      <c r="K42" s="25">
        <f t="shared" ca="1" si="0"/>
        <v>0.10949502271792999</v>
      </c>
      <c r="L42" s="26">
        <v>0.18870000000000001</v>
      </c>
      <c r="M42" s="26">
        <f t="shared" ca="1" si="1"/>
        <v>6.4251907364684512E-3</v>
      </c>
      <c r="N42" s="26">
        <v>0.41692000000000001</v>
      </c>
      <c r="O42" s="26">
        <v>5.299417</v>
      </c>
      <c r="P42" s="26">
        <f t="shared" ca="1" si="2"/>
        <v>0.18044393119405705</v>
      </c>
      <c r="Q42" s="25">
        <v>8.5599999999999996E-2</v>
      </c>
      <c r="R42" s="25">
        <f t="shared" ca="1" si="3"/>
        <v>3.8066972561526346E-3</v>
      </c>
      <c r="S42" s="26">
        <f t="shared" si="4"/>
        <v>0.28248104681140174</v>
      </c>
      <c r="T42" s="25">
        <v>7.2300000000000003E-2</v>
      </c>
      <c r="U42" s="25">
        <f t="shared" ca="1" si="5"/>
        <v>4.5366194462396776E-3</v>
      </c>
      <c r="V42" s="24" t="e">
        <f ca="1">IF(agePb6U8(1/O42)&lt;1400,age7corr(1/O42,Q42,$W$2),agePb76(Q42))</f>
        <v>#NAME?</v>
      </c>
      <c r="W42" s="24" t="e">
        <f ca="1">IF(agePb6U8(1/O42)&lt;1400,ageer7corr(V42,1/O42,P42/O42*(1/O42),Q42,R42,$W$2,0.05),ageerPb76(Q42,R42))</f>
        <v>#NAME?</v>
      </c>
      <c r="X42" s="26" t="e">
        <f ca="1">agePb6U8(L42)/agePb7u5(J42)</f>
        <v>#NAME?</v>
      </c>
      <c r="Y42" s="24"/>
      <c r="Z42" s="24">
        <v>2.23</v>
      </c>
      <c r="AA42" s="24">
        <v>0.1</v>
      </c>
      <c r="AB42" s="24">
        <v>0.18870000000000001</v>
      </c>
      <c r="AC42" s="24">
        <v>5.1999999999999998E-3</v>
      </c>
      <c r="AD42" s="24">
        <v>0.41692000000000001</v>
      </c>
      <c r="AE42" s="24">
        <v>5.299417</v>
      </c>
      <c r="AF42" s="24">
        <v>0.1460359</v>
      </c>
      <c r="AG42" s="24">
        <v>8.5599999999999996E-2</v>
      </c>
      <c r="AH42" s="24">
        <v>3.3999999999999998E-3</v>
      </c>
      <c r="AI42" s="24">
        <v>8.5036E-2</v>
      </c>
      <c r="AJ42" s="24">
        <v>7.2300000000000003E-2</v>
      </c>
      <c r="AK42" s="24">
        <v>4.3E-3</v>
      </c>
      <c r="AL42" s="24">
        <v>10.34</v>
      </c>
      <c r="AM42" s="24">
        <v>0.51</v>
      </c>
      <c r="AN42" s="24">
        <v>1189</v>
      </c>
      <c r="AO42" s="24">
        <v>32</v>
      </c>
      <c r="AP42" s="24">
        <v>1114</v>
      </c>
      <c r="AQ42" s="24">
        <v>28</v>
      </c>
      <c r="AR42" s="24">
        <v>1411</v>
      </c>
      <c r="AS42" s="24">
        <v>80</v>
      </c>
      <c r="AT42" s="24">
        <v>1320</v>
      </c>
      <c r="AU42" s="24">
        <v>73</v>
      </c>
      <c r="AV42" s="24">
        <v>19.900000000000002</v>
      </c>
      <c r="AW42" s="24">
        <v>1.1000000000000001</v>
      </c>
      <c r="AX42" s="24">
        <v>1.9910000000000001</v>
      </c>
      <c r="AY42" s="24">
        <v>0.08</v>
      </c>
      <c r="AZ42" s="24">
        <v>11985.300000000001</v>
      </c>
      <c r="BA42" s="24">
        <v>1304.0999999999999</v>
      </c>
      <c r="BB42" s="24">
        <v>12482.1</v>
      </c>
      <c r="BC42" s="24">
        <v>993.6</v>
      </c>
      <c r="BD42" s="24">
        <v>147798.00000000003</v>
      </c>
      <c r="BE42" s="24">
        <v>6210</v>
      </c>
      <c r="BF42" s="24">
        <v>77.004000000000005</v>
      </c>
      <c r="BG42" s="24">
        <v>42.227999999999994</v>
      </c>
      <c r="BH42" s="24">
        <f t="shared" si="6"/>
        <v>1919.3548387096778</v>
      </c>
      <c r="BI42" s="24">
        <f t="shared" si="7"/>
        <v>1055.6343778733176</v>
      </c>
      <c r="BJ42" s="27">
        <v>1192.49</v>
      </c>
      <c r="BK42" s="27">
        <v>34.6</v>
      </c>
      <c r="BL42" s="27">
        <v>1114.22</v>
      </c>
      <c r="BM42" s="27">
        <v>34.75</v>
      </c>
      <c r="BN42" s="27">
        <v>1337.31</v>
      </c>
      <c r="BO42" s="27">
        <v>89.92</v>
      </c>
      <c r="BP42" s="27">
        <v>1150.94</v>
      </c>
      <c r="BQ42" s="27">
        <v>30.38</v>
      </c>
      <c r="BR42" s="27">
        <v>6.8</v>
      </c>
    </row>
    <row r="43" spans="1:70" x14ac:dyDescent="0.2">
      <c r="A43" t="s">
        <v>932</v>
      </c>
      <c r="B43" t="s">
        <v>38</v>
      </c>
      <c r="C43" t="s">
        <v>933</v>
      </c>
      <c r="D43" t="s">
        <v>934</v>
      </c>
      <c r="E43">
        <v>77991</v>
      </c>
      <c r="F43">
        <v>41236</v>
      </c>
      <c r="G43" t="s">
        <v>934</v>
      </c>
      <c r="H43" s="1">
        <v>350.9</v>
      </c>
      <c r="I43" s="1">
        <v>71.900000000000006</v>
      </c>
      <c r="J43" s="10">
        <v>0.625</v>
      </c>
      <c r="K43" s="10">
        <f t="shared" ca="1" si="0"/>
        <v>2.4438698819699876E-2</v>
      </c>
      <c r="L43" s="7">
        <v>7.8700000000000006E-2</v>
      </c>
      <c r="M43" s="7">
        <f t="shared" ca="1" si="1"/>
        <v>2.9542301873753847E-3</v>
      </c>
      <c r="N43" s="7">
        <v>0.98045000000000004</v>
      </c>
      <c r="O43" s="8">
        <v>12.706480000000001</v>
      </c>
      <c r="P43" s="8">
        <f t="shared" ca="1" si="2"/>
        <v>0.47697416958963301</v>
      </c>
      <c r="Q43" s="9">
        <v>5.7840000000000003E-2</v>
      </c>
      <c r="R43" s="9">
        <f t="shared" ca="1" si="3"/>
        <v>1.2029489764740649E-3</v>
      </c>
      <c r="S43" s="8">
        <f t="shared" si="4"/>
        <v>0.5598449524603083</v>
      </c>
      <c r="T43" s="11">
        <v>2.5399999999999999E-2</v>
      </c>
      <c r="U43" s="11">
        <f t="shared" ca="1" si="5"/>
        <v>8.5683370615306689E-4</v>
      </c>
      <c r="V43" s="6" t="e">
        <f ca="1">IF(agePb6U8(1/O43)&lt;1400,age7corr(1/O43,Q43,$W$2),agePb76(Q43))</f>
        <v>#NAME?</v>
      </c>
      <c r="W43" s="6" t="e">
        <f ca="1">IF(agePb6U8(1/O43)&lt;1400,ageer7corr(V43,1/O43,P43/O43*(1/O43),Q43,R43,$W$2,0.05),ageerPb76(Q43,R43))</f>
        <v>#NAME?</v>
      </c>
      <c r="X43" s="4" t="e">
        <f ca="1">agePb6U8(L43)/agePb7u5(J43)</f>
        <v>#NAME?</v>
      </c>
      <c r="Y43" s="3"/>
      <c r="Z43" s="1">
        <v>0.625</v>
      </c>
      <c r="AA43" s="1">
        <v>2.1000000000000001E-2</v>
      </c>
      <c r="AB43" s="1">
        <v>7.8700000000000006E-2</v>
      </c>
      <c r="AC43" s="1">
        <v>2.5000000000000001E-3</v>
      </c>
      <c r="AD43" s="1">
        <v>0.98045000000000004</v>
      </c>
      <c r="AE43" s="1">
        <v>12.706480000000001</v>
      </c>
      <c r="AF43" s="1">
        <v>0.40363660000000001</v>
      </c>
      <c r="AG43" s="1">
        <v>5.7840000000000003E-2</v>
      </c>
      <c r="AH43" s="1">
        <v>3.3E-4</v>
      </c>
      <c r="AI43" s="1">
        <v>-6.7567000000000002E-2</v>
      </c>
      <c r="AJ43" s="1">
        <v>2.5399999999999999E-2</v>
      </c>
      <c r="AK43" s="1">
        <v>6.8999999999999997E-4</v>
      </c>
      <c r="AL43" s="1">
        <v>16.2</v>
      </c>
      <c r="AM43" s="1">
        <v>0.15</v>
      </c>
      <c r="AN43" s="1">
        <v>493</v>
      </c>
      <c r="AO43" s="1">
        <v>13</v>
      </c>
      <c r="AP43" s="1">
        <v>488</v>
      </c>
      <c r="AQ43" s="1">
        <v>15</v>
      </c>
      <c r="AR43" s="1">
        <v>507</v>
      </c>
      <c r="AS43" s="1">
        <v>14</v>
      </c>
      <c r="AT43" s="1">
        <v>524</v>
      </c>
      <c r="AU43" s="1">
        <v>12</v>
      </c>
      <c r="AV43" s="1">
        <v>75.300000000000011</v>
      </c>
      <c r="AW43" s="1">
        <v>1.4</v>
      </c>
      <c r="AX43" s="1">
        <v>5.64</v>
      </c>
      <c r="AY43" s="1">
        <v>0.24000000000000002</v>
      </c>
      <c r="AZ43" s="1">
        <v>11724.48</v>
      </c>
      <c r="BA43" s="1">
        <v>335.34000000000003</v>
      </c>
      <c r="BB43" s="1">
        <v>13401.18</v>
      </c>
      <c r="BC43" s="1">
        <v>285.65999999999997</v>
      </c>
      <c r="BD43" s="1">
        <v>234489.59999999998</v>
      </c>
      <c r="BE43" s="1">
        <v>5278.5</v>
      </c>
      <c r="BF43" s="1">
        <v>6.5205000000000002</v>
      </c>
      <c r="BG43" s="1">
        <v>5.0922000000000001</v>
      </c>
      <c r="BH43" s="1">
        <f t="shared" si="6"/>
        <v>35961.904761904756</v>
      </c>
      <c r="BI43" s="1">
        <f t="shared" si="7"/>
        <v>28096.199800743492</v>
      </c>
      <c r="BJ43" s="27">
        <v>495.42</v>
      </c>
      <c r="BK43" s="27">
        <v>12.36</v>
      </c>
      <c r="BL43" s="27">
        <v>488.23</v>
      </c>
      <c r="BM43" s="27">
        <v>17.760000000000002</v>
      </c>
      <c r="BN43" s="27">
        <v>528.78</v>
      </c>
      <c r="BO43" s="27">
        <v>37.78</v>
      </c>
      <c r="BP43" s="27">
        <v>499.45</v>
      </c>
      <c r="BQ43" s="27">
        <v>11.35</v>
      </c>
      <c r="BR43" s="27">
        <v>1.7</v>
      </c>
    </row>
    <row r="44" spans="1:70" s="23" customFormat="1" x14ac:dyDescent="0.2">
      <c r="A44" s="23" t="s">
        <v>935</v>
      </c>
      <c r="B44" s="23" t="s">
        <v>38</v>
      </c>
      <c r="C44" s="23" t="s">
        <v>936</v>
      </c>
      <c r="D44" s="23" t="s">
        <v>937</v>
      </c>
      <c r="E44" s="23">
        <v>78025</v>
      </c>
      <c r="F44" s="23">
        <v>41409</v>
      </c>
      <c r="G44" s="23" t="s">
        <v>937</v>
      </c>
      <c r="H44" s="24">
        <v>100.6</v>
      </c>
      <c r="I44" s="24">
        <v>56.3</v>
      </c>
      <c r="J44" s="25">
        <v>4.29</v>
      </c>
      <c r="K44" s="25">
        <f t="shared" ca="1" si="0"/>
        <v>0.15576148432780165</v>
      </c>
      <c r="L44" s="26">
        <v>0.29499999999999998</v>
      </c>
      <c r="M44" s="26">
        <f t="shared" ca="1" si="1"/>
        <v>9.4641428560646741E-3</v>
      </c>
      <c r="N44" s="26">
        <v>0.60575999999999997</v>
      </c>
      <c r="O44" s="26">
        <v>3.389831</v>
      </c>
      <c r="P44" s="26">
        <f t="shared" ca="1" si="2"/>
        <v>0.10875200952196701</v>
      </c>
      <c r="Q44" s="25">
        <v>0.1072</v>
      </c>
      <c r="R44" s="25">
        <f t="shared" ca="1" si="3"/>
        <v>2.6166268362149006E-3</v>
      </c>
      <c r="S44" s="26">
        <f t="shared" si="4"/>
        <v>0.29338948062484138</v>
      </c>
      <c r="T44" s="25">
        <v>8.9300000000000004E-2</v>
      </c>
      <c r="U44" s="25">
        <f t="shared" ca="1" si="5"/>
        <v>4.6561567843018343E-3</v>
      </c>
      <c r="V44" s="24" t="e">
        <f ca="1">IF(agePb6U8(1/O44)&lt;1400,age7corr(1/O44,Q44,$W$2),agePb76(Q44))</f>
        <v>#NAME?</v>
      </c>
      <c r="W44" s="24" t="e">
        <f ca="1">IF(agePb6U8(1/O44)&lt;1400,ageer7corr(V44,1/O44,P44/O44*(1/O44),Q44,R44,$W$2,0.05),ageerPb76(Q44,R44))</f>
        <v>#NAME?</v>
      </c>
      <c r="X44" s="26" t="e">
        <f ca="1">agePb6U8(L44)/agePb7u5(J44)</f>
        <v>#NAME?</v>
      </c>
      <c r="Y44" s="24"/>
      <c r="Z44" s="24">
        <v>4.29</v>
      </c>
      <c r="AA44" s="24">
        <v>0.13</v>
      </c>
      <c r="AB44" s="24">
        <v>0.29499999999999998</v>
      </c>
      <c r="AC44" s="24">
        <v>7.4000000000000003E-3</v>
      </c>
      <c r="AD44" s="24">
        <v>0.60575999999999997</v>
      </c>
      <c r="AE44" s="24">
        <v>3.389831</v>
      </c>
      <c r="AF44" s="24">
        <v>8.5033040000000004E-2</v>
      </c>
      <c r="AG44" s="24">
        <v>0.1072</v>
      </c>
      <c r="AH44" s="24">
        <v>1.5E-3</v>
      </c>
      <c r="AI44" s="24">
        <v>-1.6482E-2</v>
      </c>
      <c r="AJ44" s="24">
        <v>8.9300000000000004E-2</v>
      </c>
      <c r="AK44" s="24">
        <v>4.3E-3</v>
      </c>
      <c r="AL44" s="24">
        <v>6.2</v>
      </c>
      <c r="AM44" s="24">
        <v>0.14000000000000001</v>
      </c>
      <c r="AN44" s="24">
        <v>1689</v>
      </c>
      <c r="AO44" s="24">
        <v>26</v>
      </c>
      <c r="AP44" s="24">
        <v>1666</v>
      </c>
      <c r="AQ44" s="24">
        <v>37</v>
      </c>
      <c r="AR44" s="24">
        <v>1728</v>
      </c>
      <c r="AS44" s="24">
        <v>80</v>
      </c>
      <c r="AT44" s="24">
        <v>1751</v>
      </c>
      <c r="AU44" s="24">
        <v>26</v>
      </c>
      <c r="AV44" s="24">
        <v>21.58</v>
      </c>
      <c r="AW44" s="24">
        <v>0.65</v>
      </c>
      <c r="AX44" s="24">
        <v>4.42</v>
      </c>
      <c r="AY44" s="24">
        <v>0.16</v>
      </c>
      <c r="AZ44" s="24">
        <v>32229.9</v>
      </c>
      <c r="BA44" s="24">
        <v>1366.1999999999998</v>
      </c>
      <c r="BB44" s="24">
        <v>26144.1</v>
      </c>
      <c r="BC44" s="24">
        <v>807.3</v>
      </c>
      <c r="BD44" s="24">
        <v>246474.90000000002</v>
      </c>
      <c r="BE44" s="24">
        <v>4843.8</v>
      </c>
      <c r="BF44" s="24">
        <v>53.405999999999999</v>
      </c>
      <c r="BG44" s="24">
        <v>42.227999999999994</v>
      </c>
      <c r="BH44" s="24">
        <f t="shared" si="6"/>
        <v>4615.1162790697681</v>
      </c>
      <c r="BI44" s="24">
        <f t="shared" si="7"/>
        <v>3650.2886525327867</v>
      </c>
      <c r="BJ44" s="27">
        <v>1702.9</v>
      </c>
      <c r="BK44" s="27">
        <v>29.9</v>
      </c>
      <c r="BL44" s="27">
        <v>1666.39</v>
      </c>
      <c r="BM44" s="27">
        <v>47.65</v>
      </c>
      <c r="BN44" s="27">
        <v>1748.11</v>
      </c>
      <c r="BO44" s="27">
        <v>51.34</v>
      </c>
      <c r="BP44" s="27">
        <v>1704.62</v>
      </c>
      <c r="BQ44" s="27">
        <v>30.13</v>
      </c>
      <c r="BR44" s="27">
        <v>2</v>
      </c>
    </row>
    <row r="45" spans="1:70" x14ac:dyDescent="0.2">
      <c r="A45" t="s">
        <v>938</v>
      </c>
      <c r="B45" t="s">
        <v>38</v>
      </c>
      <c r="C45" t="s">
        <v>939</v>
      </c>
      <c r="D45" t="s">
        <v>940</v>
      </c>
      <c r="E45">
        <v>77918</v>
      </c>
      <c r="F45">
        <v>41608</v>
      </c>
      <c r="G45" t="s">
        <v>940</v>
      </c>
      <c r="H45" s="1">
        <v>184</v>
      </c>
      <c r="I45" s="1">
        <v>73</v>
      </c>
      <c r="J45" s="10">
        <v>0.186</v>
      </c>
      <c r="K45" s="10">
        <f t="shared" ca="1" si="0"/>
        <v>1.5454397432446209E-2</v>
      </c>
      <c r="L45" s="7">
        <v>2.6800000000000001E-2</v>
      </c>
      <c r="M45" s="7">
        <f t="shared" ca="1" si="1"/>
        <v>2.1673246180487129E-3</v>
      </c>
      <c r="N45" s="7">
        <v>0.97570999999999997</v>
      </c>
      <c r="O45" s="8">
        <v>37.313429999999997</v>
      </c>
      <c r="P45" s="8">
        <f t="shared" ca="1" si="2"/>
        <v>3.0175495240247447</v>
      </c>
      <c r="Q45" s="9">
        <v>5.0450000000000002E-2</v>
      </c>
      <c r="R45" s="9">
        <f t="shared" ca="1" si="3"/>
        <v>1.2002420589197831E-3</v>
      </c>
      <c r="S45" s="8">
        <f t="shared" si="4"/>
        <v>0.57098562723489199</v>
      </c>
      <c r="T45" s="11">
        <v>8.5800000000000008E-3</v>
      </c>
      <c r="U45" s="11">
        <f t="shared" ca="1" si="5"/>
        <v>7.4989769968976437E-4</v>
      </c>
      <c r="V45" s="6" t="e">
        <f ca="1">IF(agePb6U8(1/O45)&lt;1400,age7corr(1/O45,Q45,$W$2),agePb76(Q45))</f>
        <v>#NAME?</v>
      </c>
      <c r="W45" s="6" t="e">
        <f ca="1">IF(agePb6U8(1/O45)&lt;1400,ageer7corr(V45,1/O45,P45/O45*(1/O45),Q45,R45,$W$2,0.05),ageerPb76(Q45,R45))</f>
        <v>#NAME?</v>
      </c>
      <c r="X45" s="4" t="e">
        <f ca="1">agePb6U8(L45)/agePb7u5(J45)</f>
        <v>#NAME?</v>
      </c>
      <c r="Y45" s="3"/>
      <c r="Z45" s="1">
        <v>0.186</v>
      </c>
      <c r="AA45" s="1">
        <v>1.4999999999999999E-2</v>
      </c>
      <c r="AB45" s="1">
        <v>2.6800000000000001E-2</v>
      </c>
      <c r="AC45" s="1">
        <v>2.0999999999999999E-3</v>
      </c>
      <c r="AD45" s="1">
        <v>0.97570999999999997</v>
      </c>
      <c r="AE45" s="1">
        <v>37.313429999999997</v>
      </c>
      <c r="AF45" s="1">
        <v>2.9238140000000001</v>
      </c>
      <c r="AG45" s="1">
        <v>5.0450000000000002E-2</v>
      </c>
      <c r="AH45" s="1">
        <v>6.4999999999999997E-4</v>
      </c>
      <c r="AI45" s="1">
        <v>0.22178999999999999</v>
      </c>
      <c r="AJ45" s="1">
        <v>8.5800000000000008E-3</v>
      </c>
      <c r="AK45" s="1">
        <v>7.2999999999999996E-4</v>
      </c>
      <c r="AL45" s="1">
        <v>8.32</v>
      </c>
      <c r="AM45" s="1">
        <v>0.27</v>
      </c>
      <c r="AN45" s="1">
        <v>173</v>
      </c>
      <c r="AO45" s="1">
        <v>12</v>
      </c>
      <c r="AP45" s="1">
        <v>171</v>
      </c>
      <c r="AQ45" s="1">
        <v>13</v>
      </c>
      <c r="AR45" s="1">
        <v>173</v>
      </c>
      <c r="AS45" s="1">
        <v>15</v>
      </c>
      <c r="AT45" s="1">
        <v>214</v>
      </c>
      <c r="AU45" s="1">
        <v>30</v>
      </c>
      <c r="AV45" s="1">
        <v>39.5</v>
      </c>
      <c r="AW45" s="1">
        <v>6.6</v>
      </c>
      <c r="AX45" s="1">
        <v>5.7</v>
      </c>
      <c r="AY45" s="1">
        <v>1.3</v>
      </c>
      <c r="AZ45" s="1">
        <v>4719.5999999999995</v>
      </c>
      <c r="BA45" s="1">
        <v>1179.8999999999999</v>
      </c>
      <c r="BB45" s="1">
        <v>2341.17</v>
      </c>
      <c r="BC45" s="1">
        <v>515.42999999999995</v>
      </c>
      <c r="BD45" s="1">
        <v>47196</v>
      </c>
      <c r="BE45" s="1">
        <v>10557</v>
      </c>
      <c r="BF45" s="1">
        <v>-4.9680000000000002E-2</v>
      </c>
      <c r="BG45" s="1">
        <v>5.2784999999999993</v>
      </c>
      <c r="BH45" s="1">
        <f t="shared" si="6"/>
        <v>-950000</v>
      </c>
      <c r="BI45" s="1">
        <f t="shared" si="7"/>
        <v>-100937723.68396266</v>
      </c>
      <c r="BJ45" s="27">
        <v>172.09</v>
      </c>
      <c r="BK45" s="27">
        <v>11.31</v>
      </c>
      <c r="BL45" s="27">
        <v>170.5</v>
      </c>
      <c r="BM45" s="27">
        <v>13.62</v>
      </c>
      <c r="BN45" s="27">
        <v>193.95</v>
      </c>
      <c r="BO45" s="27">
        <v>46.5</v>
      </c>
      <c r="BP45" s="27">
        <v>174.67</v>
      </c>
      <c r="BQ45" s="27">
        <v>9.6</v>
      </c>
      <c r="BR45" s="27">
        <v>1.7</v>
      </c>
    </row>
    <row r="46" spans="1:70" x14ac:dyDescent="0.2">
      <c r="A46" t="s">
        <v>782</v>
      </c>
      <c r="B46" t="s">
        <v>38</v>
      </c>
      <c r="C46" t="s">
        <v>783</v>
      </c>
      <c r="D46" t="s">
        <v>784</v>
      </c>
      <c r="E46">
        <v>78708</v>
      </c>
      <c r="F46">
        <v>41263</v>
      </c>
      <c r="G46" t="s">
        <v>784</v>
      </c>
      <c r="H46" s="1">
        <v>110.5</v>
      </c>
      <c r="I46" s="1">
        <v>64.27</v>
      </c>
      <c r="J46" s="10">
        <v>4.3550000000000004</v>
      </c>
      <c r="K46" s="10">
        <f t="shared" ca="1" si="0"/>
        <v>0.11494089785624612</v>
      </c>
      <c r="L46" s="7">
        <v>0.29680000000000001</v>
      </c>
      <c r="M46" s="7">
        <f t="shared" ca="1" si="1"/>
        <v>7.8259884998637726E-3</v>
      </c>
      <c r="N46" s="7">
        <v>0.98160000000000003</v>
      </c>
      <c r="O46" s="8">
        <v>3.369272</v>
      </c>
      <c r="P46" s="8">
        <f t="shared" ca="1" si="2"/>
        <v>8.8840584145006604E-2</v>
      </c>
      <c r="Q46" s="9">
        <v>0.10661</v>
      </c>
      <c r="R46" s="9">
        <f t="shared" ca="1" si="3"/>
        <v>2.1946928805643856E-3</v>
      </c>
      <c r="S46" s="8">
        <f t="shared" si="4"/>
        <v>0.4367145973287947</v>
      </c>
      <c r="T46" s="11">
        <v>8.5900000000000004E-2</v>
      </c>
      <c r="U46" s="11">
        <f t="shared" ca="1" si="5"/>
        <v>2.4169244919939061E-3</v>
      </c>
      <c r="V46" s="6" t="e">
        <f ca="1">IF(agePb6U8(1/O46)&lt;1400,age7corr(1/O46,Q46,$W$2),agePb76(Q46))</f>
        <v>#NAME?</v>
      </c>
      <c r="W46" s="6" t="e">
        <f ca="1">IF(agePb6U8(1/O46)&lt;1400,ageer7corr(V46,1/O46,P46/O46*(1/O46),Q46,R46,$W$2,0.05),ageerPb76(Q46,R46))</f>
        <v>#NAME?</v>
      </c>
      <c r="X46" s="4" t="e">
        <f ca="1">agePb6U8(L46)/agePb7u5(J46)</f>
        <v>#NAME?</v>
      </c>
      <c r="Y46" s="3"/>
      <c r="Z46" s="1">
        <v>4.3550000000000004</v>
      </c>
      <c r="AA46" s="1">
        <v>7.4999999999999997E-2</v>
      </c>
      <c r="AB46" s="1">
        <v>0.29680000000000001</v>
      </c>
      <c r="AC46" s="1">
        <v>5.1000000000000004E-3</v>
      </c>
      <c r="AD46" s="1">
        <v>0.98160000000000003</v>
      </c>
      <c r="AE46" s="1">
        <v>3.369272</v>
      </c>
      <c r="AF46" s="1">
        <v>5.7895179999999997E-2</v>
      </c>
      <c r="AG46" s="1">
        <v>0.10661</v>
      </c>
      <c r="AH46" s="1">
        <v>5.1999999999999995E-4</v>
      </c>
      <c r="AI46" s="1">
        <v>-8.2806000000000005E-2</v>
      </c>
      <c r="AJ46" s="1">
        <v>8.5900000000000004E-2</v>
      </c>
      <c r="AK46" s="1">
        <v>1.6999999999999999E-3</v>
      </c>
      <c r="AL46" s="1">
        <v>6.1680000000000001</v>
      </c>
      <c r="AM46" s="1">
        <v>0.02</v>
      </c>
      <c r="AN46" s="1">
        <v>1707</v>
      </c>
      <c r="AO46" s="1">
        <v>16</v>
      </c>
      <c r="AP46" s="1">
        <v>1675</v>
      </c>
      <c r="AQ46" s="1">
        <v>25</v>
      </c>
      <c r="AR46" s="1">
        <v>1665</v>
      </c>
      <c r="AS46" s="1">
        <v>32</v>
      </c>
      <c r="AT46" s="1">
        <v>1742.1</v>
      </c>
      <c r="AU46" s="1">
        <v>8.9</v>
      </c>
      <c r="AV46" s="1">
        <v>23.830000000000002</v>
      </c>
      <c r="AW46" s="1">
        <v>0.47</v>
      </c>
      <c r="AX46" s="1">
        <v>5.0540000000000003</v>
      </c>
      <c r="AY46" s="1">
        <v>7.2999999999999995E-2</v>
      </c>
      <c r="AZ46" s="1">
        <v>35583.300000000003</v>
      </c>
      <c r="BA46" s="1">
        <v>621</v>
      </c>
      <c r="BB46" s="1">
        <v>29062.799999999999</v>
      </c>
      <c r="BC46" s="1">
        <v>509.21999999999991</v>
      </c>
      <c r="BD46" s="1">
        <v>272743.2</v>
      </c>
      <c r="BE46" s="1">
        <v>4471.2000000000007</v>
      </c>
      <c r="BF46" s="1">
        <v>-12.419999999999998</v>
      </c>
      <c r="BG46" s="1">
        <v>6.2099999999999991</v>
      </c>
      <c r="BH46" s="1">
        <f t="shared" si="6"/>
        <v>-21960.000000000004</v>
      </c>
      <c r="BI46" s="1">
        <f t="shared" si="7"/>
        <v>-10985.900054160335</v>
      </c>
      <c r="BJ46" s="27">
        <v>1707.78</v>
      </c>
      <c r="BK46" s="27">
        <v>20.63</v>
      </c>
      <c r="BL46" s="27">
        <v>1675.1</v>
      </c>
      <c r="BM46" s="27">
        <v>39.4</v>
      </c>
      <c r="BN46" s="27">
        <v>1748.11</v>
      </c>
      <c r="BO46" s="27">
        <v>34.229999999999997</v>
      </c>
      <c r="BP46" s="27">
        <v>1715.23</v>
      </c>
      <c r="BQ46" s="27">
        <v>19.63</v>
      </c>
      <c r="BR46" s="27">
        <v>1.9</v>
      </c>
    </row>
    <row r="47" spans="1:70" x14ac:dyDescent="0.2">
      <c r="A47" t="s">
        <v>941</v>
      </c>
      <c r="B47" t="s">
        <v>38</v>
      </c>
      <c r="C47" t="s">
        <v>942</v>
      </c>
      <c r="D47" t="s">
        <v>943</v>
      </c>
      <c r="E47">
        <v>77926</v>
      </c>
      <c r="F47">
        <v>41739</v>
      </c>
      <c r="G47" t="s">
        <v>943</v>
      </c>
      <c r="H47" s="1">
        <v>110.9</v>
      </c>
      <c r="I47" s="1">
        <v>86.4</v>
      </c>
      <c r="J47" s="10">
        <v>2.4980000000000002</v>
      </c>
      <c r="K47" s="10">
        <f t="shared" ca="1" si="0"/>
        <v>9.2628298051945238E-2</v>
      </c>
      <c r="L47" s="7">
        <v>0.1789</v>
      </c>
      <c r="M47" s="7">
        <f t="shared" ca="1" si="1"/>
        <v>6.9858488389028285E-3</v>
      </c>
      <c r="N47" s="7">
        <v>0.93981999999999999</v>
      </c>
      <c r="O47" s="8">
        <v>5.589715</v>
      </c>
      <c r="P47" s="8">
        <f t="shared" ca="1" si="2"/>
        <v>0.21827225875667297</v>
      </c>
      <c r="Q47" s="9">
        <v>0.1013</v>
      </c>
      <c r="R47" s="9">
        <f t="shared" ca="1" si="3"/>
        <v>2.2505723716423785E-3</v>
      </c>
      <c r="S47" s="8">
        <f t="shared" si="4"/>
        <v>0.38593276477396471</v>
      </c>
      <c r="T47" s="11">
        <v>6.3299999999999995E-2</v>
      </c>
      <c r="U47" s="11">
        <f t="shared" ca="1" si="5"/>
        <v>3.628051267553974E-3</v>
      </c>
      <c r="V47" s="6" t="e">
        <f ca="1">IF(agePb6U8(1/O47)&lt;1400,age7corr(1/O47,Q47,$W$2),agePb76(Q47))</f>
        <v>#NAME?</v>
      </c>
      <c r="W47" s="6" t="e">
        <f ca="1">IF(agePb6U8(1/O47)&lt;1400,ageer7corr(V47,1/O47,P47/O47*(1/O47),Q47,R47,$W$2,0.05),ageerPb76(Q47,R47))</f>
        <v>#NAME?</v>
      </c>
      <c r="X47" s="4" t="e">
        <f ca="1">agePb6U8(L47)/agePb7u5(J47)</f>
        <v>#NAME?</v>
      </c>
      <c r="Y47" s="3"/>
      <c r="Z47" s="1">
        <v>2.4980000000000002</v>
      </c>
      <c r="AA47" s="1">
        <v>7.8E-2</v>
      </c>
      <c r="AB47" s="1">
        <v>0.1789</v>
      </c>
      <c r="AC47" s="1">
        <v>6.0000000000000001E-3</v>
      </c>
      <c r="AD47" s="1">
        <v>0.93981999999999999</v>
      </c>
      <c r="AE47" s="1">
        <v>5.589715</v>
      </c>
      <c r="AF47" s="1">
        <v>0.18746950000000001</v>
      </c>
      <c r="AG47" s="1">
        <v>0.1013</v>
      </c>
      <c r="AH47" s="1">
        <v>9.7999999999999997E-4</v>
      </c>
      <c r="AI47" s="1">
        <v>0.22595000000000001</v>
      </c>
      <c r="AJ47" s="1">
        <v>6.3299999999999995E-2</v>
      </c>
      <c r="AK47" s="1">
        <v>3.3999999999999998E-3</v>
      </c>
      <c r="AL47" s="1">
        <v>3.9140000000000001</v>
      </c>
      <c r="AM47" s="1">
        <v>3.5999999999999997E-2</v>
      </c>
      <c r="AN47" s="1">
        <v>1270</v>
      </c>
      <c r="AO47" s="1">
        <v>23</v>
      </c>
      <c r="AP47" s="1">
        <v>1061</v>
      </c>
      <c r="AQ47" s="1">
        <v>33</v>
      </c>
      <c r="AR47" s="1">
        <v>1239</v>
      </c>
      <c r="AS47" s="1">
        <v>65</v>
      </c>
      <c r="AT47" s="1">
        <v>1647</v>
      </c>
      <c r="AU47" s="1">
        <v>18</v>
      </c>
      <c r="AV47" s="1">
        <v>23.8</v>
      </c>
      <c r="AW47" s="1">
        <v>1.6</v>
      </c>
      <c r="AX47" s="1">
        <v>6.7799999999999994</v>
      </c>
      <c r="AY47" s="1">
        <v>0.56999999999999995</v>
      </c>
      <c r="AZ47" s="1">
        <v>34403.4</v>
      </c>
      <c r="BA47" s="1">
        <v>2111.4</v>
      </c>
      <c r="BB47" s="1">
        <v>16580.699999999997</v>
      </c>
      <c r="BC47" s="1">
        <v>931.50000000000011</v>
      </c>
      <c r="BD47" s="1">
        <v>165186</v>
      </c>
      <c r="BE47" s="1">
        <v>8072.9999999999982</v>
      </c>
      <c r="BF47" s="1">
        <v>129.16799999999998</v>
      </c>
      <c r="BG47" s="1">
        <v>19.872</v>
      </c>
      <c r="BH47" s="1">
        <f t="shared" si="6"/>
        <v>1278.846153846154</v>
      </c>
      <c r="BI47" s="1">
        <f t="shared" si="7"/>
        <v>206.43416921120294</v>
      </c>
      <c r="BJ47" s="27">
        <v>1269.1600000000001</v>
      </c>
      <c r="BK47" s="27">
        <v>26.45</v>
      </c>
      <c r="BL47" s="27">
        <v>1060.9100000000001</v>
      </c>
      <c r="BM47" s="27">
        <v>38.5</v>
      </c>
      <c r="BN47" s="27">
        <v>1641.74</v>
      </c>
      <c r="BO47" s="27">
        <v>36.75</v>
      </c>
      <c r="BP47" s="27">
        <v>1371.62</v>
      </c>
      <c r="BQ47" s="27">
        <v>24.68</v>
      </c>
      <c r="BR47" s="27">
        <v>20</v>
      </c>
    </row>
    <row r="48" spans="1:70" x14ac:dyDescent="0.2">
      <c r="A48" t="s">
        <v>944</v>
      </c>
      <c r="B48" t="s">
        <v>38</v>
      </c>
      <c r="C48" t="s">
        <v>945</v>
      </c>
      <c r="D48" t="s">
        <v>946</v>
      </c>
      <c r="E48">
        <v>78040</v>
      </c>
      <c r="F48">
        <v>41899</v>
      </c>
      <c r="G48" t="s">
        <v>946</v>
      </c>
      <c r="H48" s="1">
        <v>469.9</v>
      </c>
      <c r="I48" s="1">
        <v>306</v>
      </c>
      <c r="J48" s="10">
        <v>0.18740000000000001</v>
      </c>
      <c r="K48" s="10">
        <f t="shared" ca="1" si="0"/>
        <v>7.5031662649844037E-3</v>
      </c>
      <c r="L48" s="7">
        <v>2.5989999999999999E-2</v>
      </c>
      <c r="M48" s="7">
        <f t="shared" ca="1" si="1"/>
        <v>7.9384635793080247E-4</v>
      </c>
      <c r="N48" s="7">
        <v>0.80261000000000005</v>
      </c>
      <c r="O48" s="8">
        <v>38.47634</v>
      </c>
      <c r="P48" s="8">
        <f t="shared" ca="1" si="2"/>
        <v>1.1752328159214456</v>
      </c>
      <c r="Q48" s="9">
        <v>5.1999999999999998E-2</v>
      </c>
      <c r="R48" s="9">
        <f t="shared" ca="1" si="3"/>
        <v>1.6648123017325405E-3</v>
      </c>
      <c r="S48" s="8">
        <f t="shared" si="4"/>
        <v>0.523486522846354</v>
      </c>
      <c r="T48" s="11">
        <v>8.5599999999999999E-3</v>
      </c>
      <c r="U48" s="11">
        <f t="shared" ca="1" si="5"/>
        <v>2.7094176496066455E-4</v>
      </c>
      <c r="V48" s="6" t="e">
        <f ca="1">IF(agePb6U8(1/O48)&lt;1400,age7corr(1/O48,Q48,$W$2),agePb76(Q48))</f>
        <v>#NAME?</v>
      </c>
      <c r="W48" s="6" t="e">
        <f ca="1">IF(agePb6U8(1/O48)&lt;1400,ageer7corr(V48,1/O48,P48/O48*(1/O48),Q48,R48,$W$2,0.05),ageerPb76(Q48,R48))</f>
        <v>#NAME?</v>
      </c>
      <c r="X48" s="4" t="e">
        <f ca="1">agePb6U8(L48)/agePb7u5(J48)</f>
        <v>#NAME?</v>
      </c>
      <c r="Y48" s="3"/>
      <c r="Z48" s="1">
        <v>0.18740000000000001</v>
      </c>
      <c r="AA48" s="1">
        <v>6.4999999999999997E-3</v>
      </c>
      <c r="AB48" s="1">
        <v>2.5989999999999999E-2</v>
      </c>
      <c r="AC48" s="1">
        <v>5.9999999999999995E-4</v>
      </c>
      <c r="AD48" s="1">
        <v>0.80261000000000005</v>
      </c>
      <c r="AE48" s="1">
        <v>38.47634</v>
      </c>
      <c r="AF48" s="1">
        <v>0.88825710000000002</v>
      </c>
      <c r="AG48" s="1">
        <v>5.1999999999999998E-2</v>
      </c>
      <c r="AH48" s="1">
        <v>1.2999999999999999E-3</v>
      </c>
      <c r="AI48" s="1">
        <v>-0.40989999999999999</v>
      </c>
      <c r="AJ48" s="1">
        <v>8.5599999999999999E-3</v>
      </c>
      <c r="AK48" s="1">
        <v>2.1000000000000001E-4</v>
      </c>
      <c r="AL48" s="1">
        <v>5.0069999999999997</v>
      </c>
      <c r="AM48" s="1">
        <v>5.0999999999999997E-2</v>
      </c>
      <c r="AN48" s="1">
        <v>174.3</v>
      </c>
      <c r="AO48" s="1">
        <v>5.5</v>
      </c>
      <c r="AP48" s="1">
        <v>165.4</v>
      </c>
      <c r="AQ48" s="1">
        <v>3.8</v>
      </c>
      <c r="AR48" s="1">
        <v>172.2</v>
      </c>
      <c r="AS48" s="1">
        <v>4.2</v>
      </c>
      <c r="AT48" s="1">
        <v>280</v>
      </c>
      <c r="AU48" s="1">
        <v>54</v>
      </c>
      <c r="AV48" s="1">
        <v>100.8</v>
      </c>
      <c r="AW48" s="1">
        <v>1.7</v>
      </c>
      <c r="AX48" s="1">
        <v>23.970000000000002</v>
      </c>
      <c r="AY48" s="1">
        <v>0.98</v>
      </c>
      <c r="AZ48" s="1">
        <v>16586.91</v>
      </c>
      <c r="BA48" s="1">
        <v>322.91999999999996</v>
      </c>
      <c r="BB48" s="1">
        <v>5309.55</v>
      </c>
      <c r="BC48" s="1">
        <v>117.99</v>
      </c>
      <c r="BD48" s="1">
        <v>103023.90000000001</v>
      </c>
      <c r="BE48" s="1">
        <v>2111.4</v>
      </c>
      <c r="BF48" s="1">
        <v>26.702999999999999</v>
      </c>
      <c r="BG48" s="1">
        <v>11.799000000000001</v>
      </c>
      <c r="BH48" s="1">
        <f t="shared" si="6"/>
        <v>3858.1395348837214</v>
      </c>
      <c r="BI48" s="1">
        <f t="shared" si="7"/>
        <v>1706.5920424014359</v>
      </c>
      <c r="BJ48" s="27">
        <v>173.42</v>
      </c>
      <c r="BK48" s="27">
        <v>5.51</v>
      </c>
      <c r="BL48" s="27">
        <v>165.39</v>
      </c>
      <c r="BM48" s="27">
        <v>5.01</v>
      </c>
      <c r="BN48" s="27">
        <v>284.38</v>
      </c>
      <c r="BO48" s="27">
        <v>87.96</v>
      </c>
      <c r="BP48" s="27">
        <v>168.83</v>
      </c>
      <c r="BQ48" s="27">
        <v>4.25</v>
      </c>
      <c r="BR48" s="27">
        <v>3.6</v>
      </c>
    </row>
    <row r="49" spans="1:70" s="23" customFormat="1" x14ac:dyDescent="0.2">
      <c r="A49" s="23" t="s">
        <v>953</v>
      </c>
      <c r="B49" s="23" t="s">
        <v>38</v>
      </c>
      <c r="C49" s="23" t="s">
        <v>954</v>
      </c>
      <c r="D49" s="23" t="s">
        <v>955</v>
      </c>
      <c r="E49" s="23">
        <v>77963</v>
      </c>
      <c r="F49" s="23">
        <v>42075</v>
      </c>
      <c r="G49" s="23" t="s">
        <v>955</v>
      </c>
      <c r="H49" s="24">
        <v>467</v>
      </c>
      <c r="I49" s="24">
        <v>312</v>
      </c>
      <c r="J49" s="25">
        <v>0.89600000000000002</v>
      </c>
      <c r="K49" s="25">
        <f t="shared" ca="1" si="0"/>
        <v>3.7551649764025016E-2</v>
      </c>
      <c r="L49" s="26">
        <v>8.9899999999999994E-2</v>
      </c>
      <c r="M49" s="26">
        <f t="shared" ca="1" si="1"/>
        <v>3.3275823055185275E-3</v>
      </c>
      <c r="N49" s="26">
        <v>0.60402999999999996</v>
      </c>
      <c r="O49" s="26">
        <v>11.123469999999999</v>
      </c>
      <c r="P49" s="26">
        <f t="shared" ca="1" si="2"/>
        <v>0.41172709054495066</v>
      </c>
      <c r="Q49" s="25">
        <v>7.2400000000000006E-2</v>
      </c>
      <c r="R49" s="25">
        <f t="shared" ca="1" si="3"/>
        <v>2.8029812700052061E-3</v>
      </c>
      <c r="S49" s="26">
        <f t="shared" si="4"/>
        <v>0.37723746362933691</v>
      </c>
      <c r="T49" s="25">
        <v>3.3300000000000003E-2</v>
      </c>
      <c r="U49" s="25">
        <f t="shared" ca="1" si="5"/>
        <v>1.1931705661807116E-3</v>
      </c>
      <c r="V49" s="24" t="e">
        <f ca="1">IF(agePb6U8(1/O49)&lt;1400,age7corr(1/O49,Q49,$W$2),agePb76(Q49))</f>
        <v>#NAME?</v>
      </c>
      <c r="W49" s="24" t="e">
        <f ca="1">IF(agePb6U8(1/O49)&lt;1400,ageer7corr(V49,1/O49,P49/O49*(1/O49),Q49,R49,$W$2,0.05),ageerPb76(Q49,R49))</f>
        <v>#NAME?</v>
      </c>
      <c r="X49" s="26" t="e">
        <f ca="1">agePb6U8(L49)/agePb7u5(J49)</f>
        <v>#NAME?</v>
      </c>
      <c r="Y49" s="24"/>
      <c r="Z49" s="24">
        <v>0.89600000000000002</v>
      </c>
      <c r="AA49" s="24">
        <v>3.3000000000000002E-2</v>
      </c>
      <c r="AB49" s="24">
        <v>8.9899999999999994E-2</v>
      </c>
      <c r="AC49" s="24">
        <v>2.8E-3</v>
      </c>
      <c r="AD49" s="24">
        <v>0.60402999999999996</v>
      </c>
      <c r="AE49" s="24">
        <v>11.123469999999999</v>
      </c>
      <c r="AF49" s="24">
        <v>0.34644849999999999</v>
      </c>
      <c r="AG49" s="24">
        <v>7.2400000000000006E-2</v>
      </c>
      <c r="AH49" s="24">
        <v>2.3999999999999998E-3</v>
      </c>
      <c r="AI49" s="24">
        <v>0.17186000000000001</v>
      </c>
      <c r="AJ49" s="24">
        <v>3.3300000000000003E-2</v>
      </c>
      <c r="AK49" s="24">
        <v>9.8999999999999999E-4</v>
      </c>
      <c r="AL49" s="24">
        <v>4.33</v>
      </c>
      <c r="AM49" s="24">
        <v>0.18</v>
      </c>
      <c r="AN49" s="24">
        <v>649</v>
      </c>
      <c r="AO49" s="24">
        <v>18</v>
      </c>
      <c r="AP49" s="24">
        <v>555</v>
      </c>
      <c r="AQ49" s="24">
        <v>16</v>
      </c>
      <c r="AR49" s="24">
        <v>662</v>
      </c>
      <c r="AS49" s="24">
        <v>19</v>
      </c>
      <c r="AT49" s="24">
        <v>1006</v>
      </c>
      <c r="AU49" s="24">
        <v>69</v>
      </c>
      <c r="AV49" s="24">
        <v>100.2</v>
      </c>
      <c r="AW49" s="24">
        <v>9.1</v>
      </c>
      <c r="AX49" s="24">
        <v>24.5</v>
      </c>
      <c r="AY49" s="24">
        <v>2.2999999999999998</v>
      </c>
      <c r="AZ49" s="24">
        <v>67068</v>
      </c>
      <c r="BA49" s="24">
        <v>7452.0000000000009</v>
      </c>
      <c r="BB49" s="24">
        <v>25771.5</v>
      </c>
      <c r="BC49" s="24">
        <v>2794.5000000000005</v>
      </c>
      <c r="BD49" s="24">
        <v>352728</v>
      </c>
      <c r="BE49" s="24">
        <v>27324</v>
      </c>
      <c r="BF49" s="24">
        <v>341.54999999999995</v>
      </c>
      <c r="BG49" s="24">
        <v>86.94</v>
      </c>
      <c r="BH49" s="24">
        <f t="shared" si="6"/>
        <v>1032.727272727273</v>
      </c>
      <c r="BI49" s="24">
        <f t="shared" si="7"/>
        <v>274.7795639348613</v>
      </c>
      <c r="BJ49" s="27">
        <v>647.63</v>
      </c>
      <c r="BK49" s="27">
        <v>21.02</v>
      </c>
      <c r="BL49" s="27">
        <v>555.11</v>
      </c>
      <c r="BM49" s="27">
        <v>19.61</v>
      </c>
      <c r="BN49" s="27">
        <v>985.03</v>
      </c>
      <c r="BO49" s="27">
        <v>84.81</v>
      </c>
      <c r="BP49" s="27">
        <v>590.54</v>
      </c>
      <c r="BQ49" s="27">
        <v>18.260000000000002</v>
      </c>
      <c r="BR49" s="27">
        <v>13</v>
      </c>
    </row>
    <row r="50" spans="1:70" x14ac:dyDescent="0.2">
      <c r="A50" t="s">
        <v>956</v>
      </c>
      <c r="B50" t="s">
        <v>38</v>
      </c>
      <c r="C50" t="s">
        <v>957</v>
      </c>
      <c r="D50" t="s">
        <v>958</v>
      </c>
      <c r="E50">
        <v>78068</v>
      </c>
      <c r="F50">
        <v>42257</v>
      </c>
      <c r="G50" t="s">
        <v>958</v>
      </c>
      <c r="H50" s="1">
        <v>390</v>
      </c>
      <c r="I50" s="1">
        <v>320</v>
      </c>
      <c r="J50" s="10">
        <v>0.193</v>
      </c>
      <c r="K50" s="10">
        <f t="shared" ca="1" si="0"/>
        <v>1.5488692649801015E-2</v>
      </c>
      <c r="L50" s="7">
        <v>2.8199999999999999E-2</v>
      </c>
      <c r="M50" s="7">
        <f t="shared" ca="1" si="1"/>
        <v>2.3681418876410256E-3</v>
      </c>
      <c r="N50" s="7">
        <v>0.99297000000000002</v>
      </c>
      <c r="O50" s="8">
        <v>35.460990000000002</v>
      </c>
      <c r="P50" s="8">
        <f t="shared" ca="1" si="2"/>
        <v>2.9778961742131038</v>
      </c>
      <c r="Q50" s="9">
        <v>4.9750000000000003E-2</v>
      </c>
      <c r="R50" s="9">
        <f t="shared" ca="1" si="3"/>
        <v>1.1517052574335153E-3</v>
      </c>
      <c r="S50" s="8">
        <f t="shared" si="4"/>
        <v>0.44915301052662182</v>
      </c>
      <c r="T50" s="11">
        <v>9.2599999999999991E-3</v>
      </c>
      <c r="U50" s="11">
        <f t="shared" ca="1" si="5"/>
        <v>9.9734599813705582E-4</v>
      </c>
      <c r="V50" s="6" t="e">
        <f ca="1">IF(agePb6U8(1/O50)&lt;1400,age7corr(1/O50,Q50,$W$2),agePb76(Q50))</f>
        <v>#NAME?</v>
      </c>
      <c r="W50" s="6" t="e">
        <f ca="1">IF(agePb6U8(1/O50)&lt;1400,ageer7corr(V50,1/O50,P50/O50*(1/O50),Q50,R50,$W$2,0.05),ageerPb76(Q50,R50))</f>
        <v>#NAME?</v>
      </c>
      <c r="X50" s="4" t="e">
        <f ca="1">agePb6U8(L50)/agePb7u5(J50)</f>
        <v>#NAME?</v>
      </c>
      <c r="Y50" s="3"/>
      <c r="Z50" s="1">
        <v>0.193</v>
      </c>
      <c r="AA50" s="1">
        <v>1.4999999999999999E-2</v>
      </c>
      <c r="AB50" s="1">
        <v>2.8199999999999999E-2</v>
      </c>
      <c r="AC50" s="1">
        <v>2.3E-3</v>
      </c>
      <c r="AD50" s="1">
        <v>0.99297000000000002</v>
      </c>
      <c r="AE50" s="1">
        <v>35.460990000000002</v>
      </c>
      <c r="AF50" s="1">
        <v>2.8922089999999998</v>
      </c>
      <c r="AG50" s="1">
        <v>4.9750000000000003E-2</v>
      </c>
      <c r="AH50" s="1">
        <v>5.8E-4</v>
      </c>
      <c r="AI50" s="1">
        <v>0.16041</v>
      </c>
      <c r="AJ50" s="1">
        <v>9.2599999999999991E-3</v>
      </c>
      <c r="AK50" s="1">
        <v>9.7999999999999997E-4</v>
      </c>
      <c r="AL50" s="1">
        <v>4.0999999999999996</v>
      </c>
      <c r="AM50" s="1">
        <v>0.18</v>
      </c>
      <c r="AN50" s="1">
        <v>178</v>
      </c>
      <c r="AO50" s="1">
        <v>12</v>
      </c>
      <c r="AP50" s="1">
        <v>179</v>
      </c>
      <c r="AQ50" s="1">
        <v>14</v>
      </c>
      <c r="AR50" s="1">
        <v>186</v>
      </c>
      <c r="AS50" s="1">
        <v>20</v>
      </c>
      <c r="AT50" s="1">
        <v>182</v>
      </c>
      <c r="AU50" s="1">
        <v>27</v>
      </c>
      <c r="AV50" s="1">
        <v>84</v>
      </c>
      <c r="AW50" s="1">
        <v>13</v>
      </c>
      <c r="AX50" s="1">
        <v>25.1</v>
      </c>
      <c r="AY50" s="1">
        <v>5</v>
      </c>
      <c r="AZ50" s="1">
        <v>18567.899999999998</v>
      </c>
      <c r="BA50" s="1">
        <v>2980.8</v>
      </c>
      <c r="BB50" s="1">
        <v>4707.18</v>
      </c>
      <c r="BC50" s="1">
        <v>558.90000000000009</v>
      </c>
      <c r="BD50" s="1">
        <v>95633.999999999985</v>
      </c>
      <c r="BE50" s="1">
        <v>11799</v>
      </c>
      <c r="BF50" s="1">
        <v>-18.63</v>
      </c>
      <c r="BG50" s="1">
        <v>6.8310000000000004</v>
      </c>
      <c r="BH50" s="1">
        <f t="shared" si="6"/>
        <v>-5133.333333333333</v>
      </c>
      <c r="BI50" s="1">
        <f t="shared" si="7"/>
        <v>-1985.9183278620176</v>
      </c>
      <c r="BJ50" s="27">
        <v>180.32</v>
      </c>
      <c r="BK50" s="27">
        <v>12.74</v>
      </c>
      <c r="BL50" s="27">
        <v>179.28</v>
      </c>
      <c r="BM50" s="27">
        <v>14.86</v>
      </c>
      <c r="BN50" s="27">
        <v>193.95</v>
      </c>
      <c r="BO50" s="27">
        <v>46.5</v>
      </c>
      <c r="BP50" s="27">
        <v>181.86</v>
      </c>
      <c r="BQ50" s="27">
        <v>11.42</v>
      </c>
      <c r="BR50" s="27">
        <v>1</v>
      </c>
    </row>
    <row r="51" spans="1:70" s="23" customFormat="1" x14ac:dyDescent="0.2">
      <c r="A51" s="23" t="s">
        <v>959</v>
      </c>
      <c r="B51" s="23" t="s">
        <v>38</v>
      </c>
      <c r="C51" s="23" t="s">
        <v>960</v>
      </c>
      <c r="D51" s="23" t="s">
        <v>961</v>
      </c>
      <c r="E51" s="23">
        <v>78028</v>
      </c>
      <c r="F51" s="23">
        <v>42383</v>
      </c>
      <c r="G51" s="23" t="s">
        <v>961</v>
      </c>
      <c r="H51" s="24">
        <v>192.8</v>
      </c>
      <c r="I51" s="24">
        <v>50</v>
      </c>
      <c r="J51" s="25">
        <v>1.964</v>
      </c>
      <c r="K51" s="25">
        <f t="shared" ca="1" si="0"/>
        <v>6.6775133096086001E-2</v>
      </c>
      <c r="L51" s="26">
        <v>0.1583</v>
      </c>
      <c r="M51" s="26">
        <f t="shared" ca="1" si="1"/>
        <v>4.5015059702281862E-3</v>
      </c>
      <c r="N51" s="26">
        <v>0.73368</v>
      </c>
      <c r="O51" s="26">
        <v>6.3171189999999999</v>
      </c>
      <c r="P51" s="26">
        <f t="shared" ca="1" si="2"/>
        <v>0.17963708599480344</v>
      </c>
      <c r="Q51" s="25">
        <v>9.0399999999999994E-2</v>
      </c>
      <c r="R51" s="25">
        <f t="shared" ca="1" si="3"/>
        <v>2.2866709426587815E-3</v>
      </c>
      <c r="S51" s="26">
        <f t="shared" si="4"/>
        <v>0.33597559944740679</v>
      </c>
      <c r="T51" s="25">
        <v>7.7899999999999997E-2</v>
      </c>
      <c r="U51" s="25">
        <f t="shared" ca="1" si="5"/>
        <v>3.4694904525016351E-3</v>
      </c>
      <c r="V51" s="24" t="e">
        <f ca="1">IF(agePb6U8(1/O51)&lt;1400,age7corr(1/O51,Q51,$W$2),agePb76(Q51))</f>
        <v>#NAME?</v>
      </c>
      <c r="W51" s="24" t="e">
        <f ca="1">IF(agePb6U8(1/O51)&lt;1400,ageer7corr(V51,1/O51,P51/O51*(1/O51),Q51,R51,$W$2,0.05),ageerPb76(Q51,R51))</f>
        <v>#NAME?</v>
      </c>
      <c r="X51" s="26" t="e">
        <f ca="1">agePb6U8(L51)/agePb7u5(J51)</f>
        <v>#NAME?</v>
      </c>
      <c r="Y51" s="24"/>
      <c r="Z51" s="24">
        <v>1.964</v>
      </c>
      <c r="AA51" s="24">
        <v>5.3999999999999999E-2</v>
      </c>
      <c r="AB51" s="24">
        <v>0.1583</v>
      </c>
      <c r="AC51" s="24">
        <v>3.2000000000000002E-3</v>
      </c>
      <c r="AD51" s="24">
        <v>0.73368</v>
      </c>
      <c r="AE51" s="24">
        <v>6.3171189999999999</v>
      </c>
      <c r="AF51" s="24">
        <v>0.12769920000000001</v>
      </c>
      <c r="AG51" s="24">
        <v>9.0399999999999994E-2</v>
      </c>
      <c r="AH51" s="24">
        <v>1.4E-3</v>
      </c>
      <c r="AI51" s="24">
        <v>-0.17305999999999999</v>
      </c>
      <c r="AJ51" s="24">
        <v>7.7899999999999997E-2</v>
      </c>
      <c r="AK51" s="24">
        <v>3.0999999999999999E-3</v>
      </c>
      <c r="AL51" s="24">
        <v>8.42</v>
      </c>
      <c r="AM51" s="24">
        <v>0.18</v>
      </c>
      <c r="AN51" s="24">
        <v>1102</v>
      </c>
      <c r="AO51" s="24">
        <v>19</v>
      </c>
      <c r="AP51" s="24">
        <v>947</v>
      </c>
      <c r="AQ51" s="24">
        <v>18</v>
      </c>
      <c r="AR51" s="24">
        <v>1516</v>
      </c>
      <c r="AS51" s="24">
        <v>59</v>
      </c>
      <c r="AT51" s="24">
        <v>1432</v>
      </c>
      <c r="AU51" s="24">
        <v>29</v>
      </c>
      <c r="AV51" s="24">
        <v>41.33</v>
      </c>
      <c r="AW51" s="24">
        <v>0.45</v>
      </c>
      <c r="AX51" s="24">
        <v>3.92</v>
      </c>
      <c r="AY51" s="24">
        <v>0.08</v>
      </c>
      <c r="AZ51" s="24">
        <v>24591.599999999999</v>
      </c>
      <c r="BA51" s="24">
        <v>683.09999999999991</v>
      </c>
      <c r="BB51" s="24">
        <v>22945.95</v>
      </c>
      <c r="BC51" s="24">
        <v>496.8</v>
      </c>
      <c r="BD51" s="24">
        <v>256597.20000000004</v>
      </c>
      <c r="BE51" s="24">
        <v>2918.7</v>
      </c>
      <c r="BF51" s="24">
        <v>329.13</v>
      </c>
      <c r="BG51" s="24">
        <v>29.186999999999998</v>
      </c>
      <c r="BH51" s="24">
        <f t="shared" si="6"/>
        <v>779.62264150943406</v>
      </c>
      <c r="BI51" s="24">
        <f t="shared" si="7"/>
        <v>69.702759090327575</v>
      </c>
      <c r="BJ51" s="27">
        <v>1102.77</v>
      </c>
      <c r="BK51" s="27">
        <v>19.89</v>
      </c>
      <c r="BL51" s="27">
        <v>946.92</v>
      </c>
      <c r="BM51" s="27">
        <v>25.08</v>
      </c>
      <c r="BN51" s="27">
        <v>1424.67</v>
      </c>
      <c r="BO51" s="27">
        <v>42.45</v>
      </c>
      <c r="BP51" s="27">
        <v>1071.56</v>
      </c>
      <c r="BQ51" s="27">
        <v>22.14</v>
      </c>
      <c r="BR51" s="27">
        <v>13</v>
      </c>
    </row>
    <row r="52" spans="1:70" x14ac:dyDescent="0.2">
      <c r="A52" t="s">
        <v>962</v>
      </c>
      <c r="B52" t="s">
        <v>38</v>
      </c>
      <c r="C52" t="s">
        <v>963</v>
      </c>
      <c r="D52" t="s">
        <v>964</v>
      </c>
      <c r="E52">
        <v>78146</v>
      </c>
      <c r="F52">
        <v>42910</v>
      </c>
      <c r="G52" t="s">
        <v>964</v>
      </c>
      <c r="H52" s="1">
        <v>787</v>
      </c>
      <c r="I52" s="1">
        <v>270</v>
      </c>
      <c r="J52" s="10">
        <v>0.1862</v>
      </c>
      <c r="K52" s="10">
        <f t="shared" ca="1" si="0"/>
        <v>6.234434697709167E-3</v>
      </c>
      <c r="L52" s="7">
        <v>2.6970000000000001E-2</v>
      </c>
      <c r="M52" s="7">
        <f t="shared" ca="1" si="1"/>
        <v>8.6014670841665151E-4</v>
      </c>
      <c r="N52" s="7">
        <v>0.97024999999999995</v>
      </c>
      <c r="O52" s="8">
        <v>37.078240000000001</v>
      </c>
      <c r="P52" s="8">
        <f t="shared" ca="1" si="2"/>
        <v>1.1825259030431594</v>
      </c>
      <c r="Q52" s="9">
        <v>5.0130000000000001E-2</v>
      </c>
      <c r="R52" s="9">
        <f t="shared" ca="1" si="3"/>
        <v>1.0721971647043281E-3</v>
      </c>
      <c r="S52" s="8">
        <f t="shared" si="4"/>
        <v>0.55835539047461302</v>
      </c>
      <c r="T52" s="11">
        <v>9.2599999999999991E-3</v>
      </c>
      <c r="U52" s="11">
        <f t="shared" ca="1" si="5"/>
        <v>2.5826157282878926E-4</v>
      </c>
      <c r="V52" s="6" t="e">
        <f ca="1">IF(agePb6U8(1/O52)&lt;1400,age7corr(1/O52,Q52,$W$2),agePb76(Q52))</f>
        <v>#NAME?</v>
      </c>
      <c r="W52" s="6" t="e">
        <f ca="1">IF(agePb6U8(1/O52)&lt;1400,ageer7corr(V52,1/O52,P52/O52*(1/O52),Q52,R52,$W$2,0.05),ageerPb76(Q52,R52))</f>
        <v>#NAME?</v>
      </c>
      <c r="X52" s="4" t="e">
        <f ca="1">agePb6U8(L52)/agePb7u5(J52)</f>
        <v>#NAME?</v>
      </c>
      <c r="Y52" s="3"/>
      <c r="Z52" s="1">
        <v>0.1862</v>
      </c>
      <c r="AA52" s="1">
        <v>5.0000000000000001E-3</v>
      </c>
      <c r="AB52" s="1">
        <v>2.6970000000000001E-2</v>
      </c>
      <c r="AC52" s="1">
        <v>6.7000000000000002E-4</v>
      </c>
      <c r="AD52" s="1">
        <v>0.97024999999999995</v>
      </c>
      <c r="AE52" s="1">
        <v>37.078240000000001</v>
      </c>
      <c r="AF52" s="1">
        <v>0.92111299999999996</v>
      </c>
      <c r="AG52" s="1">
        <v>5.0130000000000001E-2</v>
      </c>
      <c r="AH52" s="1">
        <v>3.8000000000000002E-4</v>
      </c>
      <c r="AI52" s="1">
        <v>-0.14476</v>
      </c>
      <c r="AJ52" s="1">
        <v>9.2599999999999991E-3</v>
      </c>
      <c r="AK52" s="1">
        <v>1.8000000000000001E-4</v>
      </c>
      <c r="AL52" s="1">
        <v>9.1120000000000001</v>
      </c>
      <c r="AM52" s="1">
        <v>6.8000000000000005E-2</v>
      </c>
      <c r="AN52" s="1">
        <v>173.4</v>
      </c>
      <c r="AO52" s="1">
        <v>4.3</v>
      </c>
      <c r="AP52" s="1">
        <v>171.6</v>
      </c>
      <c r="AQ52" s="1">
        <v>4.2</v>
      </c>
      <c r="AR52" s="1">
        <v>186.3</v>
      </c>
      <c r="AS52" s="1">
        <v>3.6</v>
      </c>
      <c r="AT52" s="1">
        <v>201</v>
      </c>
      <c r="AU52" s="1">
        <v>18</v>
      </c>
      <c r="AV52" s="1">
        <v>168.6</v>
      </c>
      <c r="AW52" s="1">
        <v>3.3</v>
      </c>
      <c r="AX52" s="1">
        <v>21.1</v>
      </c>
      <c r="AY52" s="1">
        <v>1</v>
      </c>
      <c r="AZ52" s="1">
        <v>15692.670000000002</v>
      </c>
      <c r="BA52" s="1">
        <v>440.90999999999997</v>
      </c>
      <c r="BB52" s="1">
        <v>8830.619999999999</v>
      </c>
      <c r="BC52" s="1">
        <v>192.51</v>
      </c>
      <c r="BD52" s="1">
        <v>178848.00000000003</v>
      </c>
      <c r="BE52" s="1">
        <v>4160.7</v>
      </c>
      <c r="BF52" s="1">
        <v>9.3770999999999987</v>
      </c>
      <c r="BG52" s="1">
        <v>5.7752999999999997</v>
      </c>
      <c r="BH52" s="1">
        <f t="shared" si="6"/>
        <v>19072.847682119213</v>
      </c>
      <c r="BI52" s="1">
        <f t="shared" si="7"/>
        <v>11755.23022423496</v>
      </c>
      <c r="BJ52" s="27">
        <v>173.07</v>
      </c>
      <c r="BK52" s="27">
        <v>4.21</v>
      </c>
      <c r="BL52" s="27">
        <v>171.55</v>
      </c>
      <c r="BM52" s="27">
        <v>5.39</v>
      </c>
      <c r="BN52" s="27">
        <v>193.95</v>
      </c>
      <c r="BO52" s="27">
        <v>46.5</v>
      </c>
      <c r="BP52" s="27">
        <v>173.07</v>
      </c>
      <c r="BQ52" s="27">
        <v>4.21</v>
      </c>
      <c r="BR52" s="27">
        <v>0.73</v>
      </c>
    </row>
    <row r="53" spans="1:70" s="23" customFormat="1" x14ac:dyDescent="0.2">
      <c r="A53" s="23" t="s">
        <v>965</v>
      </c>
      <c r="B53" s="23" t="s">
        <v>38</v>
      </c>
      <c r="C53" s="23" t="s">
        <v>966</v>
      </c>
      <c r="D53" s="23" t="s">
        <v>967</v>
      </c>
      <c r="E53" s="23">
        <v>78028</v>
      </c>
      <c r="F53" s="23">
        <v>43016</v>
      </c>
      <c r="G53" s="23" t="s">
        <v>967</v>
      </c>
      <c r="H53" s="24">
        <v>981</v>
      </c>
      <c r="I53" s="24">
        <v>874</v>
      </c>
      <c r="J53" s="25">
        <v>0.27650000000000002</v>
      </c>
      <c r="K53" s="25">
        <f t="shared" ca="1" si="0"/>
        <v>1.1078849218217567E-2</v>
      </c>
      <c r="L53" s="26">
        <v>2.7199999999999998E-2</v>
      </c>
      <c r="M53" s="26">
        <f t="shared" ca="1" si="1"/>
        <v>8.5529877820560455E-4</v>
      </c>
      <c r="N53" s="26">
        <v>0.88621000000000005</v>
      </c>
      <c r="O53" s="26">
        <v>36.764710000000001</v>
      </c>
      <c r="P53" s="26">
        <f t="shared" ca="1" si="2"/>
        <v>1.1560591900697299</v>
      </c>
      <c r="Q53" s="25">
        <v>7.46E-2</v>
      </c>
      <c r="R53" s="25">
        <f t="shared" ca="1" si="3"/>
        <v>1.9146968428448408E-3</v>
      </c>
      <c r="S53" s="26">
        <f t="shared" si="4"/>
        <v>0.39868985617709995</v>
      </c>
      <c r="T53" s="25">
        <v>1.034E-2</v>
      </c>
      <c r="U53" s="25">
        <f t="shared" ca="1" si="5"/>
        <v>2.9473079241911589E-4</v>
      </c>
      <c r="V53" s="24" t="e">
        <f ca="1">IF(agePb6U8(1/O53)&lt;1400,age7corr(1/O53,Q53,$W$2),agePb76(Q53))</f>
        <v>#NAME?</v>
      </c>
      <c r="W53" s="24" t="e">
        <f ca="1">IF(agePb6U8(1/O53)&lt;1400,ageer7corr(V53,1/O53,P53/O53*(1/O53),Q53,R53,$W$2,0.05),ageerPb76(Q53,R53))</f>
        <v>#NAME?</v>
      </c>
      <c r="X53" s="26" t="e">
        <f ca="1">agePb6U8(L53)/agePb7u5(J53)</f>
        <v>#NAME?</v>
      </c>
      <c r="Y53" s="24"/>
      <c r="Z53" s="24">
        <v>0.27650000000000002</v>
      </c>
      <c r="AA53" s="24">
        <v>9.5999999999999992E-3</v>
      </c>
      <c r="AB53" s="24">
        <v>2.7199999999999998E-2</v>
      </c>
      <c r="AC53" s="24">
        <v>6.6E-4</v>
      </c>
      <c r="AD53" s="24">
        <v>0.88621000000000005</v>
      </c>
      <c r="AE53" s="24">
        <v>36.764710000000001</v>
      </c>
      <c r="AF53" s="24">
        <v>0.89208480000000001</v>
      </c>
      <c r="AG53" s="24">
        <v>7.46E-2</v>
      </c>
      <c r="AH53" s="24">
        <v>1.1999999999999999E-3</v>
      </c>
      <c r="AI53" s="24">
        <v>-0.34039000000000003</v>
      </c>
      <c r="AJ53" s="24">
        <v>1.034E-2</v>
      </c>
      <c r="AK53" s="24">
        <v>2.1000000000000001E-4</v>
      </c>
      <c r="AL53" s="24">
        <v>3.1139999999999999</v>
      </c>
      <c r="AM53" s="24">
        <v>4.5999999999999999E-2</v>
      </c>
      <c r="AN53" s="24">
        <v>247.7</v>
      </c>
      <c r="AO53" s="24">
        <v>7.7</v>
      </c>
      <c r="AP53" s="24">
        <v>173</v>
      </c>
      <c r="AQ53" s="24">
        <v>4.2</v>
      </c>
      <c r="AR53" s="24">
        <v>207.8</v>
      </c>
      <c r="AS53" s="24">
        <v>4.0999999999999996</v>
      </c>
      <c r="AT53" s="24">
        <v>1057</v>
      </c>
      <c r="AU53" s="24">
        <v>34</v>
      </c>
      <c r="AV53" s="24">
        <v>210.29999999999998</v>
      </c>
      <c r="AW53" s="24">
        <v>8.1</v>
      </c>
      <c r="AX53" s="24">
        <v>68.5</v>
      </c>
      <c r="AY53" s="24">
        <v>1.8</v>
      </c>
      <c r="AZ53" s="24">
        <v>58498.200000000004</v>
      </c>
      <c r="BA53" s="24">
        <v>2980.8</v>
      </c>
      <c r="BB53" s="24">
        <v>16394.400000000001</v>
      </c>
      <c r="BC53" s="24">
        <v>931.50000000000011</v>
      </c>
      <c r="BD53" s="24">
        <v>224802</v>
      </c>
      <c r="BE53" s="24">
        <v>8694</v>
      </c>
      <c r="BF53" s="24">
        <v>407.37599999999998</v>
      </c>
      <c r="BG53" s="24">
        <v>33.533999999999999</v>
      </c>
      <c r="BH53" s="24">
        <f t="shared" si="6"/>
        <v>551.82926829268297</v>
      </c>
      <c r="BI53" s="24">
        <f t="shared" si="7"/>
        <v>50.188504494739568</v>
      </c>
      <c r="BJ53" s="27">
        <v>251.6</v>
      </c>
      <c r="BK53" s="27">
        <v>7.16</v>
      </c>
      <c r="BL53" s="27">
        <v>173.02</v>
      </c>
      <c r="BM53" s="27">
        <v>5.39</v>
      </c>
      <c r="BN53" s="27">
        <v>1067.5999999999999</v>
      </c>
      <c r="BO53" s="27">
        <v>53.61</v>
      </c>
      <c r="BP53" s="27">
        <v>177.82</v>
      </c>
      <c r="BQ53" s="27">
        <v>5.53</v>
      </c>
      <c r="BR53" s="27">
        <v>33</v>
      </c>
    </row>
    <row r="54" spans="1:70" x14ac:dyDescent="0.2">
      <c r="A54" t="s">
        <v>968</v>
      </c>
      <c r="B54" t="s">
        <v>38</v>
      </c>
      <c r="C54" t="s">
        <v>969</v>
      </c>
      <c r="D54" t="s">
        <v>970</v>
      </c>
      <c r="E54">
        <v>78033</v>
      </c>
      <c r="F54">
        <v>43195</v>
      </c>
      <c r="G54" t="s">
        <v>970</v>
      </c>
      <c r="H54" s="1">
        <v>138.5</v>
      </c>
      <c r="I54" s="1">
        <v>179.7</v>
      </c>
      <c r="J54" s="10">
        <v>0.82</v>
      </c>
      <c r="K54" s="10">
        <f t="shared" ca="1" si="0"/>
        <v>2.092749387767202E-2</v>
      </c>
      <c r="L54" s="7">
        <v>9.6199999999999994E-2</v>
      </c>
      <c r="M54" s="7">
        <f t="shared" ca="1" si="1"/>
        <v>2.6347250330916888E-3</v>
      </c>
      <c r="N54" s="7">
        <v>0.91808999999999996</v>
      </c>
      <c r="O54" s="8">
        <v>10.395009999999999</v>
      </c>
      <c r="P54" s="8">
        <f t="shared" ca="1" si="2"/>
        <v>0.28469845444167763</v>
      </c>
      <c r="Q54" s="9">
        <v>6.1899999999999997E-2</v>
      </c>
      <c r="R54" s="9">
        <f t="shared" ca="1" si="3"/>
        <v>1.3546748687415736E-3</v>
      </c>
      <c r="S54" s="8">
        <f t="shared" si="4"/>
        <v>0.49527357314664572</v>
      </c>
      <c r="T54" s="11">
        <v>2.9690000000000001E-2</v>
      </c>
      <c r="U54" s="11">
        <f t="shared" ca="1" si="5"/>
        <v>7.4504928696026546E-4</v>
      </c>
      <c r="V54" s="6" t="e">
        <f ca="1">IF(agePb6U8(1/O54)&lt;1400,age7corr(1/O54,Q54,$W$2),agePb76(Q54))</f>
        <v>#NAME?</v>
      </c>
      <c r="W54" s="6" t="e">
        <f ca="1">IF(agePb6U8(1/O54)&lt;1400,ageer7corr(V54,1/O54,P54/O54*(1/O54),Q54,R54,$W$2,0.05),ageerPb76(Q54,R54))</f>
        <v>#NAME?</v>
      </c>
      <c r="X54" s="4" t="e">
        <f ca="1">agePb6U8(L54)/agePb7u5(J54)</f>
        <v>#NAME?</v>
      </c>
      <c r="Y54" s="3"/>
      <c r="Z54" s="1">
        <v>0.82</v>
      </c>
      <c r="AA54" s="1">
        <v>1.2999999999999999E-2</v>
      </c>
      <c r="AB54" s="1">
        <v>9.6199999999999994E-2</v>
      </c>
      <c r="AC54" s="1">
        <v>1.8E-3</v>
      </c>
      <c r="AD54" s="1">
        <v>0.91808999999999996</v>
      </c>
      <c r="AE54" s="1">
        <v>10.395009999999999</v>
      </c>
      <c r="AF54" s="1">
        <v>0.19450120000000001</v>
      </c>
      <c r="AG54" s="1">
        <v>6.1899999999999997E-2</v>
      </c>
      <c r="AH54" s="1">
        <v>5.5000000000000003E-4</v>
      </c>
      <c r="AI54" s="1">
        <v>0.11065</v>
      </c>
      <c r="AJ54" s="1">
        <v>2.9690000000000001E-2</v>
      </c>
      <c r="AK54" s="1">
        <v>4.4999999999999999E-4</v>
      </c>
      <c r="AL54" s="1">
        <v>2.6520000000000001</v>
      </c>
      <c r="AM54" s="1">
        <v>1.7999999999999999E-2</v>
      </c>
      <c r="AN54" s="1">
        <v>610.20000000000005</v>
      </c>
      <c r="AO54" s="1">
        <v>8.6999999999999993</v>
      </c>
      <c r="AP54" s="1">
        <v>592</v>
      </c>
      <c r="AQ54" s="1">
        <v>11</v>
      </c>
      <c r="AR54" s="1">
        <v>591.29999999999995</v>
      </c>
      <c r="AS54" s="1">
        <v>8.9</v>
      </c>
      <c r="AT54" s="1">
        <v>670</v>
      </c>
      <c r="AU54" s="1">
        <v>19</v>
      </c>
      <c r="AV54" s="1">
        <v>29.680000000000003</v>
      </c>
      <c r="AW54" s="1">
        <v>0.56999999999999995</v>
      </c>
      <c r="AX54" s="1">
        <v>14.09</v>
      </c>
      <c r="AY54" s="1">
        <v>0.16</v>
      </c>
      <c r="AZ54" s="1">
        <v>34279.199999999997</v>
      </c>
      <c r="BA54" s="1">
        <v>683.09999999999991</v>
      </c>
      <c r="BB54" s="1">
        <v>6843.4199999999992</v>
      </c>
      <c r="BC54" s="1">
        <v>111.78</v>
      </c>
      <c r="BD54" s="1">
        <v>112897.8</v>
      </c>
      <c r="BE54" s="1">
        <v>1987.2</v>
      </c>
      <c r="BF54" s="1">
        <v>18.009</v>
      </c>
      <c r="BG54" s="1">
        <v>6.8310000000000004</v>
      </c>
      <c r="BH54" s="1">
        <f t="shared" si="6"/>
        <v>6268.9655172413795</v>
      </c>
      <c r="BI54" s="1">
        <f t="shared" si="7"/>
        <v>2380.4423512568501</v>
      </c>
      <c r="BJ54" s="27">
        <v>608.94000000000005</v>
      </c>
      <c r="BK54" s="27">
        <v>10.75</v>
      </c>
      <c r="BL54" s="27">
        <v>591.83000000000004</v>
      </c>
      <c r="BM54" s="27">
        <v>15.22</v>
      </c>
      <c r="BN54" s="27">
        <v>673.15</v>
      </c>
      <c r="BO54" s="27">
        <v>34.5</v>
      </c>
      <c r="BP54" s="27">
        <v>612.19000000000005</v>
      </c>
      <c r="BQ54" s="27">
        <v>10.67</v>
      </c>
      <c r="BR54" s="27">
        <v>2.6</v>
      </c>
    </row>
    <row r="55" spans="1:70" x14ac:dyDescent="0.2">
      <c r="A55" t="s">
        <v>971</v>
      </c>
      <c r="B55" t="s">
        <v>38</v>
      </c>
      <c r="C55" t="s">
        <v>972</v>
      </c>
      <c r="D55" t="s">
        <v>973</v>
      </c>
      <c r="E55">
        <v>78176</v>
      </c>
      <c r="F55">
        <v>43445</v>
      </c>
      <c r="G55" t="s">
        <v>973</v>
      </c>
      <c r="H55" s="1">
        <v>43.5</v>
      </c>
      <c r="I55" s="1">
        <v>45.3</v>
      </c>
      <c r="J55" s="10">
        <v>2.1800000000000002</v>
      </c>
      <c r="K55" s="10">
        <f t="shared" ca="1" si="0"/>
        <v>0.14663205652243991</v>
      </c>
      <c r="L55" s="7">
        <v>0.17560000000000001</v>
      </c>
      <c r="M55" s="7">
        <f t="shared" ca="1" si="1"/>
        <v>8.1911015132276315E-3</v>
      </c>
      <c r="N55" s="7">
        <v>0.82618000000000003</v>
      </c>
      <c r="O55" s="8">
        <v>5.6947609999999997</v>
      </c>
      <c r="P55" s="8">
        <f t="shared" ca="1" si="2"/>
        <v>0.26563986408008944</v>
      </c>
      <c r="Q55" s="9">
        <v>9.06E-2</v>
      </c>
      <c r="R55" s="9">
        <f t="shared" ca="1" si="3"/>
        <v>3.504760191510969E-3</v>
      </c>
      <c r="S55" s="8">
        <f t="shared" si="4"/>
        <v>0.54417012878187998</v>
      </c>
      <c r="T55" s="11">
        <v>6.13E-2</v>
      </c>
      <c r="U55" s="11">
        <f t="shared" ca="1" si="5"/>
        <v>4.9540968904533949E-3</v>
      </c>
      <c r="V55" s="6" t="e">
        <f ca="1">IF(agePb6U8(1/O55)&lt;1400,age7corr(1/O55,Q55,$W$2),agePb76(Q55))</f>
        <v>#NAME?</v>
      </c>
      <c r="W55" s="6" t="e">
        <f ca="1">IF(agePb6U8(1/O55)&lt;1400,ageer7corr(V55,1/O55,P55/O55*(1/O55),Q55,R55,$W$2,0.05),ageerPb76(Q55,R55))</f>
        <v>#NAME?</v>
      </c>
      <c r="X55" s="4" t="e">
        <f ca="1">agePb6U8(L55)/agePb7u5(J55)</f>
        <v>#NAME?</v>
      </c>
      <c r="Y55" s="3"/>
      <c r="Z55" s="1">
        <v>2.1800000000000002</v>
      </c>
      <c r="AA55" s="1">
        <v>0.14000000000000001</v>
      </c>
      <c r="AB55" s="1">
        <v>0.17560000000000001</v>
      </c>
      <c r="AC55" s="1">
        <v>7.4000000000000003E-3</v>
      </c>
      <c r="AD55" s="1">
        <v>0.82618000000000003</v>
      </c>
      <c r="AE55" s="1">
        <v>5.6947609999999997</v>
      </c>
      <c r="AF55" s="1">
        <v>0.23998420000000001</v>
      </c>
      <c r="AG55" s="1">
        <v>9.06E-2</v>
      </c>
      <c r="AH55" s="1">
        <v>3.0000000000000001E-3</v>
      </c>
      <c r="AI55" s="1">
        <v>-0.30284</v>
      </c>
      <c r="AJ55" s="1">
        <v>6.13E-2</v>
      </c>
      <c r="AK55" s="1">
        <v>4.7999999999999996E-3</v>
      </c>
      <c r="AL55" s="1">
        <v>3.008</v>
      </c>
      <c r="AM55" s="1">
        <v>8.7999999999999995E-2</v>
      </c>
      <c r="AN55" s="1">
        <v>1180</v>
      </c>
      <c r="AO55" s="1">
        <v>45</v>
      </c>
      <c r="AP55" s="1">
        <v>1042</v>
      </c>
      <c r="AQ55" s="1">
        <v>41</v>
      </c>
      <c r="AR55" s="1">
        <v>1202</v>
      </c>
      <c r="AS55" s="1">
        <v>91</v>
      </c>
      <c r="AT55" s="1">
        <v>1447</v>
      </c>
      <c r="AU55" s="1">
        <v>65</v>
      </c>
      <c r="AV55" s="1">
        <v>9.2999999999999989</v>
      </c>
      <c r="AW55" s="1">
        <v>1.2</v>
      </c>
      <c r="AX55" s="1">
        <v>3.5500000000000003</v>
      </c>
      <c r="AY55" s="1">
        <v>0.6</v>
      </c>
      <c r="AZ55" s="1">
        <v>17201.7</v>
      </c>
      <c r="BA55" s="1">
        <v>2421.9</v>
      </c>
      <c r="BB55" s="1">
        <v>5570.37</v>
      </c>
      <c r="BC55" s="1">
        <v>490.59000000000003</v>
      </c>
      <c r="BD55" s="1">
        <v>62721</v>
      </c>
      <c r="BE55" s="1">
        <v>7452.0000000000009</v>
      </c>
      <c r="BF55" s="1">
        <v>62.721000000000004</v>
      </c>
      <c r="BG55" s="1">
        <v>7.4519999999999991</v>
      </c>
      <c r="BH55" s="1">
        <f t="shared" si="6"/>
        <v>999.99999999999989</v>
      </c>
      <c r="BI55" s="1">
        <f t="shared" si="7"/>
        <v>168.0253737472984</v>
      </c>
      <c r="BJ55" s="27">
        <v>1182.3499999999999</v>
      </c>
      <c r="BK55" s="27">
        <v>30.69</v>
      </c>
      <c r="BL55" s="27">
        <v>1043.7</v>
      </c>
      <c r="BM55" s="27">
        <v>45.72</v>
      </c>
      <c r="BN55" s="27">
        <v>1445.75</v>
      </c>
      <c r="BO55" s="27">
        <v>83.72</v>
      </c>
      <c r="BP55" s="27">
        <v>1161.8599999999999</v>
      </c>
      <c r="BQ55" s="27">
        <v>31.98</v>
      </c>
      <c r="BR55" s="27">
        <v>11</v>
      </c>
    </row>
    <row r="56" spans="1:70" x14ac:dyDescent="0.2">
      <c r="A56" t="s">
        <v>974</v>
      </c>
      <c r="B56" t="s">
        <v>38</v>
      </c>
      <c r="C56" t="s">
        <v>975</v>
      </c>
      <c r="D56" t="s">
        <v>976</v>
      </c>
      <c r="E56">
        <v>78099</v>
      </c>
      <c r="F56">
        <v>43558</v>
      </c>
      <c r="G56" t="s">
        <v>976</v>
      </c>
      <c r="H56" s="1">
        <v>116.8</v>
      </c>
      <c r="I56" s="1">
        <v>128.19999999999999</v>
      </c>
      <c r="J56" s="10">
        <v>0.44700000000000001</v>
      </c>
      <c r="K56" s="10">
        <f t="shared" ca="1" si="0"/>
        <v>1.5777312825700072E-2</v>
      </c>
      <c r="L56" s="7">
        <v>5.9900000000000002E-2</v>
      </c>
      <c r="M56" s="7">
        <f t="shared" ca="1" si="1"/>
        <v>1.9196885164005125E-3</v>
      </c>
      <c r="N56" s="7">
        <v>0.85982999999999998</v>
      </c>
      <c r="O56" s="8">
        <v>16.694489999999998</v>
      </c>
      <c r="P56" s="8">
        <f t="shared" ca="1" si="2"/>
        <v>0.53502871514063621</v>
      </c>
      <c r="Q56" s="9">
        <v>5.4239999999999997E-2</v>
      </c>
      <c r="R56" s="9">
        <f t="shared" ca="1" si="3"/>
        <v>1.3075515439171031E-3</v>
      </c>
      <c r="S56" s="8">
        <f t="shared" si="4"/>
        <v>0.41432679429399144</v>
      </c>
      <c r="T56" s="11">
        <v>1.9769999999999999E-2</v>
      </c>
      <c r="U56" s="11">
        <f t="shared" ca="1" si="5"/>
        <v>6.1419960924767765E-4</v>
      </c>
      <c r="V56" s="6" t="e">
        <f ca="1">IF(agePb6U8(1/O56)&lt;1400,age7corr(1/O56,Q56,$W$2),agePb76(Q56))</f>
        <v>#NAME?</v>
      </c>
      <c r="W56" s="6" t="e">
        <f ca="1">IF(agePb6U8(1/O56)&lt;1400,ageer7corr(V56,1/O56,P56/O56*(1/O56),Q56,R56,$W$2,0.05),ageerPb76(Q56,R56))</f>
        <v>#NAME?</v>
      </c>
      <c r="X56" s="4" t="e">
        <f ca="1">agePb6U8(L56)/agePb7u5(J56)</f>
        <v>#NAME?</v>
      </c>
      <c r="Y56" s="3"/>
      <c r="Z56" s="1">
        <v>0.44700000000000001</v>
      </c>
      <c r="AA56" s="1">
        <v>1.2999999999999999E-2</v>
      </c>
      <c r="AB56" s="1">
        <v>5.9900000000000002E-2</v>
      </c>
      <c r="AC56" s="1">
        <v>1.5E-3</v>
      </c>
      <c r="AD56" s="1">
        <v>0.85982999999999998</v>
      </c>
      <c r="AE56" s="1">
        <v>16.694489999999998</v>
      </c>
      <c r="AF56" s="1">
        <v>0.41805900000000001</v>
      </c>
      <c r="AG56" s="1">
        <v>5.4239999999999997E-2</v>
      </c>
      <c r="AH56" s="1">
        <v>7.2999999999999996E-4</v>
      </c>
      <c r="AI56" s="1">
        <v>3.8467000000000001E-2</v>
      </c>
      <c r="AJ56" s="1">
        <v>1.9769999999999999E-2</v>
      </c>
      <c r="AK56" s="1">
        <v>4.6999999999999999E-4</v>
      </c>
      <c r="AL56" s="1">
        <v>2.95</v>
      </c>
      <c r="AM56" s="1">
        <v>0.1</v>
      </c>
      <c r="AN56" s="1">
        <v>375</v>
      </c>
      <c r="AO56" s="1">
        <v>9.1</v>
      </c>
      <c r="AP56" s="1">
        <v>375.1</v>
      </c>
      <c r="AQ56" s="1">
        <v>9.1999999999999993</v>
      </c>
      <c r="AR56" s="1">
        <v>395.7</v>
      </c>
      <c r="AS56" s="1">
        <v>9.4</v>
      </c>
      <c r="AT56" s="1">
        <v>379</v>
      </c>
      <c r="AU56" s="1">
        <v>31</v>
      </c>
      <c r="AV56" s="1">
        <v>25.02</v>
      </c>
      <c r="AW56" s="1">
        <v>0.71</v>
      </c>
      <c r="AX56" s="1">
        <v>10.050000000000001</v>
      </c>
      <c r="AY56" s="1">
        <v>0.4</v>
      </c>
      <c r="AZ56" s="1">
        <v>16152.21</v>
      </c>
      <c r="BA56" s="1">
        <v>385.02</v>
      </c>
      <c r="BB56" s="1">
        <v>3154.6800000000003</v>
      </c>
      <c r="BC56" s="1">
        <v>68.31</v>
      </c>
      <c r="BD56" s="1">
        <v>59119.200000000004</v>
      </c>
      <c r="BE56" s="1">
        <v>1242</v>
      </c>
      <c r="BF56" s="1">
        <v>-0.74519999999999997</v>
      </c>
      <c r="BG56" s="1">
        <v>6.0858000000000008</v>
      </c>
      <c r="BH56" s="1">
        <f t="shared" si="6"/>
        <v>-79333.333333333343</v>
      </c>
      <c r="BI56" s="1">
        <f t="shared" si="7"/>
        <v>-647891.03259997128</v>
      </c>
      <c r="BJ56" s="27">
        <v>374.41</v>
      </c>
      <c r="BK56" s="27">
        <v>9.39</v>
      </c>
      <c r="BL56" s="27">
        <v>375.12</v>
      </c>
      <c r="BM56" s="27">
        <v>11.79</v>
      </c>
      <c r="BN56" s="27">
        <v>370.04</v>
      </c>
      <c r="BO56" s="27">
        <v>41.71</v>
      </c>
      <c r="BP56" s="27">
        <v>374.36</v>
      </c>
      <c r="BQ56" s="27">
        <v>9.3699999999999992</v>
      </c>
      <c r="BR56" s="27">
        <v>-0.16</v>
      </c>
    </row>
    <row r="57" spans="1:70" x14ac:dyDescent="0.2">
      <c r="A57" t="s">
        <v>785</v>
      </c>
      <c r="B57" t="s">
        <v>38</v>
      </c>
      <c r="C57" t="s">
        <v>786</v>
      </c>
      <c r="D57" t="s">
        <v>787</v>
      </c>
      <c r="E57">
        <v>78708</v>
      </c>
      <c r="F57">
        <v>41446</v>
      </c>
      <c r="G57" t="s">
        <v>787</v>
      </c>
      <c r="H57" s="1">
        <v>192.1</v>
      </c>
      <c r="I57" s="1">
        <v>49.7</v>
      </c>
      <c r="J57" s="10">
        <v>1.57</v>
      </c>
      <c r="K57" s="10">
        <f t="shared" ca="1" si="0"/>
        <v>4.0767143633077853E-2</v>
      </c>
      <c r="L57" s="7">
        <v>0.15870000000000001</v>
      </c>
      <c r="M57" s="7">
        <f t="shared" ca="1" si="1"/>
        <v>3.9792305788933623E-3</v>
      </c>
      <c r="N57" s="7">
        <v>0.95460999999999996</v>
      </c>
      <c r="O57" s="8">
        <v>6.3011970000000002</v>
      </c>
      <c r="P57" s="8">
        <f t="shared" ca="1" si="2"/>
        <v>0.15799569215585502</v>
      </c>
      <c r="Q57" s="9">
        <v>7.1760000000000004E-2</v>
      </c>
      <c r="R57" s="9">
        <f t="shared" ca="1" si="3"/>
        <v>1.4821265263127844E-3</v>
      </c>
      <c r="S57" s="8">
        <f t="shared" si="4"/>
        <v>0.38710291467071911</v>
      </c>
      <c r="T57" s="11">
        <v>5.2699999999999997E-2</v>
      </c>
      <c r="U57" s="11">
        <f t="shared" ca="1" si="5"/>
        <v>1.5971587272403454E-3</v>
      </c>
      <c r="V57" s="6" t="e">
        <f ca="1">IF(agePb6U8(1/O57)&lt;1400,age7corr(1/O57,Q57,$W$2),agePb76(Q57))</f>
        <v>#NAME?</v>
      </c>
      <c r="W57" s="6" t="e">
        <f ca="1">IF(agePb6U8(1/O57)&lt;1400,ageer7corr(V57,1/O57,P57/O57*(1/O57),Q57,R57,$W$2,0.05),ageerPb76(Q57,R57))</f>
        <v>#NAME?</v>
      </c>
      <c r="X57" s="4" t="e">
        <f ca="1">agePb6U8(L57)/agePb7u5(J57)</f>
        <v>#NAME?</v>
      </c>
      <c r="Y57" s="3"/>
      <c r="Z57" s="1">
        <v>1.57</v>
      </c>
      <c r="AA57" s="1">
        <v>2.5999999999999999E-2</v>
      </c>
      <c r="AB57" s="1">
        <v>0.15870000000000001</v>
      </c>
      <c r="AC57" s="1">
        <v>2.3999999999999998E-3</v>
      </c>
      <c r="AD57" s="1">
        <v>0.95460999999999996</v>
      </c>
      <c r="AE57" s="1">
        <v>6.3011970000000002</v>
      </c>
      <c r="AF57" s="1">
        <v>9.5292210000000002E-2</v>
      </c>
      <c r="AG57" s="1">
        <v>7.1760000000000004E-2</v>
      </c>
      <c r="AH57" s="1">
        <v>3.6999999999999999E-4</v>
      </c>
      <c r="AI57" s="1">
        <v>-0.39576</v>
      </c>
      <c r="AJ57" s="1">
        <v>5.2699999999999997E-2</v>
      </c>
      <c r="AK57" s="1">
        <v>1.1999999999999999E-3</v>
      </c>
      <c r="AL57" s="1">
        <v>12.34</v>
      </c>
      <c r="AM57" s="1">
        <v>0.12</v>
      </c>
      <c r="AN57" s="1">
        <v>958</v>
      </c>
      <c r="AO57" s="1">
        <v>10</v>
      </c>
      <c r="AP57" s="1">
        <v>949</v>
      </c>
      <c r="AQ57" s="1">
        <v>14</v>
      </c>
      <c r="AR57" s="1">
        <v>1039</v>
      </c>
      <c r="AS57" s="1">
        <v>22</v>
      </c>
      <c r="AT57" s="1">
        <v>979</v>
      </c>
      <c r="AU57" s="1">
        <v>11</v>
      </c>
      <c r="AV57" s="1">
        <v>41.42</v>
      </c>
      <c r="AW57" s="1">
        <v>0.82</v>
      </c>
      <c r="AX57" s="1">
        <v>3.91</v>
      </c>
      <c r="AY57" s="1">
        <v>0.11</v>
      </c>
      <c r="AZ57" s="1">
        <v>16816.680000000004</v>
      </c>
      <c r="BA57" s="1">
        <v>260.82</v>
      </c>
      <c r="BB57" s="1">
        <v>18282.239999999998</v>
      </c>
      <c r="BC57" s="1">
        <v>304.28999999999996</v>
      </c>
      <c r="BD57" s="1">
        <v>257528.69999999995</v>
      </c>
      <c r="BE57" s="1">
        <v>3726.0000000000005</v>
      </c>
      <c r="BF57" s="1">
        <v>8.0729999999999986</v>
      </c>
      <c r="BG57" s="1">
        <v>6.8310000000000004</v>
      </c>
      <c r="BH57" s="1">
        <f t="shared" si="6"/>
        <v>31900</v>
      </c>
      <c r="BI57" s="1">
        <f t="shared" si="7"/>
        <v>26996.253301295212</v>
      </c>
      <c r="BJ57" s="27">
        <v>960.42</v>
      </c>
      <c r="BK57" s="27">
        <v>14.73</v>
      </c>
      <c r="BL57" s="27">
        <v>949.72</v>
      </c>
      <c r="BM57" s="27">
        <v>22.43</v>
      </c>
      <c r="BN57" s="27">
        <v>985.03</v>
      </c>
      <c r="BO57" s="27">
        <v>28.27</v>
      </c>
      <c r="BP57" s="27">
        <v>964.45</v>
      </c>
      <c r="BQ57" s="27">
        <v>13.94</v>
      </c>
      <c r="BR57" s="27">
        <v>1.2</v>
      </c>
    </row>
    <row r="58" spans="1:70" x14ac:dyDescent="0.2">
      <c r="A58" t="s">
        <v>977</v>
      </c>
      <c r="B58" t="s">
        <v>38</v>
      </c>
      <c r="C58" t="s">
        <v>978</v>
      </c>
      <c r="D58" t="s">
        <v>979</v>
      </c>
      <c r="E58">
        <v>78106</v>
      </c>
      <c r="F58">
        <v>43751</v>
      </c>
      <c r="G58" t="s">
        <v>979</v>
      </c>
      <c r="H58" s="1">
        <v>562</v>
      </c>
      <c r="I58" s="1">
        <v>50.8</v>
      </c>
      <c r="J58" s="10">
        <v>0.42899999999999999</v>
      </c>
      <c r="K58" s="10">
        <f t="shared" ca="1" si="0"/>
        <v>9.9813025202124817E-3</v>
      </c>
      <c r="L58" s="7">
        <v>5.7070000000000003E-2</v>
      </c>
      <c r="M58" s="7">
        <f t="shared" ca="1" si="1"/>
        <v>1.3337518359874899E-3</v>
      </c>
      <c r="N58" s="7">
        <v>0.86040000000000005</v>
      </c>
      <c r="O58" s="8">
        <v>17.52234</v>
      </c>
      <c r="P58" s="8">
        <f t="shared" ca="1" si="2"/>
        <v>0.40950506592226671</v>
      </c>
      <c r="Q58" s="9">
        <v>5.457E-2</v>
      </c>
      <c r="R58" s="9">
        <f t="shared" ca="1" si="3"/>
        <v>1.1658704730800932E-3</v>
      </c>
      <c r="S58" s="8">
        <f t="shared" si="4"/>
        <v>0.46586579644861309</v>
      </c>
      <c r="T58" s="11">
        <v>1.941E-2</v>
      </c>
      <c r="U58" s="11">
        <f t="shared" ca="1" si="5"/>
        <v>6.2513937645936209E-4</v>
      </c>
      <c r="V58" s="6" t="e">
        <f ca="1">IF(agePb6U8(1/O58)&lt;1400,age7corr(1/O58,Q58,$W$2),agePb76(Q58))</f>
        <v>#NAME?</v>
      </c>
      <c r="W58" s="6" t="e">
        <f ca="1">IF(agePb6U8(1/O58)&lt;1400,ageer7corr(V58,1/O58,P58/O58*(1/O58),Q58,R58,$W$2,0.05),ageerPb76(Q58,R58))</f>
        <v>#NAME?</v>
      </c>
      <c r="X58" s="4" t="e">
        <f ca="1">agePb6U8(L58)/agePb7u5(J58)</f>
        <v>#NAME?</v>
      </c>
      <c r="Y58" s="3"/>
      <c r="Z58" s="1">
        <v>0.42899999999999999</v>
      </c>
      <c r="AA58" s="1">
        <v>5.1000000000000004E-3</v>
      </c>
      <c r="AB58" s="1">
        <v>5.7070000000000003E-2</v>
      </c>
      <c r="AC58" s="1">
        <v>6.8999999999999997E-4</v>
      </c>
      <c r="AD58" s="1">
        <v>0.86040000000000005</v>
      </c>
      <c r="AE58" s="1">
        <v>17.52234</v>
      </c>
      <c r="AF58" s="1">
        <v>0.2118524</v>
      </c>
      <c r="AG58" s="1">
        <v>5.457E-2</v>
      </c>
      <c r="AH58" s="1">
        <v>4.0999999999999999E-4</v>
      </c>
      <c r="AI58" s="1">
        <v>0.26396999999999998</v>
      </c>
      <c r="AJ58" s="1">
        <v>1.941E-2</v>
      </c>
      <c r="AK58" s="1">
        <v>4.8999999999999998E-4</v>
      </c>
      <c r="AL58" s="1">
        <v>33.4</v>
      </c>
      <c r="AM58" s="1">
        <v>1.7</v>
      </c>
      <c r="AN58" s="1">
        <v>362.5</v>
      </c>
      <c r="AO58" s="1">
        <v>3.6</v>
      </c>
      <c r="AP58" s="1">
        <v>357.8</v>
      </c>
      <c r="AQ58" s="1">
        <v>4.2</v>
      </c>
      <c r="AR58" s="1">
        <v>388.5</v>
      </c>
      <c r="AS58" s="1">
        <v>9.8000000000000007</v>
      </c>
      <c r="AT58" s="1">
        <v>398</v>
      </c>
      <c r="AU58" s="1">
        <v>18</v>
      </c>
      <c r="AV58" s="1">
        <v>120</v>
      </c>
      <c r="AW58" s="1">
        <v>12</v>
      </c>
      <c r="AX58" s="1">
        <v>3.9839999999999995</v>
      </c>
      <c r="AY58" s="1">
        <v>9.1999999999999998E-2</v>
      </c>
      <c r="AZ58" s="1">
        <v>6408.72</v>
      </c>
      <c r="BA58" s="1">
        <v>285.65999999999997</v>
      </c>
      <c r="BB58" s="1">
        <v>14531.4</v>
      </c>
      <c r="BC58" s="1">
        <v>1428.3</v>
      </c>
      <c r="BD58" s="1">
        <v>268272</v>
      </c>
      <c r="BE58" s="1">
        <v>24840</v>
      </c>
      <c r="BF58" s="1">
        <v>5.1543000000000001</v>
      </c>
      <c r="BG58" s="1">
        <v>5.7752999999999997</v>
      </c>
      <c r="BH58" s="1">
        <f t="shared" si="6"/>
        <v>52048.192771084337</v>
      </c>
      <c r="BI58" s="1">
        <f t="shared" si="7"/>
        <v>58517.844437834887</v>
      </c>
      <c r="BJ58" s="27">
        <v>365.05</v>
      </c>
      <c r="BK58" s="27">
        <v>6.71</v>
      </c>
      <c r="BL58" s="27">
        <v>357.83</v>
      </c>
      <c r="BM58" s="27">
        <v>8.15</v>
      </c>
      <c r="BN58" s="27">
        <v>411.22</v>
      </c>
      <c r="BO58" s="27">
        <v>40.659999999999997</v>
      </c>
      <c r="BP58" s="27">
        <v>363.5</v>
      </c>
      <c r="BQ58" s="27">
        <v>6.61</v>
      </c>
      <c r="BR58" s="27">
        <v>1.6</v>
      </c>
    </row>
    <row r="59" spans="1:70" x14ac:dyDescent="0.2">
      <c r="A59" t="s">
        <v>980</v>
      </c>
      <c r="B59" t="s">
        <v>38</v>
      </c>
      <c r="C59" t="s">
        <v>981</v>
      </c>
      <c r="D59" t="s">
        <v>982</v>
      </c>
      <c r="E59">
        <v>78212</v>
      </c>
      <c r="F59">
        <v>43989</v>
      </c>
      <c r="G59" t="s">
        <v>982</v>
      </c>
      <c r="H59" s="1">
        <v>107.1</v>
      </c>
      <c r="I59" s="1">
        <v>78.599999999999994</v>
      </c>
      <c r="J59" s="10">
        <v>0.32900000000000001</v>
      </c>
      <c r="K59" s="10">
        <f t="shared" ca="1" si="0"/>
        <v>2.2962935352432625E-2</v>
      </c>
      <c r="L59" s="7">
        <v>3.0980000000000001E-2</v>
      </c>
      <c r="M59" s="7">
        <f t="shared" ca="1" si="1"/>
        <v>9.9614464813098293E-4</v>
      </c>
      <c r="N59" s="7">
        <v>0.47209000000000001</v>
      </c>
      <c r="O59" s="8">
        <v>32.278889999999997</v>
      </c>
      <c r="P59" s="8">
        <f t="shared" ca="1" si="2"/>
        <v>1.0379096959662146</v>
      </c>
      <c r="Q59" s="9">
        <v>7.7600000000000002E-2</v>
      </c>
      <c r="R59" s="9">
        <f t="shared" ca="1" si="3"/>
        <v>4.6656943749028403E-3</v>
      </c>
      <c r="S59" s="8">
        <f t="shared" si="4"/>
        <v>0.37077855900040113</v>
      </c>
      <c r="T59" s="11">
        <v>1.349E-2</v>
      </c>
      <c r="U59" s="11">
        <f t="shared" ca="1" si="5"/>
        <v>6.4876192859939007E-4</v>
      </c>
      <c r="V59" s="6" t="e">
        <f ca="1">IF(agePb6U8(1/O59)&lt;1400,age7corr(1/O59,Q59,$W$2),agePb76(Q59))</f>
        <v>#NAME?</v>
      </c>
      <c r="W59" s="6" t="e">
        <f ca="1">IF(agePb6U8(1/O59)&lt;1400,ageer7corr(V59,1/O59,P59/O59*(1/O59),Q59,R59,$W$2,0.05),ageerPb76(Q59,R59))</f>
        <v>#NAME?</v>
      </c>
      <c r="X59" s="4" t="e">
        <f ca="1">agePb6U8(L59)/agePb7u5(J59)</f>
        <v>#NAME?</v>
      </c>
      <c r="Y59" s="3"/>
      <c r="Z59" s="1">
        <v>0.32900000000000001</v>
      </c>
      <c r="AA59" s="1">
        <v>2.1999999999999999E-2</v>
      </c>
      <c r="AB59" s="1">
        <v>3.0980000000000001E-2</v>
      </c>
      <c r="AC59" s="1">
        <v>7.7999999999999999E-4</v>
      </c>
      <c r="AD59" s="1">
        <v>0.47209000000000001</v>
      </c>
      <c r="AE59" s="1">
        <v>32.278889999999997</v>
      </c>
      <c r="AF59" s="1">
        <v>0.81270279999999995</v>
      </c>
      <c r="AG59" s="1">
        <v>7.7600000000000002E-2</v>
      </c>
      <c r="AH59" s="1">
        <v>4.4000000000000003E-3</v>
      </c>
      <c r="AI59" s="1">
        <v>-9.0712000000000001E-2</v>
      </c>
      <c r="AJ59" s="1">
        <v>1.349E-2</v>
      </c>
      <c r="AK59" s="1">
        <v>5.9000000000000003E-4</v>
      </c>
      <c r="AL59" s="1">
        <v>3.367</v>
      </c>
      <c r="AM59" s="1">
        <v>8.1000000000000003E-2</v>
      </c>
      <c r="AN59" s="1">
        <v>288</v>
      </c>
      <c r="AO59" s="1">
        <v>17</v>
      </c>
      <c r="AP59" s="1">
        <v>196.7</v>
      </c>
      <c r="AQ59" s="1">
        <v>4.9000000000000004</v>
      </c>
      <c r="AR59" s="1">
        <v>271</v>
      </c>
      <c r="AS59" s="1">
        <v>12</v>
      </c>
      <c r="AT59" s="1">
        <v>1120</v>
      </c>
      <c r="AU59" s="1">
        <v>110</v>
      </c>
      <c r="AV59" s="1">
        <v>22.950000000000003</v>
      </c>
      <c r="AW59" s="1">
        <v>0.8</v>
      </c>
      <c r="AX59" s="1">
        <v>6.1599999999999993</v>
      </c>
      <c r="AY59" s="1">
        <v>0.16</v>
      </c>
      <c r="AZ59" s="1">
        <v>6694.38</v>
      </c>
      <c r="BA59" s="1">
        <v>136.62</v>
      </c>
      <c r="BB59" s="1">
        <v>2148.66</v>
      </c>
      <c r="BC59" s="1">
        <v>86.94</v>
      </c>
      <c r="BD59" s="1">
        <v>27945</v>
      </c>
      <c r="BE59" s="1">
        <v>807.3</v>
      </c>
      <c r="BF59" s="1">
        <v>58.994999999999997</v>
      </c>
      <c r="BG59" s="1">
        <v>11.177999999999999</v>
      </c>
      <c r="BH59" s="1">
        <f t="shared" si="6"/>
        <v>473.68421052631584</v>
      </c>
      <c r="BI59" s="1">
        <f t="shared" si="7"/>
        <v>90.787909028060241</v>
      </c>
      <c r="BJ59" s="27">
        <v>291.87</v>
      </c>
      <c r="BK59" s="27">
        <v>15.26</v>
      </c>
      <c r="BL59" s="27">
        <v>196.67</v>
      </c>
      <c r="BM59" s="27">
        <v>6.24</v>
      </c>
      <c r="BN59" s="27">
        <v>1145.98</v>
      </c>
      <c r="BO59" s="27">
        <v>127.37</v>
      </c>
      <c r="BP59" s="27">
        <v>205.06</v>
      </c>
      <c r="BQ59" s="27">
        <v>6.1</v>
      </c>
      <c r="BR59" s="27">
        <v>34</v>
      </c>
    </row>
    <row r="60" spans="1:70" x14ac:dyDescent="0.2">
      <c r="A60" t="s">
        <v>989</v>
      </c>
      <c r="B60" t="s">
        <v>38</v>
      </c>
      <c r="C60" t="s">
        <v>990</v>
      </c>
      <c r="D60" t="s">
        <v>991</v>
      </c>
      <c r="E60">
        <v>78255</v>
      </c>
      <c r="F60">
        <v>44320</v>
      </c>
      <c r="G60" t="s">
        <v>991</v>
      </c>
      <c r="H60" s="1">
        <v>562</v>
      </c>
      <c r="I60" s="1">
        <v>194.1</v>
      </c>
      <c r="J60" s="10">
        <v>3.6640000000000001</v>
      </c>
      <c r="K60" s="10">
        <f t="shared" ca="1" si="0"/>
        <v>0.10273246030345035</v>
      </c>
      <c r="L60" s="7">
        <v>0.2545</v>
      </c>
      <c r="M60" s="7">
        <f t="shared" ca="1" si="1"/>
        <v>7.1349912403590246E-3</v>
      </c>
      <c r="N60" s="7">
        <v>0.98848000000000003</v>
      </c>
      <c r="O60" s="8">
        <v>3.9292729999999998</v>
      </c>
      <c r="P60" s="8">
        <f t="shared" ca="1" si="2"/>
        <v>0.11015845919391075</v>
      </c>
      <c r="Q60" s="9">
        <v>0.10466</v>
      </c>
      <c r="R60" s="9">
        <f t="shared" ca="1" si="3"/>
        <v>2.1453172818956174E-3</v>
      </c>
      <c r="S60" s="8">
        <f t="shared" si="4"/>
        <v>0.41370948725933188</v>
      </c>
      <c r="T60" s="11">
        <v>8.0100000000000005E-2</v>
      </c>
      <c r="U60" s="11">
        <f t="shared" ca="1" si="5"/>
        <v>2.1946307206452756E-3</v>
      </c>
      <c r="V60" s="6" t="e">
        <f ca="1">IF(agePb6U8(1/O60)&lt;1400,age7corr(1/O60,Q60,$W$2),agePb76(Q60))</f>
        <v>#NAME?</v>
      </c>
      <c r="W60" s="6" t="e">
        <f ca="1">IF(agePb6U8(1/O60)&lt;1400,ageer7corr(V60,1/O60,P60/O60*(1/O60),Q60,R60,$W$2,0.05),ageerPb76(Q60,R60))</f>
        <v>#NAME?</v>
      </c>
      <c r="X60" s="4" t="e">
        <f ca="1">agePb6U8(L60)/agePb7u5(J60)</f>
        <v>#NAME?</v>
      </c>
      <c r="Y60" s="3"/>
      <c r="Z60" s="1">
        <v>3.6640000000000001</v>
      </c>
      <c r="AA60" s="1">
        <v>7.1999999999999995E-2</v>
      </c>
      <c r="AB60" s="1">
        <v>0.2545</v>
      </c>
      <c r="AC60" s="1">
        <v>5.0000000000000001E-3</v>
      </c>
      <c r="AD60" s="1">
        <v>0.98848000000000003</v>
      </c>
      <c r="AE60" s="1">
        <v>3.9292729999999998</v>
      </c>
      <c r="AF60" s="1">
        <v>7.7195929999999996E-2</v>
      </c>
      <c r="AG60" s="1">
        <v>0.10466</v>
      </c>
      <c r="AH60" s="1">
        <v>4.6999999999999999E-4</v>
      </c>
      <c r="AI60" s="1">
        <v>2.8381E-2</v>
      </c>
      <c r="AJ60" s="1">
        <v>8.0100000000000005E-2</v>
      </c>
      <c r="AK60" s="1">
        <v>1.5E-3</v>
      </c>
      <c r="AL60" s="1">
        <v>9.9019999999999992</v>
      </c>
      <c r="AM60" s="1">
        <v>9.7000000000000003E-2</v>
      </c>
      <c r="AN60" s="1">
        <v>1563</v>
      </c>
      <c r="AO60" s="1">
        <v>16</v>
      </c>
      <c r="AP60" s="1">
        <v>1461</v>
      </c>
      <c r="AQ60" s="1">
        <v>26</v>
      </c>
      <c r="AR60" s="1">
        <v>1557</v>
      </c>
      <c r="AS60" s="1">
        <v>29</v>
      </c>
      <c r="AT60" s="1">
        <v>1708.2</v>
      </c>
      <c r="AU60" s="1">
        <v>8.3000000000000007</v>
      </c>
      <c r="AV60" s="1">
        <v>120.39999999999999</v>
      </c>
      <c r="AW60" s="1">
        <v>4.8</v>
      </c>
      <c r="AX60" s="1">
        <v>15.219999999999999</v>
      </c>
      <c r="AY60" s="1">
        <v>0.33</v>
      </c>
      <c r="AZ60" s="1">
        <v>98180.099999999991</v>
      </c>
      <c r="BA60" s="1">
        <v>3850.2</v>
      </c>
      <c r="BB60" s="1">
        <v>125069.40000000001</v>
      </c>
      <c r="BC60" s="1">
        <v>4347</v>
      </c>
      <c r="BD60" s="1">
        <v>1209087.0000000002</v>
      </c>
      <c r="BE60" s="1">
        <v>37881</v>
      </c>
      <c r="BF60" s="1">
        <v>5.4027000000000003</v>
      </c>
      <c r="BG60" s="1">
        <v>5.9615999999999998</v>
      </c>
      <c r="BH60" s="1">
        <f t="shared" si="6"/>
        <v>223793.10344827588</v>
      </c>
      <c r="BI60" s="1">
        <f t="shared" si="7"/>
        <v>247043.63291713921</v>
      </c>
      <c r="BJ60" s="27">
        <v>1567.51</v>
      </c>
      <c r="BK60" s="27">
        <v>21.26</v>
      </c>
      <c r="BL60" s="27">
        <v>1461.4</v>
      </c>
      <c r="BM60" s="27">
        <v>36.6</v>
      </c>
      <c r="BN60" s="27">
        <v>1713.49</v>
      </c>
      <c r="BO60" s="27">
        <v>35.03</v>
      </c>
      <c r="BP60" s="27">
        <v>1591.57</v>
      </c>
      <c r="BQ60" s="27">
        <v>20.65</v>
      </c>
      <c r="BR60" s="27">
        <v>6.9</v>
      </c>
    </row>
    <row r="61" spans="1:70" x14ac:dyDescent="0.2">
      <c r="A61" t="s">
        <v>992</v>
      </c>
      <c r="B61" t="s">
        <v>38</v>
      </c>
      <c r="C61" t="s">
        <v>993</v>
      </c>
      <c r="D61" t="s">
        <v>994</v>
      </c>
      <c r="E61">
        <v>78299</v>
      </c>
      <c r="F61">
        <v>44461</v>
      </c>
      <c r="G61" t="s">
        <v>994</v>
      </c>
      <c r="H61" s="1">
        <v>245</v>
      </c>
      <c r="I61" s="1">
        <v>263</v>
      </c>
      <c r="J61" s="10">
        <v>0.18310000000000001</v>
      </c>
      <c r="K61" s="10">
        <f t="shared" ca="1" si="0"/>
        <v>4.6712144031290197E-3</v>
      </c>
      <c r="L61" s="7">
        <v>2.6669999999999999E-2</v>
      </c>
      <c r="M61" s="7">
        <f t="shared" ca="1" si="1"/>
        <v>6.6076891573378356E-4</v>
      </c>
      <c r="N61" s="7">
        <v>0.75822000000000001</v>
      </c>
      <c r="O61" s="8">
        <v>37.495310000000003</v>
      </c>
      <c r="P61" s="8">
        <f t="shared" ca="1" si="2"/>
        <v>0.92897397026967332</v>
      </c>
      <c r="Q61" s="9">
        <v>4.9779999999999998E-2</v>
      </c>
      <c r="R61" s="9">
        <f t="shared" ca="1" si="3"/>
        <v>1.1374178475828485E-3</v>
      </c>
      <c r="S61" s="8">
        <f t="shared" si="4"/>
        <v>0.51945959828914989</v>
      </c>
      <c r="T61" s="11">
        <v>8.3099999999999997E-3</v>
      </c>
      <c r="U61" s="11">
        <f t="shared" ca="1" si="5"/>
        <v>1.939650483979008E-4</v>
      </c>
      <c r="V61" s="6" t="e">
        <f ca="1">IF(agePb6U8(1/O61)&lt;1400,age7corr(1/O61,Q61,$W$2),agePb76(Q61))</f>
        <v>#NAME?</v>
      </c>
      <c r="W61" s="6" t="e">
        <f ca="1">IF(agePb6U8(1/O61)&lt;1400,ageer7corr(V61,1/O61,P61/O61*(1/O61),Q61,R61,$W$2,0.05),ageerPb76(Q61,R61))</f>
        <v>#NAME?</v>
      </c>
      <c r="X61" s="4" t="e">
        <f ca="1">agePb6U8(L61)/agePb7u5(J61)</f>
        <v>#NAME?</v>
      </c>
      <c r="Y61" s="3"/>
      <c r="Z61" s="1">
        <v>0.18310000000000001</v>
      </c>
      <c r="AA61" s="1">
        <v>2.8999999999999998E-3</v>
      </c>
      <c r="AB61" s="1">
        <v>2.6669999999999999E-2</v>
      </c>
      <c r="AC61" s="1">
        <v>3.8999999999999999E-4</v>
      </c>
      <c r="AD61" s="1">
        <v>0.75822000000000001</v>
      </c>
      <c r="AE61" s="1">
        <v>37.495310000000003</v>
      </c>
      <c r="AF61" s="1">
        <v>0.54830040000000002</v>
      </c>
      <c r="AG61" s="1">
        <v>4.9779999999999998E-2</v>
      </c>
      <c r="AH61" s="1">
        <v>5.5000000000000003E-4</v>
      </c>
      <c r="AI61" s="1">
        <v>0.18561</v>
      </c>
      <c r="AJ61" s="1">
        <v>8.3099999999999997E-3</v>
      </c>
      <c r="AK61" s="1">
        <v>1E-4</v>
      </c>
      <c r="AL61" s="1">
        <v>3.181</v>
      </c>
      <c r="AM61" s="1">
        <v>1.7000000000000001E-2</v>
      </c>
      <c r="AN61" s="1">
        <v>170.7</v>
      </c>
      <c r="AO61" s="1">
        <v>2.5</v>
      </c>
      <c r="AP61" s="1">
        <v>169.7</v>
      </c>
      <c r="AQ61" s="1">
        <v>2.5</v>
      </c>
      <c r="AR61" s="1">
        <v>167.3</v>
      </c>
      <c r="AS61" s="1">
        <v>2</v>
      </c>
      <c r="AT61" s="1">
        <v>183</v>
      </c>
      <c r="AU61" s="1">
        <v>26</v>
      </c>
      <c r="AV61" s="1">
        <v>52.5</v>
      </c>
      <c r="AW61" s="1">
        <v>1.5</v>
      </c>
      <c r="AX61" s="1">
        <v>20.6</v>
      </c>
      <c r="AY61" s="1">
        <v>1</v>
      </c>
      <c r="AZ61" s="1">
        <v>13953.869999999999</v>
      </c>
      <c r="BA61" s="1">
        <v>496.8</v>
      </c>
      <c r="BB61" s="1">
        <v>2726.19</v>
      </c>
      <c r="BC61" s="1">
        <v>93.15</v>
      </c>
      <c r="BD61" s="1">
        <v>55206.9</v>
      </c>
      <c r="BE61" s="1">
        <v>1800.9</v>
      </c>
      <c r="BF61" s="1">
        <v>-7.5141000000000009</v>
      </c>
      <c r="BG61" s="1">
        <v>3.7881000000000005</v>
      </c>
      <c r="BH61" s="1">
        <f t="shared" si="6"/>
        <v>-7347.1074380165282</v>
      </c>
      <c r="BI61" s="1">
        <f t="shared" si="7"/>
        <v>-3711.6597210575151</v>
      </c>
      <c r="BJ61" s="27">
        <v>171.29</v>
      </c>
      <c r="BK61" s="27">
        <v>3.52</v>
      </c>
      <c r="BL61" s="27">
        <v>169.65</v>
      </c>
      <c r="BM61" s="27">
        <v>4.1500000000000004</v>
      </c>
      <c r="BN61" s="27">
        <v>193.95</v>
      </c>
      <c r="BO61" s="27">
        <v>46.5</v>
      </c>
      <c r="BP61" s="27">
        <v>170.84</v>
      </c>
      <c r="BQ61" s="27">
        <v>3.41</v>
      </c>
      <c r="BR61" s="27">
        <v>0.72</v>
      </c>
    </row>
    <row r="62" spans="1:70" x14ac:dyDescent="0.2">
      <c r="A62" t="s">
        <v>995</v>
      </c>
      <c r="B62" t="s">
        <v>38</v>
      </c>
      <c r="C62" t="s">
        <v>996</v>
      </c>
      <c r="D62" t="s">
        <v>997</v>
      </c>
      <c r="E62">
        <v>78223</v>
      </c>
      <c r="F62">
        <v>44608</v>
      </c>
      <c r="G62" t="s">
        <v>997</v>
      </c>
      <c r="H62" s="1">
        <v>137.30000000000001</v>
      </c>
      <c r="I62" s="1">
        <v>115.9</v>
      </c>
      <c r="J62" s="10">
        <v>1.806</v>
      </c>
      <c r="K62" s="10">
        <f t="shared" ca="1" si="0"/>
        <v>5.3894845764692563E-2</v>
      </c>
      <c r="L62" s="7">
        <v>0.1736</v>
      </c>
      <c r="M62" s="7">
        <f t="shared" ca="1" si="1"/>
        <v>5.0014781814979462E-3</v>
      </c>
      <c r="N62" s="7">
        <v>0.95223999999999998</v>
      </c>
      <c r="O62" s="8">
        <v>5.7603689999999999</v>
      </c>
      <c r="P62" s="8">
        <f t="shared" ca="1" si="2"/>
        <v>0.1659582533880867</v>
      </c>
      <c r="Q62" s="9">
        <v>7.5200000000000003E-2</v>
      </c>
      <c r="R62" s="9">
        <f t="shared" ca="1" si="3"/>
        <v>1.5980037546889558E-3</v>
      </c>
      <c r="S62" s="8">
        <f t="shared" si="4"/>
        <v>0.47920470169037477</v>
      </c>
      <c r="T62" s="11">
        <v>5.3800000000000001E-2</v>
      </c>
      <c r="U62" s="11">
        <f t="shared" ca="1" si="5"/>
        <v>1.4689370306449493E-3</v>
      </c>
      <c r="V62" s="6" t="e">
        <f ca="1">IF(agePb6U8(1/O62)&lt;1400,age7corr(1/O62,Q62,$W$2),agePb76(Q62))</f>
        <v>#NAME?</v>
      </c>
      <c r="W62" s="6" t="e">
        <f ca="1">IF(agePb6U8(1/O62)&lt;1400,ageer7corr(V62,1/O62,P62/O62*(1/O62),Q62,R62,$W$2,0.05),ageerPb76(Q62,R62))</f>
        <v>#NAME?</v>
      </c>
      <c r="X62" s="4" t="e">
        <f ca="1">agePb6U8(L62)/agePb7u5(J62)</f>
        <v>#NAME?</v>
      </c>
      <c r="Y62" s="3"/>
      <c r="Z62" s="1">
        <v>1.806</v>
      </c>
      <c r="AA62" s="1">
        <v>0.04</v>
      </c>
      <c r="AB62" s="1">
        <v>0.1736</v>
      </c>
      <c r="AC62" s="1">
        <v>3.5999999999999999E-3</v>
      </c>
      <c r="AD62" s="1">
        <v>0.95223999999999998</v>
      </c>
      <c r="AE62" s="1">
        <v>5.7603689999999999</v>
      </c>
      <c r="AF62" s="1">
        <v>0.11945459999999999</v>
      </c>
      <c r="AG62" s="1">
        <v>7.5200000000000003E-2</v>
      </c>
      <c r="AH62" s="1">
        <v>5.4000000000000001E-4</v>
      </c>
      <c r="AI62" s="1">
        <v>-0.23637</v>
      </c>
      <c r="AJ62" s="1">
        <v>5.3800000000000001E-2</v>
      </c>
      <c r="AK62" s="1">
        <v>1E-3</v>
      </c>
      <c r="AL62" s="1">
        <v>4.0430000000000001</v>
      </c>
      <c r="AM62" s="1">
        <v>9.5000000000000001E-2</v>
      </c>
      <c r="AN62" s="1">
        <v>1047</v>
      </c>
      <c r="AO62" s="1">
        <v>14</v>
      </c>
      <c r="AP62" s="1">
        <v>1032</v>
      </c>
      <c r="AQ62" s="1">
        <v>20</v>
      </c>
      <c r="AR62" s="1">
        <v>1059</v>
      </c>
      <c r="AS62" s="1">
        <v>20</v>
      </c>
      <c r="AT62" s="1">
        <v>1073</v>
      </c>
      <c r="AU62" s="1">
        <v>14</v>
      </c>
      <c r="AV62" s="1">
        <v>29.4</v>
      </c>
      <c r="AW62" s="1">
        <v>1</v>
      </c>
      <c r="AX62" s="1">
        <v>9.08</v>
      </c>
      <c r="AY62" s="1">
        <v>0.18000000000000002</v>
      </c>
      <c r="AZ62" s="1">
        <v>39557.699999999997</v>
      </c>
      <c r="BA62" s="1">
        <v>745.2</v>
      </c>
      <c r="BB62" s="1">
        <v>14754.960000000001</v>
      </c>
      <c r="BC62" s="1">
        <v>459.54</v>
      </c>
      <c r="BD62" s="1">
        <v>198720</v>
      </c>
      <c r="BE62" s="1">
        <v>6210</v>
      </c>
      <c r="BF62" s="1">
        <v>9.3770999999999987</v>
      </c>
      <c r="BG62" s="1">
        <v>5.8995000000000006</v>
      </c>
      <c r="BH62" s="1">
        <f t="shared" si="6"/>
        <v>21192.052980132452</v>
      </c>
      <c r="BI62" s="1">
        <f t="shared" si="7"/>
        <v>13349.185799783738</v>
      </c>
      <c r="BJ62" s="27">
        <v>1043.46</v>
      </c>
      <c r="BK62" s="27">
        <v>18.75</v>
      </c>
      <c r="BL62" s="27">
        <v>1031.98</v>
      </c>
      <c r="BM62" s="27">
        <v>28.14</v>
      </c>
      <c r="BN62" s="27">
        <v>1067.5999999999999</v>
      </c>
      <c r="BO62" s="27">
        <v>53.61</v>
      </c>
      <c r="BP62" s="27">
        <v>1042.47</v>
      </c>
      <c r="BQ62" s="27">
        <v>18.72</v>
      </c>
      <c r="BR62" s="27">
        <v>0.96</v>
      </c>
    </row>
    <row r="63" spans="1:70" x14ac:dyDescent="0.2">
      <c r="A63" t="s">
        <v>998</v>
      </c>
      <c r="B63" t="s">
        <v>38</v>
      </c>
      <c r="C63" t="s">
        <v>999</v>
      </c>
      <c r="D63" t="s">
        <v>1000</v>
      </c>
      <c r="E63">
        <v>78203</v>
      </c>
      <c r="F63">
        <v>44776</v>
      </c>
      <c r="G63" t="s">
        <v>1000</v>
      </c>
      <c r="H63" s="1">
        <v>314</v>
      </c>
      <c r="I63" s="1">
        <v>143.5</v>
      </c>
      <c r="J63" s="10">
        <v>0.52700000000000002</v>
      </c>
      <c r="K63" s="10">
        <f t="shared" ca="1" si="0"/>
        <v>1.6735937380379984E-2</v>
      </c>
      <c r="L63" s="7">
        <v>6.4000000000000001E-2</v>
      </c>
      <c r="M63" s="7">
        <f t="shared" ca="1" si="1"/>
        <v>1.9719026345131748E-3</v>
      </c>
      <c r="N63" s="7">
        <v>0.94688000000000005</v>
      </c>
      <c r="O63" s="8">
        <v>15.625</v>
      </c>
      <c r="P63" s="8">
        <f t="shared" ca="1" si="2"/>
        <v>0.48142151310344455</v>
      </c>
      <c r="Q63" s="9">
        <v>6.0100000000000001E-2</v>
      </c>
      <c r="R63" s="9">
        <f t="shared" ca="1" si="3"/>
        <v>1.2732650941575364E-3</v>
      </c>
      <c r="S63" s="8">
        <f t="shared" si="4"/>
        <v>0.43715642665525162</v>
      </c>
      <c r="T63" s="11">
        <v>2.334E-2</v>
      </c>
      <c r="U63" s="11">
        <f t="shared" ca="1" si="5"/>
        <v>6.8403380033445725E-4</v>
      </c>
      <c r="V63" s="6" t="e">
        <f ca="1">IF(agePb6U8(1/O63)&lt;1400,age7corr(1/O63,Q63,$W$2),agePb76(Q63))</f>
        <v>#NAME?</v>
      </c>
      <c r="W63" s="6" t="e">
        <f ca="1">IF(agePb6U8(1/O63)&lt;1400,ageer7corr(V63,1/O63,P63/O63*(1/O63),Q63,R63,$W$2,0.05),ageerPb76(Q63,R63))</f>
        <v>#NAME?</v>
      </c>
      <c r="X63" s="4" t="e">
        <f ca="1">agePb6U8(L63)/agePb7u5(J63)</f>
        <v>#NAME?</v>
      </c>
      <c r="Y63" s="3"/>
      <c r="Z63" s="1">
        <v>0.52700000000000002</v>
      </c>
      <c r="AA63" s="1">
        <v>1.2999999999999999E-2</v>
      </c>
      <c r="AB63" s="1">
        <v>6.4000000000000001E-2</v>
      </c>
      <c r="AC63" s="1">
        <v>1.5E-3</v>
      </c>
      <c r="AD63" s="1">
        <v>0.94688000000000005</v>
      </c>
      <c r="AE63" s="1">
        <v>15.625</v>
      </c>
      <c r="AF63" s="1">
        <v>0.36621090000000001</v>
      </c>
      <c r="AG63" s="1">
        <v>6.0100000000000001E-2</v>
      </c>
      <c r="AH63" s="1">
        <v>4.2000000000000002E-4</v>
      </c>
      <c r="AI63" s="1">
        <v>-0.29558000000000001</v>
      </c>
      <c r="AJ63" s="1">
        <v>2.334E-2</v>
      </c>
      <c r="AK63" s="1">
        <v>5.0000000000000001E-4</v>
      </c>
      <c r="AL63" s="1">
        <v>6.44</v>
      </c>
      <c r="AM63" s="1">
        <v>0.13</v>
      </c>
      <c r="AN63" s="1">
        <v>429.5</v>
      </c>
      <c r="AO63" s="1">
        <v>8.8000000000000007</v>
      </c>
      <c r="AP63" s="1">
        <v>399.7</v>
      </c>
      <c r="AQ63" s="1">
        <v>9.1999999999999993</v>
      </c>
      <c r="AR63" s="1">
        <v>466.3</v>
      </c>
      <c r="AS63" s="1">
        <v>9.9</v>
      </c>
      <c r="AT63" s="1">
        <v>607</v>
      </c>
      <c r="AU63" s="1">
        <v>15</v>
      </c>
      <c r="AV63" s="1">
        <v>67.2</v>
      </c>
      <c r="AW63" s="1">
        <v>2.2000000000000002</v>
      </c>
      <c r="AX63" s="1">
        <v>11.25</v>
      </c>
      <c r="AY63" s="1">
        <v>0.19</v>
      </c>
      <c r="AZ63" s="1">
        <v>21064.32</v>
      </c>
      <c r="BA63" s="1">
        <v>385.02</v>
      </c>
      <c r="BB63" s="1">
        <v>10178.189999999999</v>
      </c>
      <c r="BC63" s="1">
        <v>217.35</v>
      </c>
      <c r="BD63" s="1">
        <v>169781.4</v>
      </c>
      <c r="BE63" s="1">
        <v>4036.4999999999991</v>
      </c>
      <c r="BF63" s="1">
        <v>70.173000000000002</v>
      </c>
      <c r="BG63" s="1">
        <v>7.4519999999999991</v>
      </c>
      <c r="BH63" s="1">
        <f t="shared" si="6"/>
        <v>2419.4690265486724</v>
      </c>
      <c r="BI63" s="1">
        <f t="shared" si="7"/>
        <v>263.29502013517225</v>
      </c>
      <c r="BJ63" s="27">
        <v>431.18</v>
      </c>
      <c r="BK63" s="27">
        <v>9.75</v>
      </c>
      <c r="BL63" s="27">
        <v>399.78</v>
      </c>
      <c r="BM63" s="27">
        <v>11.9</v>
      </c>
      <c r="BN63" s="27">
        <v>602.6</v>
      </c>
      <c r="BO63" s="27">
        <v>36.07</v>
      </c>
      <c r="BP63" s="27">
        <v>432.97</v>
      </c>
      <c r="BQ63" s="27">
        <v>10.029999999999999</v>
      </c>
      <c r="BR63" s="27">
        <v>6.5</v>
      </c>
    </row>
    <row r="64" spans="1:70" x14ac:dyDescent="0.2">
      <c r="A64" t="s">
        <v>1001</v>
      </c>
      <c r="B64" t="s">
        <v>38</v>
      </c>
      <c r="C64" t="s">
        <v>1002</v>
      </c>
      <c r="D64" t="s">
        <v>1003</v>
      </c>
      <c r="E64">
        <v>78340</v>
      </c>
      <c r="F64">
        <v>45603</v>
      </c>
      <c r="G64" t="s">
        <v>1003</v>
      </c>
      <c r="H64" s="1">
        <v>182.3</v>
      </c>
      <c r="I64" s="1">
        <v>67.900000000000006</v>
      </c>
      <c r="J64" s="10">
        <v>2.0110000000000001</v>
      </c>
      <c r="K64" s="10">
        <f t="shared" ca="1" si="0"/>
        <v>5.7433861092564556E-2</v>
      </c>
      <c r="L64" s="7">
        <v>0.18940000000000001</v>
      </c>
      <c r="M64" s="7">
        <f t="shared" ca="1" si="1"/>
        <v>5.4368137727900893E-3</v>
      </c>
      <c r="N64" s="7">
        <v>0.95574000000000003</v>
      </c>
      <c r="O64" s="8">
        <v>5.2798309999999997</v>
      </c>
      <c r="P64" s="8">
        <f t="shared" ca="1" si="2"/>
        <v>0.15155996710498587</v>
      </c>
      <c r="Q64" s="9">
        <v>7.7880000000000005E-2</v>
      </c>
      <c r="R64" s="9">
        <f t="shared" ca="1" si="3"/>
        <v>1.6241052182663538E-3</v>
      </c>
      <c r="S64" s="8">
        <f t="shared" si="4"/>
        <v>0.4608719577469319</v>
      </c>
      <c r="T64" s="11">
        <v>5.8099999999999999E-2</v>
      </c>
      <c r="U64" s="11">
        <f t="shared" ca="1" si="5"/>
        <v>1.6704023467416465E-3</v>
      </c>
      <c r="V64" s="6" t="e">
        <f ca="1">IF(agePb6U8(1/O64)&lt;1400,age7corr(1/O64,Q64,$W$2),agePb76(Q64))</f>
        <v>#NAME?</v>
      </c>
      <c r="W64" s="6" t="e">
        <f ca="1">IF(agePb6U8(1/O64)&lt;1400,ageer7corr(V64,1/O64,P64/O64*(1/O64),Q64,R64,$W$2,0.05),ageerPb76(Q64,R64))</f>
        <v>#NAME?</v>
      </c>
      <c r="X64" s="4" t="e">
        <f ca="1">agePb6U8(L64)/agePb7u5(J64)</f>
        <v>#NAME?</v>
      </c>
      <c r="Y64" s="3"/>
      <c r="Z64" s="1">
        <v>2.0110000000000001</v>
      </c>
      <c r="AA64" s="1">
        <v>4.1000000000000002E-2</v>
      </c>
      <c r="AB64" s="1">
        <v>0.18940000000000001</v>
      </c>
      <c r="AC64" s="1">
        <v>3.8999999999999998E-3</v>
      </c>
      <c r="AD64" s="1">
        <v>0.95574000000000003</v>
      </c>
      <c r="AE64" s="1">
        <v>5.2798309999999997</v>
      </c>
      <c r="AF64" s="1">
        <v>0.1087188</v>
      </c>
      <c r="AG64" s="1">
        <v>7.7880000000000005E-2</v>
      </c>
      <c r="AH64" s="1">
        <v>4.6000000000000001E-4</v>
      </c>
      <c r="AI64" s="1">
        <v>0.16206000000000001</v>
      </c>
      <c r="AJ64" s="1">
        <v>5.8099999999999999E-2</v>
      </c>
      <c r="AK64" s="1">
        <v>1.1999999999999999E-3</v>
      </c>
      <c r="AL64" s="1">
        <v>9.1059999999999999</v>
      </c>
      <c r="AM64" s="1">
        <v>2.5999999999999999E-2</v>
      </c>
      <c r="AN64" s="1">
        <v>1119</v>
      </c>
      <c r="AO64" s="1">
        <v>14</v>
      </c>
      <c r="AP64" s="1">
        <v>1118</v>
      </c>
      <c r="AQ64" s="1">
        <v>21</v>
      </c>
      <c r="AR64" s="1">
        <v>1141</v>
      </c>
      <c r="AS64" s="1">
        <v>22</v>
      </c>
      <c r="AT64" s="1">
        <v>1144</v>
      </c>
      <c r="AU64" s="1">
        <v>12</v>
      </c>
      <c r="AV64" s="1">
        <v>39.03</v>
      </c>
      <c r="AW64" s="1">
        <v>0.79</v>
      </c>
      <c r="AX64" s="1">
        <v>5.3229999999999995</v>
      </c>
      <c r="AY64" s="1">
        <v>9.1999999999999998E-2</v>
      </c>
      <c r="AZ64" s="1">
        <v>25554.149999999998</v>
      </c>
      <c r="BA64" s="1">
        <v>490.59000000000003</v>
      </c>
      <c r="BB64" s="1">
        <v>22120.019999999997</v>
      </c>
      <c r="BC64" s="1">
        <v>422.28000000000003</v>
      </c>
      <c r="BD64" s="1">
        <v>286902</v>
      </c>
      <c r="BE64" s="1">
        <v>5216.3999999999996</v>
      </c>
      <c r="BF64" s="1">
        <v>6.8310000000000004</v>
      </c>
      <c r="BG64" s="1">
        <v>5.2164000000000001</v>
      </c>
      <c r="BH64" s="1">
        <f t="shared" si="6"/>
        <v>42000</v>
      </c>
      <c r="BI64" s="1">
        <f t="shared" si="7"/>
        <v>32081.816893789095</v>
      </c>
      <c r="BJ64" s="27">
        <v>1127.6099999999999</v>
      </c>
      <c r="BK64" s="27">
        <v>19.190000000000001</v>
      </c>
      <c r="BL64" s="27">
        <v>1118.0899999999999</v>
      </c>
      <c r="BM64" s="27">
        <v>29.16</v>
      </c>
      <c r="BN64" s="27">
        <v>1145.98</v>
      </c>
      <c r="BO64" s="27">
        <v>50.95</v>
      </c>
      <c r="BP64" s="27">
        <v>1126.94</v>
      </c>
      <c r="BQ64" s="27">
        <v>19.18</v>
      </c>
      <c r="BR64" s="27">
        <v>0.74</v>
      </c>
    </row>
    <row r="65" spans="1:70" x14ac:dyDescent="0.2">
      <c r="A65" t="s">
        <v>1004</v>
      </c>
      <c r="B65" t="s">
        <v>38</v>
      </c>
      <c r="C65" t="s">
        <v>1005</v>
      </c>
      <c r="D65" t="s">
        <v>1006</v>
      </c>
      <c r="E65">
        <v>78405</v>
      </c>
      <c r="F65">
        <v>45658</v>
      </c>
      <c r="G65" t="s">
        <v>1006</v>
      </c>
      <c r="H65" s="1">
        <v>153</v>
      </c>
      <c r="I65" s="1">
        <v>110.9</v>
      </c>
      <c r="J65" s="10">
        <v>0.35370000000000001</v>
      </c>
      <c r="K65" s="10">
        <f t="shared" ca="1" si="0"/>
        <v>1.0981870332507119E-2</v>
      </c>
      <c r="L65" s="7">
        <v>4.845E-2</v>
      </c>
      <c r="M65" s="7">
        <f t="shared" ca="1" si="1"/>
        <v>1.1837909443816505E-3</v>
      </c>
      <c r="N65" s="7">
        <v>0.93837000000000004</v>
      </c>
      <c r="O65" s="8">
        <v>20.63983</v>
      </c>
      <c r="P65" s="8">
        <f t="shared" ca="1" si="2"/>
        <v>0.50429816196291055</v>
      </c>
      <c r="Q65" s="9">
        <v>5.2690000000000001E-2</v>
      </c>
      <c r="R65" s="9">
        <f t="shared" ca="1" si="3"/>
        <v>1.188694426671548E-3</v>
      </c>
      <c r="S65" s="8">
        <f t="shared" si="4"/>
        <v>0.44444622660483113</v>
      </c>
      <c r="T65" s="11">
        <v>1.6469999999999999E-2</v>
      </c>
      <c r="U65" s="11">
        <f t="shared" ca="1" si="5"/>
        <v>4.4553828118355885E-4</v>
      </c>
      <c r="V65" s="6" t="e">
        <f ca="1">IF(agePb6U8(1/O65)&lt;1400,age7corr(1/O65,Q65,$W$2),agePb76(Q65))</f>
        <v>#NAME?</v>
      </c>
      <c r="W65" s="6" t="e">
        <f ca="1">IF(agePb6U8(1/O65)&lt;1400,ageer7corr(V65,1/O65,P65/O65*(1/O65),Q65,R65,$W$2,0.05),ageerPb76(Q65,R65))</f>
        <v>#NAME?</v>
      </c>
      <c r="X65" s="4" t="e">
        <f ca="1">agePb6U8(L65)/agePb7u5(J65)</f>
        <v>#NAME?</v>
      </c>
      <c r="Y65" s="3"/>
      <c r="Z65" s="1">
        <v>0.35370000000000001</v>
      </c>
      <c r="AA65" s="1">
        <v>8.3999999999999995E-3</v>
      </c>
      <c r="AB65" s="1">
        <v>4.845E-2</v>
      </c>
      <c r="AC65" s="1">
        <v>6.8000000000000005E-4</v>
      </c>
      <c r="AD65" s="1">
        <v>0.93837000000000004</v>
      </c>
      <c r="AE65" s="1">
        <v>20.63983</v>
      </c>
      <c r="AF65" s="1">
        <v>0.28968189999999999</v>
      </c>
      <c r="AG65" s="1">
        <v>5.2690000000000001E-2</v>
      </c>
      <c r="AH65" s="1">
        <v>5.5000000000000003E-4</v>
      </c>
      <c r="AI65" s="1">
        <v>-0.27106000000000002</v>
      </c>
      <c r="AJ65" s="1">
        <v>1.6469999999999999E-2</v>
      </c>
      <c r="AK65" s="1">
        <v>2.9999999999999997E-4</v>
      </c>
      <c r="AL65" s="1">
        <v>4.4290000000000003</v>
      </c>
      <c r="AM65" s="1">
        <v>7.6999999999999999E-2</v>
      </c>
      <c r="AN65" s="1">
        <v>307.39999999999998</v>
      </c>
      <c r="AO65" s="1">
        <v>6.3</v>
      </c>
      <c r="AP65" s="1">
        <v>305</v>
      </c>
      <c r="AQ65" s="1">
        <v>4.2</v>
      </c>
      <c r="AR65" s="1">
        <v>330.3</v>
      </c>
      <c r="AS65" s="1">
        <v>5.9</v>
      </c>
      <c r="AT65" s="1">
        <v>315</v>
      </c>
      <c r="AU65" s="1">
        <v>24</v>
      </c>
      <c r="AV65" s="1">
        <v>32.700000000000003</v>
      </c>
      <c r="AW65" s="1">
        <v>2.2000000000000002</v>
      </c>
      <c r="AX65" s="1">
        <v>8.69</v>
      </c>
      <c r="AY65" s="1">
        <v>0.55999999999999994</v>
      </c>
      <c r="AZ65" s="1">
        <v>11302.199999999999</v>
      </c>
      <c r="BA65" s="1">
        <v>807.3</v>
      </c>
      <c r="BB65" s="1">
        <v>3247.83</v>
      </c>
      <c r="BC65" s="1">
        <v>186.3</v>
      </c>
      <c r="BD65" s="1">
        <v>62410.500000000007</v>
      </c>
      <c r="BE65" s="1">
        <v>3477.6</v>
      </c>
      <c r="BF65" s="1">
        <v>5.0301</v>
      </c>
      <c r="BG65" s="1">
        <v>5.6510999999999996</v>
      </c>
      <c r="BH65" s="1">
        <f t="shared" si="6"/>
        <v>12407.407407407409</v>
      </c>
      <c r="BI65" s="1">
        <f t="shared" si="7"/>
        <v>13956.320612533063</v>
      </c>
      <c r="BJ65" s="27">
        <v>307.64999999999998</v>
      </c>
      <c r="BK65" s="27">
        <v>6.17</v>
      </c>
      <c r="BL65" s="27">
        <v>305</v>
      </c>
      <c r="BM65" s="27">
        <v>7.22</v>
      </c>
      <c r="BN65" s="27">
        <v>327.78</v>
      </c>
      <c r="BO65" s="27">
        <v>42.82</v>
      </c>
      <c r="BP65" s="27">
        <v>306.95</v>
      </c>
      <c r="BQ65" s="27">
        <v>6.02</v>
      </c>
      <c r="BR65" s="27">
        <v>0.67</v>
      </c>
    </row>
    <row r="66" spans="1:70" x14ac:dyDescent="0.2">
      <c r="A66" t="s">
        <v>1007</v>
      </c>
      <c r="B66" t="s">
        <v>38</v>
      </c>
      <c r="C66" t="s">
        <v>1008</v>
      </c>
      <c r="D66" t="s">
        <v>1009</v>
      </c>
      <c r="E66">
        <v>78409</v>
      </c>
      <c r="F66">
        <v>45730</v>
      </c>
      <c r="G66" t="s">
        <v>1009</v>
      </c>
      <c r="H66" s="1">
        <v>149.1</v>
      </c>
      <c r="I66" s="1">
        <v>29.83</v>
      </c>
      <c r="J66" s="10">
        <v>1.5680000000000001</v>
      </c>
      <c r="K66" s="10">
        <f t="shared" ref="K66:K71" ca="1" si="8">SQRT(K$2^2+(AA66/Z66)^2)*J66</f>
        <v>5.5672700670975177E-2</v>
      </c>
      <c r="L66" s="7">
        <v>0.15540000000000001</v>
      </c>
      <c r="M66" s="7">
        <f t="shared" ref="M66:M71" ca="1" si="9">SQRT(M$2^2+(AC66/AB66)^2)*L66</f>
        <v>4.9091408616987143E-3</v>
      </c>
      <c r="N66" s="7">
        <v>0.87351999999999996</v>
      </c>
      <c r="O66" s="8">
        <v>6.4350059999999996</v>
      </c>
      <c r="P66" s="8">
        <f t="shared" ref="P66:P71" ca="1" si="10">SQRT(P$2^2+(AF66/AE66)^2)*O66</f>
        <v>0.20328414300474693</v>
      </c>
      <c r="Q66" s="9">
        <v>7.3599999999999999E-2</v>
      </c>
      <c r="R66" s="9">
        <f t="shared" ref="R66:R71" ca="1" si="11">SQRT(R$2^2+(AH66/AG66)^2)*Q66</f>
        <v>1.8376027862408134E-3</v>
      </c>
      <c r="S66" s="8">
        <f t="shared" ref="S66:S71" si="12">(((BE66/BD66)^2+(AW66/AV66)^2)+((BE66/BD66)^2+(BC66/BB66)^2)-((BC66/BB66)^2+(AW66/AV66)^2))/(2*SQRT((BE66/BD66)^2+(AW66/AV66)^2)*SQRT((BE66/BD66)^2+(BC66/BB66)^2))</f>
        <v>0.39846048643784587</v>
      </c>
      <c r="T66" s="11">
        <v>5.5300000000000002E-2</v>
      </c>
      <c r="U66" s="11">
        <f t="shared" ref="U66:U71" ca="1" si="13">SQRT(U$2^2+(AK66/AJ66)^2)*T66</f>
        <v>1.8636619865200878E-3</v>
      </c>
      <c r="V66" s="6" t="e">
        <f ca="1">IF(agePb6U8(1/O66)&lt;1400,age7corr(1/O66,Q66,$W$2),agePb76(Q66))</f>
        <v>#NAME?</v>
      </c>
      <c r="W66" s="6" t="e">
        <f ca="1">IF(agePb6U8(1/O66)&lt;1400,ageer7corr(V66,1/O66,P66/O66*(1/O66),Q66,R66,$W$2,0.05),ageerPb76(Q66,R66))</f>
        <v>#NAME?</v>
      </c>
      <c r="X66" s="4" t="e">
        <f ca="1">agePb6U8(L66)/agePb7u5(J66)</f>
        <v>#NAME?</v>
      </c>
      <c r="Y66" s="3"/>
      <c r="Z66" s="1">
        <v>1.5680000000000001</v>
      </c>
      <c r="AA66" s="1">
        <v>4.5999999999999999E-2</v>
      </c>
      <c r="AB66" s="1">
        <v>0.15540000000000001</v>
      </c>
      <c r="AC66" s="1">
        <v>3.8E-3</v>
      </c>
      <c r="AD66" s="1">
        <v>0.87351999999999996</v>
      </c>
      <c r="AE66" s="1">
        <v>6.4350059999999996</v>
      </c>
      <c r="AF66" s="1">
        <v>0.15735540000000001</v>
      </c>
      <c r="AG66" s="1">
        <v>7.3599999999999999E-2</v>
      </c>
      <c r="AH66" s="1">
        <v>1.1000000000000001E-3</v>
      </c>
      <c r="AI66" s="1">
        <v>-0.35260999999999998</v>
      </c>
      <c r="AJ66" s="1">
        <v>5.5300000000000002E-2</v>
      </c>
      <c r="AK66" s="1">
        <v>1.5E-3</v>
      </c>
      <c r="AL66" s="1">
        <v>15.18</v>
      </c>
      <c r="AM66" s="1">
        <v>0.28999999999999998</v>
      </c>
      <c r="AN66" s="1">
        <v>957</v>
      </c>
      <c r="AO66" s="1">
        <v>18</v>
      </c>
      <c r="AP66" s="1">
        <v>931</v>
      </c>
      <c r="AQ66" s="1">
        <v>21</v>
      </c>
      <c r="AR66" s="1">
        <v>1089</v>
      </c>
      <c r="AS66" s="1">
        <v>28</v>
      </c>
      <c r="AT66" s="1">
        <v>1030</v>
      </c>
      <c r="AU66" s="1">
        <v>29</v>
      </c>
      <c r="AV66" s="1">
        <v>31.91</v>
      </c>
      <c r="AW66" s="1">
        <v>0.82</v>
      </c>
      <c r="AX66" s="1">
        <v>2.3370000000000002</v>
      </c>
      <c r="AY66" s="1">
        <v>4.1999999999999996E-2</v>
      </c>
      <c r="AZ66" s="1">
        <v>10395.539999999999</v>
      </c>
      <c r="BA66" s="1">
        <v>378.81</v>
      </c>
      <c r="BB66" s="1">
        <v>14165.01</v>
      </c>
      <c r="BC66" s="1">
        <v>478.17000000000007</v>
      </c>
      <c r="BD66" s="1">
        <v>195428.7</v>
      </c>
      <c r="BE66" s="1">
        <v>4719.5999999999995</v>
      </c>
      <c r="BF66" s="1">
        <v>34.155000000000001</v>
      </c>
      <c r="BG66" s="1">
        <v>16.145999999999997</v>
      </c>
      <c r="BH66" s="1">
        <f t="shared" ref="BH66:BH71" si="14">BD66/BF66</f>
        <v>5721.818181818182</v>
      </c>
      <c r="BI66" s="1">
        <f t="shared" ref="BI66:BI71" si="15">SQRT((BG66/BF66)^2+(BE66/BD66)^2)*BH66</f>
        <v>2708.386817271582</v>
      </c>
      <c r="BJ66" s="27">
        <v>963.79</v>
      </c>
      <c r="BK66" s="27">
        <v>19.91</v>
      </c>
      <c r="BL66" s="27">
        <v>930.49</v>
      </c>
      <c r="BM66" s="27">
        <v>26.91</v>
      </c>
      <c r="BN66" s="27">
        <v>1040.56</v>
      </c>
      <c r="BO66" s="27">
        <v>54.55</v>
      </c>
      <c r="BP66" s="27">
        <v>959.19</v>
      </c>
      <c r="BQ66" s="27">
        <v>20.04</v>
      </c>
      <c r="BR66" s="27">
        <v>3</v>
      </c>
    </row>
    <row r="67" spans="1:70" x14ac:dyDescent="0.2">
      <c r="A67" t="s">
        <v>1010</v>
      </c>
      <c r="B67" t="s">
        <v>38</v>
      </c>
      <c r="C67" t="s">
        <v>1011</v>
      </c>
      <c r="D67" t="s">
        <v>1012</v>
      </c>
      <c r="E67">
        <v>78409</v>
      </c>
      <c r="F67">
        <v>45817</v>
      </c>
      <c r="G67" t="s">
        <v>1012</v>
      </c>
      <c r="H67" s="1">
        <v>49.3</v>
      </c>
      <c r="I67" s="1">
        <v>73.58</v>
      </c>
      <c r="J67" s="10">
        <v>0.19289999999999999</v>
      </c>
      <c r="K67" s="10">
        <f t="shared" ca="1" si="8"/>
        <v>9.4257182219712049E-3</v>
      </c>
      <c r="L67" s="7">
        <v>2.5510000000000001E-2</v>
      </c>
      <c r="M67" s="7">
        <f t="shared" ca="1" si="9"/>
        <v>8.0293464242116232E-4</v>
      </c>
      <c r="N67" s="7">
        <v>0.70126999999999995</v>
      </c>
      <c r="O67" s="8">
        <v>39.200310000000002</v>
      </c>
      <c r="P67" s="8">
        <f t="shared" ca="1" si="10"/>
        <v>1.2338411508222766</v>
      </c>
      <c r="Q67" s="9">
        <v>5.5899999999999998E-2</v>
      </c>
      <c r="R67" s="9">
        <f t="shared" ca="1" si="11"/>
        <v>2.2912712628582414E-3</v>
      </c>
      <c r="S67" s="8">
        <f t="shared" si="12"/>
        <v>0.37147735890198924</v>
      </c>
      <c r="T67" s="11">
        <v>9.1599999999999997E-3</v>
      </c>
      <c r="U67" s="11">
        <f t="shared" ca="1" si="13"/>
        <v>2.7122359779340735E-4</v>
      </c>
      <c r="V67" s="6" t="e">
        <f ca="1">IF(agePb6U8(1/O67)&lt;1400,age7corr(1/O67,Q67,$W$2),agePb76(Q67))</f>
        <v>#NAME?</v>
      </c>
      <c r="W67" s="6" t="e">
        <f ca="1">IF(agePb6U8(1/O67)&lt;1400,ageer7corr(V67,1/O67,P67/O67*(1/O67),Q67,R67,$W$2,0.05),ageerPb76(Q67,R67))</f>
        <v>#NAME?</v>
      </c>
      <c r="X67" s="4" t="e">
        <f ca="1">agePb6U8(L67)/agePb7u5(J67)</f>
        <v>#NAME?</v>
      </c>
      <c r="Y67" s="3"/>
      <c r="Z67" s="1">
        <v>0.19289999999999999</v>
      </c>
      <c r="AA67" s="1">
        <v>8.6E-3</v>
      </c>
      <c r="AB67" s="1">
        <v>2.5510000000000001E-2</v>
      </c>
      <c r="AC67" s="1">
        <v>6.2E-4</v>
      </c>
      <c r="AD67" s="1">
        <v>0.70126999999999995</v>
      </c>
      <c r="AE67" s="1">
        <v>39.200310000000002</v>
      </c>
      <c r="AF67" s="1">
        <v>0.95273200000000002</v>
      </c>
      <c r="AG67" s="1">
        <v>5.5899999999999998E-2</v>
      </c>
      <c r="AH67" s="1">
        <v>2E-3</v>
      </c>
      <c r="AI67" s="1">
        <v>-0.15095</v>
      </c>
      <c r="AJ67" s="1">
        <v>9.1599999999999997E-3</v>
      </c>
      <c r="AK67" s="1">
        <v>2.0000000000000001E-4</v>
      </c>
      <c r="AL67" s="1">
        <v>1.9910000000000001</v>
      </c>
      <c r="AM67" s="1">
        <v>1.6E-2</v>
      </c>
      <c r="AN67" s="1">
        <v>179</v>
      </c>
      <c r="AO67" s="1">
        <v>7.2</v>
      </c>
      <c r="AP67" s="1">
        <v>162.4</v>
      </c>
      <c r="AQ67" s="1">
        <v>3.9</v>
      </c>
      <c r="AR67" s="1">
        <v>184.4</v>
      </c>
      <c r="AS67" s="1">
        <v>4</v>
      </c>
      <c r="AT67" s="1">
        <v>439</v>
      </c>
      <c r="AU67" s="1">
        <v>78</v>
      </c>
      <c r="AV67" s="1">
        <v>10.55</v>
      </c>
      <c r="AW67" s="1">
        <v>0.34</v>
      </c>
      <c r="AX67" s="1">
        <v>5.7650000000000006</v>
      </c>
      <c r="AY67" s="1">
        <v>7.5999999999999998E-2</v>
      </c>
      <c r="AZ67" s="1">
        <v>4235.22</v>
      </c>
      <c r="BA67" s="1">
        <v>167.67000000000002</v>
      </c>
      <c r="BB67" s="1">
        <v>578.15100000000007</v>
      </c>
      <c r="BC67" s="1">
        <v>35.397000000000006</v>
      </c>
      <c r="BD67" s="1">
        <v>10668.78</v>
      </c>
      <c r="BE67" s="1">
        <v>378.81</v>
      </c>
      <c r="BF67" s="1">
        <v>10.8675</v>
      </c>
      <c r="BG67" s="1">
        <v>5.6510999999999996</v>
      </c>
      <c r="BH67" s="1">
        <f t="shared" si="14"/>
        <v>981.71428571428578</v>
      </c>
      <c r="BI67" s="1">
        <f t="shared" si="15"/>
        <v>511.68009444677563</v>
      </c>
      <c r="BJ67" s="27">
        <v>182.49</v>
      </c>
      <c r="BK67" s="27">
        <v>6.32</v>
      </c>
      <c r="BL67" s="27">
        <v>162.38999999999999</v>
      </c>
      <c r="BM67" s="27">
        <v>5.03</v>
      </c>
      <c r="BN67" s="27">
        <v>451.37</v>
      </c>
      <c r="BO67" s="27">
        <v>79.31</v>
      </c>
      <c r="BP67" s="27">
        <v>167.98</v>
      </c>
      <c r="BQ67" s="27">
        <v>4.78</v>
      </c>
      <c r="BR67" s="27">
        <v>9.1</v>
      </c>
    </row>
    <row r="68" spans="1:70" s="23" customFormat="1" x14ac:dyDescent="0.2">
      <c r="A68" s="23" t="s">
        <v>788</v>
      </c>
      <c r="B68" s="23" t="s">
        <v>38</v>
      </c>
      <c r="C68" s="23" t="s">
        <v>789</v>
      </c>
      <c r="D68" s="23" t="s">
        <v>790</v>
      </c>
      <c r="E68" s="23">
        <v>78678</v>
      </c>
      <c r="F68" s="23">
        <v>41649</v>
      </c>
      <c r="G68" s="23" t="s">
        <v>790</v>
      </c>
      <c r="H68" s="24">
        <v>80.099999999999994</v>
      </c>
      <c r="I68" s="24">
        <v>41.62</v>
      </c>
      <c r="J68" s="25">
        <v>2.524</v>
      </c>
      <c r="K68" s="25">
        <f t="shared" ca="1" si="8"/>
        <v>8.711618908101984E-2</v>
      </c>
      <c r="L68" s="26">
        <v>0.1792</v>
      </c>
      <c r="M68" s="26">
        <f t="shared" ca="1" si="9"/>
        <v>4.8718637090953195E-3</v>
      </c>
      <c r="N68" s="26">
        <v>0.69599999999999995</v>
      </c>
      <c r="O68" s="26">
        <v>5.5803570000000002</v>
      </c>
      <c r="P68" s="26">
        <f t="shared" ca="1" si="10"/>
        <v>0.15171173166854832</v>
      </c>
      <c r="Q68" s="25">
        <v>0.1041</v>
      </c>
      <c r="R68" s="25">
        <f t="shared" ca="1" si="11"/>
        <v>3.1772195391568392E-3</v>
      </c>
      <c r="S68" s="26">
        <f t="shared" si="12"/>
        <v>0.21284378480614866</v>
      </c>
      <c r="T68" s="25">
        <v>8.09E-2</v>
      </c>
      <c r="U68" s="25">
        <f t="shared" ca="1" si="13"/>
        <v>3.233871364170195E-3</v>
      </c>
      <c r="V68" s="24" t="e">
        <f ca="1">IF(agePb6U8(1/O68)&lt;1400,age7corr(1/O68,Q68,$W$2),agePb76(Q68))</f>
        <v>#NAME?</v>
      </c>
      <c r="W68" s="24" t="e">
        <f ca="1">IF(agePb6U8(1/O68)&lt;1400,ageer7corr(V68,1/O68,P68/O68*(1/O68),Q68,R68,$W$2,0.05),ageerPb76(Q68,R68))</f>
        <v>#NAME?</v>
      </c>
      <c r="X68" s="26" t="e">
        <f ca="1">agePb6U8(L68)/agePb7u5(J68)</f>
        <v>#NAME?</v>
      </c>
      <c r="Y68" s="24"/>
      <c r="Z68" s="24">
        <v>2.524</v>
      </c>
      <c r="AA68" s="24">
        <v>7.0999999999999994E-2</v>
      </c>
      <c r="AB68" s="24">
        <v>0.1792</v>
      </c>
      <c r="AC68" s="24">
        <v>3.3E-3</v>
      </c>
      <c r="AD68" s="24">
        <v>0.69599999999999995</v>
      </c>
      <c r="AE68" s="24">
        <v>5.5803570000000002</v>
      </c>
      <c r="AF68" s="24">
        <v>0.1027633</v>
      </c>
      <c r="AG68" s="24">
        <v>0.1041</v>
      </c>
      <c r="AH68" s="24">
        <v>2.3999999999999998E-3</v>
      </c>
      <c r="AI68" s="24">
        <v>3.5904999999999999E-2</v>
      </c>
      <c r="AJ68" s="24">
        <v>8.09E-2</v>
      </c>
      <c r="AK68" s="24">
        <v>2.8E-3</v>
      </c>
      <c r="AL68" s="24">
        <v>4.46</v>
      </c>
      <c r="AM68" s="24">
        <v>0.12</v>
      </c>
      <c r="AN68" s="24">
        <v>1278</v>
      </c>
      <c r="AO68" s="24">
        <v>20</v>
      </c>
      <c r="AP68" s="24">
        <v>1062</v>
      </c>
      <c r="AQ68" s="24">
        <v>18</v>
      </c>
      <c r="AR68" s="24">
        <v>1571</v>
      </c>
      <c r="AS68" s="24">
        <v>52</v>
      </c>
      <c r="AT68" s="24">
        <v>1696</v>
      </c>
      <c r="AU68" s="24">
        <v>43</v>
      </c>
      <c r="AV68" s="24">
        <v>17.27</v>
      </c>
      <c r="AW68" s="24">
        <v>0.34</v>
      </c>
      <c r="AX68" s="24">
        <v>3.2729999999999997</v>
      </c>
      <c r="AY68" s="24">
        <v>6.8000000000000005E-2</v>
      </c>
      <c r="AZ68" s="24">
        <v>21859.199999999997</v>
      </c>
      <c r="BA68" s="24">
        <v>869.4</v>
      </c>
      <c r="BB68" s="24">
        <v>12351.69</v>
      </c>
      <c r="BC68" s="24">
        <v>403.65</v>
      </c>
      <c r="BD68" s="24">
        <v>120722.4</v>
      </c>
      <c r="BE68" s="24">
        <v>1614.6</v>
      </c>
      <c r="BF68" s="24">
        <v>261.44100000000003</v>
      </c>
      <c r="BG68" s="24">
        <v>24.839999999999996</v>
      </c>
      <c r="BH68" s="24">
        <f t="shared" si="14"/>
        <v>461.75771971496431</v>
      </c>
      <c r="BI68" s="24">
        <f t="shared" si="15"/>
        <v>44.305006014657451</v>
      </c>
      <c r="BJ68" s="27">
        <v>1291.76</v>
      </c>
      <c r="BK68" s="27">
        <v>25.62</v>
      </c>
      <c r="BL68" s="27">
        <v>1062.67</v>
      </c>
      <c r="BM68" s="27">
        <v>26.34</v>
      </c>
      <c r="BN68" s="27">
        <v>1695.87</v>
      </c>
      <c r="BO68" s="27">
        <v>53.17</v>
      </c>
      <c r="BP68" s="27">
        <v>1145.48</v>
      </c>
      <c r="BQ68" s="27">
        <v>27.19</v>
      </c>
      <c r="BR68" s="27">
        <v>21</v>
      </c>
    </row>
    <row r="69" spans="1:70" s="23" customFormat="1" x14ac:dyDescent="0.2">
      <c r="A69" s="23" t="s">
        <v>1013</v>
      </c>
      <c r="B69" s="23" t="s">
        <v>38</v>
      </c>
      <c r="C69" s="23" t="s">
        <v>1014</v>
      </c>
      <c r="D69" s="23" t="s">
        <v>1015</v>
      </c>
      <c r="E69" s="23">
        <v>78340</v>
      </c>
      <c r="F69" s="23">
        <v>45951</v>
      </c>
      <c r="G69" s="23" t="s">
        <v>1015</v>
      </c>
      <c r="H69" s="24">
        <v>168.2</v>
      </c>
      <c r="I69" s="24">
        <v>48.3</v>
      </c>
      <c r="J69" s="25">
        <v>2.2519999999999998</v>
      </c>
      <c r="K69" s="25">
        <f t="shared" ca="1" si="8"/>
        <v>6.582250071214249E-2</v>
      </c>
      <c r="L69" s="26">
        <v>0.1971</v>
      </c>
      <c r="M69" s="26">
        <f t="shared" ca="1" si="9"/>
        <v>5.4064187777122848E-3</v>
      </c>
      <c r="N69" s="26">
        <v>0.75356000000000001</v>
      </c>
      <c r="O69" s="26">
        <v>5.0735669999999997</v>
      </c>
      <c r="P69" s="26">
        <f t="shared" ca="1" si="10"/>
        <v>0.13916705608927601</v>
      </c>
      <c r="Q69" s="25">
        <v>8.3000000000000004E-2</v>
      </c>
      <c r="R69" s="25">
        <f t="shared" ca="1" si="11"/>
        <v>2.1084591530309525E-3</v>
      </c>
      <c r="S69" s="26">
        <f t="shared" si="12"/>
        <v>0.58620570445053044</v>
      </c>
      <c r="T69" s="25">
        <v>6.8500000000000005E-2</v>
      </c>
      <c r="U69" s="25">
        <f t="shared" ca="1" si="13"/>
        <v>2.5916982849089514E-3</v>
      </c>
      <c r="V69" s="24" t="e">
        <f ca="1">IF(agePb6U8(1/O69)&lt;1400,age7corr(1/O69,Q69,$W$2),agePb76(Q69))</f>
        <v>#NAME?</v>
      </c>
      <c r="W69" s="24" t="e">
        <f ca="1">IF(agePb6U8(1/O69)&lt;1400,ageer7corr(V69,1/O69,P69/O69*(1/O69),Q69,R69,$W$2,0.05),ageerPb76(Q69,R69))</f>
        <v>#NAME?</v>
      </c>
      <c r="X69" s="26" t="e">
        <f ca="1">agePb6U8(L69)/agePb7u5(J69)</f>
        <v>#NAME?</v>
      </c>
      <c r="Y69" s="24"/>
      <c r="Z69" s="24">
        <v>2.2519999999999998</v>
      </c>
      <c r="AA69" s="24">
        <v>4.8000000000000001E-2</v>
      </c>
      <c r="AB69" s="24">
        <v>0.1971</v>
      </c>
      <c r="AC69" s="24">
        <v>3.7000000000000002E-3</v>
      </c>
      <c r="AD69" s="24">
        <v>0.75356000000000001</v>
      </c>
      <c r="AE69" s="24">
        <v>5.0735669999999997</v>
      </c>
      <c r="AF69" s="24">
        <v>9.5241989999999999E-2</v>
      </c>
      <c r="AG69" s="24">
        <v>8.3000000000000004E-2</v>
      </c>
      <c r="AH69" s="24">
        <v>1.2999999999999999E-3</v>
      </c>
      <c r="AI69" s="24">
        <v>-9.5945000000000006E-3</v>
      </c>
      <c r="AJ69" s="24">
        <v>6.8500000000000005E-2</v>
      </c>
      <c r="AK69" s="24">
        <v>2.2000000000000001E-3</v>
      </c>
      <c r="AL69" s="24">
        <v>10.73</v>
      </c>
      <c r="AM69" s="24">
        <v>0.12</v>
      </c>
      <c r="AN69" s="24">
        <v>1197</v>
      </c>
      <c r="AO69" s="24">
        <v>15</v>
      </c>
      <c r="AP69" s="24">
        <v>1160</v>
      </c>
      <c r="AQ69" s="24">
        <v>20</v>
      </c>
      <c r="AR69" s="24">
        <v>1339</v>
      </c>
      <c r="AS69" s="24">
        <v>41</v>
      </c>
      <c r="AT69" s="24">
        <v>1268</v>
      </c>
      <c r="AU69" s="24">
        <v>31</v>
      </c>
      <c r="AV69" s="24">
        <v>35.99</v>
      </c>
      <c r="AW69" s="24">
        <v>0.56999999999999995</v>
      </c>
      <c r="AX69" s="24">
        <v>3.79</v>
      </c>
      <c r="AY69" s="24">
        <v>0.19</v>
      </c>
      <c r="AZ69" s="24">
        <v>20971.169999999998</v>
      </c>
      <c r="BA69" s="24">
        <v>322.91999999999996</v>
      </c>
      <c r="BB69" s="24">
        <v>22840.38</v>
      </c>
      <c r="BC69" s="24">
        <v>310.5</v>
      </c>
      <c r="BD69" s="24">
        <v>279946.8</v>
      </c>
      <c r="BE69" s="24">
        <v>4905.8999999999996</v>
      </c>
      <c r="BF69" s="24">
        <v>62.721000000000004</v>
      </c>
      <c r="BG69" s="24">
        <v>26.702999999999999</v>
      </c>
      <c r="BH69" s="24">
        <f t="shared" si="14"/>
        <v>4463.3663366336632</v>
      </c>
      <c r="BI69" s="24">
        <f t="shared" si="15"/>
        <v>1901.8541923482346</v>
      </c>
      <c r="BJ69" s="27">
        <v>1198.72</v>
      </c>
      <c r="BK69" s="27">
        <v>16.62</v>
      </c>
      <c r="BL69" s="27">
        <v>1160.47</v>
      </c>
      <c r="BM69" s="27">
        <v>29.33</v>
      </c>
      <c r="BN69" s="27">
        <v>1268.3399999999999</v>
      </c>
      <c r="BO69" s="27">
        <v>47.04</v>
      </c>
      <c r="BP69" s="27">
        <v>1198.6199999999999</v>
      </c>
      <c r="BQ69" s="27">
        <v>16.75</v>
      </c>
      <c r="BR69" s="27">
        <v>2.9</v>
      </c>
    </row>
    <row r="70" spans="1:70" x14ac:dyDescent="0.2">
      <c r="A70" t="s">
        <v>791</v>
      </c>
      <c r="B70" t="s">
        <v>38</v>
      </c>
      <c r="C70" t="s">
        <v>792</v>
      </c>
      <c r="D70" t="s">
        <v>793</v>
      </c>
      <c r="E70">
        <v>78735</v>
      </c>
      <c r="F70">
        <v>42066</v>
      </c>
      <c r="G70" t="s">
        <v>793</v>
      </c>
      <c r="H70" s="1">
        <v>343</v>
      </c>
      <c r="I70" s="1">
        <v>189</v>
      </c>
      <c r="J70" s="10">
        <v>0.1734</v>
      </c>
      <c r="K70" s="10">
        <f t="shared" ca="1" si="8"/>
        <v>6.0849834839545782E-3</v>
      </c>
      <c r="L70" s="7">
        <v>2.5669999999999998E-2</v>
      </c>
      <c r="M70" s="7">
        <f t="shared" ca="1" si="9"/>
        <v>8.3616957610283817E-4</v>
      </c>
      <c r="N70" s="7">
        <v>0.93572</v>
      </c>
      <c r="O70" s="8">
        <v>38.955979999999997</v>
      </c>
      <c r="P70" s="8">
        <f t="shared" ca="1" si="10"/>
        <v>1.2689444019062301</v>
      </c>
      <c r="Q70" s="9">
        <v>4.9200000000000001E-2</v>
      </c>
      <c r="R70" s="9">
        <f t="shared" ca="1" si="11"/>
        <v>1.1738211107319549E-3</v>
      </c>
      <c r="S70" s="8">
        <f t="shared" si="12"/>
        <v>0.53791092737448398</v>
      </c>
      <c r="T70" s="11">
        <v>8.7299999999999999E-3</v>
      </c>
      <c r="U70" s="11">
        <f t="shared" ca="1" si="13"/>
        <v>2.8086502096202724E-4</v>
      </c>
      <c r="V70" s="6" t="e">
        <f ca="1">IF(agePb6U8(1/O70)&lt;1400,age7corr(1/O70,Q70,$W$2),agePb76(Q70))</f>
        <v>#NAME?</v>
      </c>
      <c r="W70" s="6" t="e">
        <f ca="1">IF(agePb6U8(1/O70)&lt;1400,ageer7corr(V70,1/O70,P70/O70*(1/O70),Q70,R70,$W$2,0.05),ageerPb76(Q70,R70))</f>
        <v>#NAME?</v>
      </c>
      <c r="X70" s="4" t="e">
        <f ca="1">agePb6U8(L70)/agePb7u5(J70)</f>
        <v>#NAME?</v>
      </c>
      <c r="Y70" s="3"/>
      <c r="Z70" s="1">
        <v>0.1734</v>
      </c>
      <c r="AA70" s="1">
        <v>5.0000000000000001E-3</v>
      </c>
      <c r="AB70" s="1">
        <v>2.5669999999999998E-2</v>
      </c>
      <c r="AC70" s="1">
        <v>6.6E-4</v>
      </c>
      <c r="AD70" s="1">
        <v>0.93572</v>
      </c>
      <c r="AE70" s="1">
        <v>38.955979999999997</v>
      </c>
      <c r="AF70" s="1">
        <v>1.001595</v>
      </c>
      <c r="AG70" s="1">
        <v>4.9200000000000001E-2</v>
      </c>
      <c r="AH70" s="1">
        <v>6.4000000000000005E-4</v>
      </c>
      <c r="AI70" s="1">
        <v>-0.16522999999999999</v>
      </c>
      <c r="AJ70" s="1">
        <v>8.7299999999999999E-3</v>
      </c>
      <c r="AK70" s="1">
        <v>2.2000000000000001E-4</v>
      </c>
      <c r="AL70" s="1">
        <v>5.6870000000000003</v>
      </c>
      <c r="AM70" s="1">
        <v>9.2999999999999999E-2</v>
      </c>
      <c r="AN70" s="1">
        <v>162.30000000000001</v>
      </c>
      <c r="AO70" s="1">
        <v>4.3</v>
      </c>
      <c r="AP70" s="1">
        <v>163.4</v>
      </c>
      <c r="AQ70" s="1">
        <v>4.2</v>
      </c>
      <c r="AR70" s="1">
        <v>175.7</v>
      </c>
      <c r="AS70" s="1">
        <v>4.3</v>
      </c>
      <c r="AT70" s="1">
        <v>156</v>
      </c>
      <c r="AU70" s="1">
        <v>30</v>
      </c>
      <c r="AV70" s="1">
        <v>74</v>
      </c>
      <c r="AW70" s="1">
        <v>2.2999999999999998</v>
      </c>
      <c r="AX70" s="1">
        <v>14.86</v>
      </c>
      <c r="AY70" s="1">
        <v>0.91</v>
      </c>
      <c r="AZ70" s="1">
        <v>10625.31</v>
      </c>
      <c r="BA70" s="1">
        <v>484.38</v>
      </c>
      <c r="BB70" s="1">
        <v>3645.2699999999995</v>
      </c>
      <c r="BC70" s="1">
        <v>86.94</v>
      </c>
      <c r="BD70" s="1">
        <v>75389.399999999994</v>
      </c>
      <c r="BE70" s="1">
        <v>2235.6000000000004</v>
      </c>
      <c r="BF70" s="1">
        <v>31.05</v>
      </c>
      <c r="BG70" s="1">
        <v>6.2099999999999991</v>
      </c>
      <c r="BH70" s="1">
        <f t="shared" si="14"/>
        <v>2427.9999999999995</v>
      </c>
      <c r="BI70" s="1">
        <f t="shared" si="15"/>
        <v>490.90870841735921</v>
      </c>
      <c r="BJ70" s="27">
        <v>162.31</v>
      </c>
      <c r="BK70" s="27">
        <v>4.1399999999999997</v>
      </c>
      <c r="BL70" s="27">
        <v>163.37</v>
      </c>
      <c r="BM70" s="27">
        <v>5.26</v>
      </c>
      <c r="BN70" s="27">
        <v>146.78</v>
      </c>
      <c r="BO70" s="27">
        <v>47.86</v>
      </c>
      <c r="BP70" s="27">
        <v>162.32</v>
      </c>
      <c r="BQ70" s="27">
        <v>4.13</v>
      </c>
      <c r="BR70" s="27">
        <v>-0.54</v>
      </c>
    </row>
    <row r="71" spans="1:70" x14ac:dyDescent="0.2">
      <c r="A71" t="s">
        <v>794</v>
      </c>
      <c r="B71" t="s">
        <v>38</v>
      </c>
      <c r="C71" t="s">
        <v>795</v>
      </c>
      <c r="D71" t="s">
        <v>796</v>
      </c>
      <c r="E71">
        <v>78793</v>
      </c>
      <c r="F71">
        <v>42291</v>
      </c>
      <c r="G71" t="s">
        <v>796</v>
      </c>
      <c r="H71" s="1">
        <v>330</v>
      </c>
      <c r="I71" s="1">
        <v>261.8</v>
      </c>
      <c r="J71" s="10">
        <v>0.48599999999999999</v>
      </c>
      <c r="K71" s="10">
        <f t="shared" ca="1" si="8"/>
        <v>2.4051577910814914E-2</v>
      </c>
      <c r="L71" s="7">
        <v>6.3299999999999995E-2</v>
      </c>
      <c r="M71" s="7">
        <f t="shared" ca="1" si="9"/>
        <v>2.8918430109533952E-3</v>
      </c>
      <c r="N71" s="7">
        <v>0.99095999999999995</v>
      </c>
      <c r="O71" s="8">
        <v>15.797790000000001</v>
      </c>
      <c r="P71" s="8">
        <f t="shared" ca="1" si="10"/>
        <v>0.72171760876878299</v>
      </c>
      <c r="Q71" s="9">
        <v>5.5509999999999997E-2</v>
      </c>
      <c r="R71" s="9">
        <f t="shared" ca="1" si="11"/>
        <v>1.1834880819002783E-3</v>
      </c>
      <c r="S71" s="8">
        <f t="shared" si="12"/>
        <v>0.47320429374440076</v>
      </c>
      <c r="T71" s="11">
        <v>2.1069999999999998E-2</v>
      </c>
      <c r="U71" s="11">
        <f t="shared" ca="1" si="13"/>
        <v>9.3977548382579118E-4</v>
      </c>
      <c r="V71" s="6" t="e">
        <f ca="1">IF(agePb6U8(1/O71)&lt;1400,age7corr(1/O71,Q71,$W$2),agePb76(Q71))</f>
        <v>#NAME?</v>
      </c>
      <c r="W71" s="6" t="e">
        <f ca="1">IF(agePb6U8(1/O71)&lt;1400,ageer7corr(V71,1/O71,P71/O71*(1/O71),Q71,R71,$W$2,0.05),ageerPb76(Q71,R71))</f>
        <v>#NAME?</v>
      </c>
      <c r="X71" s="4" t="e">
        <f ca="1">agePb6U8(L71)/agePb7u5(J71)</f>
        <v>#NAME?</v>
      </c>
      <c r="Y71" s="3"/>
      <c r="Z71" s="1">
        <v>0.48599999999999999</v>
      </c>
      <c r="AA71" s="1">
        <v>2.1999999999999999E-2</v>
      </c>
      <c r="AB71" s="1">
        <v>6.3299999999999995E-2</v>
      </c>
      <c r="AC71" s="1">
        <v>2.5999999999999999E-3</v>
      </c>
      <c r="AD71" s="1">
        <v>0.99095999999999995</v>
      </c>
      <c r="AE71" s="1">
        <v>15.797790000000001</v>
      </c>
      <c r="AF71" s="1">
        <v>0.64888230000000002</v>
      </c>
      <c r="AG71" s="1">
        <v>5.5509999999999997E-2</v>
      </c>
      <c r="AH71" s="1">
        <v>4.0999999999999999E-4</v>
      </c>
      <c r="AI71" s="1">
        <v>-0.61565000000000003</v>
      </c>
      <c r="AJ71" s="1">
        <v>2.1069999999999998E-2</v>
      </c>
      <c r="AK71" s="1">
        <v>8.4000000000000003E-4</v>
      </c>
      <c r="AL71" s="1">
        <v>4.1390000000000002</v>
      </c>
      <c r="AM71" s="1">
        <v>6.9000000000000006E-2</v>
      </c>
      <c r="AN71" s="1">
        <v>401</v>
      </c>
      <c r="AO71" s="1">
        <v>15</v>
      </c>
      <c r="AP71" s="1">
        <v>396</v>
      </c>
      <c r="AQ71" s="1">
        <v>16</v>
      </c>
      <c r="AR71" s="1">
        <v>421</v>
      </c>
      <c r="AS71" s="1">
        <v>17</v>
      </c>
      <c r="AT71" s="1">
        <v>433</v>
      </c>
      <c r="AU71" s="1">
        <v>16</v>
      </c>
      <c r="AV71" s="1">
        <v>71.2</v>
      </c>
      <c r="AW71" s="1">
        <v>2.2999999999999998</v>
      </c>
      <c r="AX71" s="1">
        <v>20.580000000000002</v>
      </c>
      <c r="AY71" s="1">
        <v>0.78</v>
      </c>
      <c r="AZ71" s="1">
        <v>34713.9</v>
      </c>
      <c r="BA71" s="1">
        <v>1614.6</v>
      </c>
      <c r="BB71" s="1">
        <v>9824.2200000000012</v>
      </c>
      <c r="BC71" s="1">
        <v>391.23</v>
      </c>
      <c r="BD71" s="1">
        <v>178102.8</v>
      </c>
      <c r="BE71" s="1">
        <v>6085.8</v>
      </c>
      <c r="BF71" s="1">
        <v>14.283000000000001</v>
      </c>
      <c r="BG71" s="1">
        <v>8.6940000000000008</v>
      </c>
      <c r="BH71" s="1">
        <f t="shared" si="14"/>
        <v>12469.565217391302</v>
      </c>
      <c r="BI71" s="1">
        <f t="shared" si="15"/>
        <v>7602.1202787221537</v>
      </c>
      <c r="BJ71" s="27">
        <v>403.87</v>
      </c>
      <c r="BK71" s="27">
        <v>13.46</v>
      </c>
      <c r="BL71" s="27">
        <v>395.61</v>
      </c>
      <c r="BM71" s="27">
        <v>17.489999999999998</v>
      </c>
      <c r="BN71" s="27">
        <v>451.37</v>
      </c>
      <c r="BO71" s="27">
        <v>39.65</v>
      </c>
      <c r="BP71" s="27">
        <v>409.41</v>
      </c>
      <c r="BQ71" s="27">
        <v>12.58</v>
      </c>
      <c r="BR71" s="27">
        <v>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MacdRun8_Output_1</vt:lpstr>
      <vt:lpstr>DV_F2002-204.9</vt:lpstr>
      <vt:lpstr>DV_F2003-3</vt:lpstr>
      <vt:lpstr>DV_f2005-275</vt:lpstr>
      <vt:lpstr>F2020-2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Earth User</dc:creator>
  <cp:lastModifiedBy>Eliel Anttila</cp:lastModifiedBy>
  <dcterms:created xsi:type="dcterms:W3CDTF">2020-09-24T18:04:56Z</dcterms:created>
  <dcterms:modified xsi:type="dcterms:W3CDTF">2023-12-27T20:13:44Z</dcterms:modified>
</cp:coreProperties>
</file>