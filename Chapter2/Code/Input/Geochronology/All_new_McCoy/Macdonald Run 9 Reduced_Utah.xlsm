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eanttila/Documents/GitHub/McCoy_2023/Input/Geochronology/All_new_McCoy/"/>
    </mc:Choice>
  </mc:AlternateContent>
  <xr:revisionPtr revIDLastSave="0" documentId="13_ncr:1_{3311617D-416B-4C4F-8CB4-50D019172142}" xr6:coauthVersionLast="47" xr6:coauthVersionMax="47" xr10:uidLastSave="{00000000-0000-0000-0000-000000000000}"/>
  <bookViews>
    <workbookView xWindow="0" yWindow="500" windowWidth="28800" windowHeight="15840" xr2:uid="{00000000-000D-0000-FFFF-FFFF00000000}"/>
  </bookViews>
  <sheets>
    <sheet name="MacdRun9.2_Output_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49" i="1" l="1"/>
  <c r="S350" i="1"/>
  <c r="S351" i="1"/>
  <c r="S352" i="1"/>
  <c r="S353" i="1"/>
  <c r="S132" i="1"/>
  <c r="S133" i="1"/>
  <c r="S134" i="1"/>
  <c r="S135" i="1"/>
  <c r="S136" i="1"/>
  <c r="S137" i="1"/>
  <c r="S138" i="1"/>
  <c r="S139" i="1"/>
  <c r="S140" i="1"/>
  <c r="S141" i="1"/>
  <c r="S311" i="1"/>
  <c r="S300" i="1"/>
  <c r="S142" i="1"/>
  <c r="S143" i="1"/>
  <c r="S144" i="1"/>
  <c r="S145" i="1"/>
  <c r="S146" i="1"/>
  <c r="S147" i="1"/>
  <c r="S148" i="1"/>
  <c r="S149" i="1"/>
  <c r="S150" i="1"/>
  <c r="S151" i="1"/>
  <c r="S7" i="1"/>
  <c r="S19" i="1"/>
  <c r="S152" i="1"/>
  <c r="S153" i="1"/>
  <c r="S154" i="1"/>
  <c r="S155" i="1"/>
  <c r="S156" i="1"/>
  <c r="S157" i="1"/>
  <c r="S158" i="1"/>
  <c r="S159" i="1"/>
  <c r="S160" i="1"/>
  <c r="S161" i="1"/>
  <c r="S312" i="1"/>
  <c r="S285" i="1"/>
  <c r="S162" i="1"/>
  <c r="S163" i="1"/>
  <c r="S164" i="1"/>
  <c r="S165" i="1"/>
  <c r="S166" i="1"/>
  <c r="S167" i="1"/>
  <c r="S168" i="1"/>
  <c r="S169" i="1"/>
  <c r="S170" i="1"/>
  <c r="S171" i="1"/>
  <c r="S8" i="1"/>
  <c r="S324" i="1"/>
  <c r="S172" i="1"/>
  <c r="S173" i="1"/>
  <c r="S174" i="1"/>
  <c r="S175" i="1"/>
  <c r="S176" i="1"/>
  <c r="S177" i="1"/>
  <c r="S178" i="1"/>
  <c r="S179" i="1"/>
  <c r="S180" i="1"/>
  <c r="S181" i="1"/>
  <c r="S313" i="1"/>
  <c r="S127" i="1"/>
  <c r="S182" i="1"/>
  <c r="S183" i="1"/>
  <c r="S184" i="1"/>
  <c r="S185" i="1"/>
  <c r="S186" i="1"/>
  <c r="S187" i="1"/>
  <c r="S188" i="1"/>
  <c r="S189" i="1"/>
  <c r="S190" i="1"/>
  <c r="S191" i="1"/>
  <c r="S9" i="1"/>
  <c r="S278" i="1"/>
  <c r="S192" i="1"/>
  <c r="S193" i="1"/>
  <c r="S194" i="1"/>
  <c r="S195" i="1"/>
  <c r="S196" i="1"/>
  <c r="S197" i="1"/>
  <c r="S198" i="1"/>
  <c r="S199" i="1"/>
  <c r="S200" i="1"/>
  <c r="S201" i="1"/>
  <c r="S314" i="1"/>
  <c r="S301" i="1"/>
  <c r="S202" i="1"/>
  <c r="S203" i="1"/>
  <c r="S204" i="1"/>
  <c r="S205" i="1"/>
  <c r="S206" i="1"/>
  <c r="S207" i="1"/>
  <c r="S210" i="1"/>
  <c r="S221" i="1"/>
  <c r="S232" i="1"/>
  <c r="S243" i="1"/>
  <c r="S10" i="1"/>
  <c r="S20" i="1"/>
  <c r="S254" i="1"/>
  <c r="S265" i="1"/>
  <c r="S272" i="1"/>
  <c r="S273" i="1"/>
  <c r="S274" i="1"/>
  <c r="S211" i="1"/>
  <c r="S212" i="1"/>
  <c r="S213" i="1"/>
  <c r="S214" i="1"/>
  <c r="S215" i="1"/>
  <c r="S315" i="1"/>
  <c r="S286" i="1"/>
  <c r="S216" i="1"/>
  <c r="S217" i="1"/>
  <c r="S218" i="1"/>
  <c r="S219" i="1"/>
  <c r="S220" i="1"/>
  <c r="S222" i="1"/>
  <c r="S223" i="1"/>
  <c r="S224" i="1"/>
  <c r="S225" i="1"/>
  <c r="S226" i="1"/>
  <c r="S11" i="1"/>
  <c r="S325" i="1"/>
  <c r="S227" i="1"/>
  <c r="S228" i="1"/>
  <c r="S229" i="1"/>
  <c r="S230" i="1"/>
  <c r="S231" i="1"/>
  <c r="S233" i="1"/>
  <c r="S234" i="1"/>
  <c r="S235" i="1"/>
  <c r="S236" i="1"/>
  <c r="S237" i="1"/>
  <c r="S316" i="1"/>
  <c r="S128" i="1"/>
  <c r="S238" i="1"/>
  <c r="S239" i="1"/>
  <c r="S240" i="1"/>
  <c r="S241" i="1"/>
  <c r="S242" i="1"/>
  <c r="S244" i="1"/>
  <c r="S245" i="1"/>
  <c r="S246" i="1"/>
  <c r="S247" i="1"/>
  <c r="S248" i="1"/>
  <c r="S12" i="1"/>
  <c r="S279" i="1"/>
  <c r="S249" i="1"/>
  <c r="S250" i="1"/>
  <c r="S251" i="1"/>
  <c r="S252" i="1"/>
  <c r="S253" i="1"/>
  <c r="S255" i="1"/>
  <c r="S256" i="1"/>
  <c r="S257" i="1"/>
  <c r="S258" i="1"/>
  <c r="S259" i="1"/>
  <c r="S317" i="1"/>
  <c r="S303" i="1"/>
  <c r="S260" i="1"/>
  <c r="S261" i="1"/>
  <c r="S262" i="1"/>
  <c r="S263" i="1"/>
  <c r="S264" i="1"/>
  <c r="S266" i="1"/>
  <c r="S267" i="1"/>
  <c r="S268" i="1"/>
  <c r="S269" i="1"/>
  <c r="S270" i="1"/>
  <c r="S13" i="1"/>
  <c r="S21" i="1"/>
  <c r="S271" i="1"/>
  <c r="S24" i="1"/>
  <c r="S35" i="1"/>
  <c r="S46" i="1"/>
  <c r="S57" i="1"/>
  <c r="S68" i="1"/>
  <c r="S79" i="1"/>
  <c r="S90" i="1"/>
  <c r="S101" i="1"/>
  <c r="S111" i="1"/>
  <c r="S318" i="1"/>
  <c r="S287" i="1"/>
  <c r="S25" i="1"/>
  <c r="S26" i="1"/>
  <c r="S27" i="1"/>
  <c r="S28" i="1"/>
  <c r="S29" i="1"/>
  <c r="S30" i="1"/>
  <c r="S31" i="1"/>
  <c r="S32" i="1"/>
  <c r="S33" i="1"/>
  <c r="S34" i="1"/>
  <c r="S14" i="1"/>
  <c r="S326" i="1"/>
  <c r="S36" i="1"/>
  <c r="S37" i="1"/>
  <c r="S38" i="1"/>
  <c r="S39" i="1"/>
  <c r="S40" i="1"/>
  <c r="S41" i="1"/>
  <c r="S42" i="1"/>
  <c r="S43" i="1"/>
  <c r="S44" i="1"/>
  <c r="S45" i="1"/>
  <c r="S307" i="1"/>
  <c r="S129" i="1"/>
  <c r="S47" i="1"/>
  <c r="S48" i="1"/>
  <c r="S49" i="1"/>
  <c r="S50" i="1"/>
  <c r="S51" i="1"/>
  <c r="S52" i="1"/>
  <c r="S53" i="1"/>
  <c r="S54" i="1"/>
  <c r="S55" i="1"/>
  <c r="S56" i="1"/>
  <c r="S6" i="1"/>
  <c r="S280" i="1"/>
  <c r="S58" i="1"/>
  <c r="S59" i="1"/>
  <c r="S60" i="1"/>
  <c r="S61" i="1"/>
  <c r="S62" i="1"/>
  <c r="S63" i="1"/>
  <c r="S64" i="1"/>
  <c r="S65" i="1"/>
  <c r="S66" i="1"/>
  <c r="S67" i="1"/>
  <c r="S320" i="1"/>
  <c r="S302" i="1"/>
  <c r="S69" i="1"/>
  <c r="S70" i="1"/>
  <c r="S71" i="1"/>
  <c r="S72" i="1"/>
  <c r="S73" i="1"/>
  <c r="S74" i="1"/>
  <c r="S75" i="1"/>
  <c r="S76" i="1"/>
  <c r="S77" i="1"/>
  <c r="S78" i="1"/>
  <c r="S5" i="1"/>
  <c r="S18" i="1"/>
  <c r="S80" i="1"/>
  <c r="S81" i="1"/>
  <c r="S82" i="1"/>
  <c r="S83" i="1"/>
  <c r="S84" i="1"/>
  <c r="S85" i="1"/>
  <c r="S86" i="1"/>
  <c r="S87" i="1"/>
  <c r="S88" i="1"/>
  <c r="S89" i="1"/>
  <c r="S309" i="1"/>
  <c r="S284" i="1"/>
  <c r="S91" i="1"/>
  <c r="S92" i="1"/>
  <c r="S93" i="1"/>
  <c r="S94" i="1"/>
  <c r="S95" i="1"/>
  <c r="S96" i="1"/>
  <c r="S97" i="1"/>
  <c r="S98" i="1"/>
  <c r="S99" i="1"/>
  <c r="S100" i="1"/>
  <c r="S4" i="1"/>
  <c r="S323" i="1"/>
  <c r="S102" i="1"/>
  <c r="S103" i="1"/>
  <c r="S104" i="1"/>
  <c r="S105" i="1"/>
  <c r="S106" i="1"/>
  <c r="S107" i="1"/>
  <c r="S108" i="1"/>
  <c r="S109" i="1"/>
  <c r="S110" i="1"/>
  <c r="S329" i="1"/>
  <c r="S319" i="1"/>
  <c r="S126" i="1"/>
  <c r="S330" i="1"/>
  <c r="S331" i="1"/>
  <c r="S332" i="1"/>
  <c r="S333" i="1"/>
  <c r="S334" i="1"/>
  <c r="S337" i="1"/>
  <c r="S338" i="1"/>
  <c r="S339" i="1"/>
  <c r="S340" i="1"/>
  <c r="S341" i="1"/>
  <c r="S342" i="1"/>
  <c r="S3" i="1"/>
  <c r="S277" i="1"/>
  <c r="S343" i="1"/>
  <c r="S344" i="1"/>
  <c r="S345" i="1"/>
  <c r="S114" i="1"/>
  <c r="S116" i="1"/>
  <c r="S117" i="1"/>
  <c r="S118" i="1"/>
  <c r="S119" i="1"/>
  <c r="S120" i="1"/>
  <c r="S121" i="1"/>
  <c r="S310" i="1"/>
  <c r="S304" i="1"/>
  <c r="S122" i="1"/>
  <c r="S123" i="1"/>
  <c r="S115" i="1"/>
  <c r="S290" i="1"/>
  <c r="S291" i="1"/>
  <c r="S292" i="1"/>
  <c r="S293" i="1"/>
  <c r="S294" i="1"/>
  <c r="S295" i="1"/>
  <c r="S296" i="1"/>
  <c r="S2" i="1"/>
  <c r="S17" i="1"/>
  <c r="S297" i="1"/>
  <c r="S308" i="1"/>
  <c r="S283" i="1"/>
  <c r="S348" i="1"/>
  <c r="BH349" i="1"/>
  <c r="BI349" i="1" s="1"/>
  <c r="BH350" i="1"/>
  <c r="BI350" i="1" s="1"/>
  <c r="BH351" i="1"/>
  <c r="BI351" i="1" s="1"/>
  <c r="BH352" i="1"/>
  <c r="BI352" i="1" s="1"/>
  <c r="BH353" i="1"/>
  <c r="BI353" i="1" s="1"/>
  <c r="BH132" i="1"/>
  <c r="BI132" i="1" s="1"/>
  <c r="BH133" i="1"/>
  <c r="BI133" i="1" s="1"/>
  <c r="BH134" i="1"/>
  <c r="BI134" i="1" s="1"/>
  <c r="BH135" i="1"/>
  <c r="BI135" i="1" s="1"/>
  <c r="BH136" i="1"/>
  <c r="BI136" i="1" s="1"/>
  <c r="BH137" i="1"/>
  <c r="BI137" i="1" s="1"/>
  <c r="BH138" i="1"/>
  <c r="BI138" i="1" s="1"/>
  <c r="BH139" i="1"/>
  <c r="BI139" i="1" s="1"/>
  <c r="BH140" i="1"/>
  <c r="BI140" i="1" s="1"/>
  <c r="BH141" i="1"/>
  <c r="BI141" i="1" s="1"/>
  <c r="BH311" i="1"/>
  <c r="BI311" i="1" s="1"/>
  <c r="BH300" i="1"/>
  <c r="BI300" i="1" s="1"/>
  <c r="BH142" i="1"/>
  <c r="BI142" i="1" s="1"/>
  <c r="BH143" i="1"/>
  <c r="BI143" i="1" s="1"/>
  <c r="BH144" i="1"/>
  <c r="BI144" i="1" s="1"/>
  <c r="BH145" i="1"/>
  <c r="BI145" i="1" s="1"/>
  <c r="BH146" i="1"/>
  <c r="BI146" i="1" s="1"/>
  <c r="BH147" i="1"/>
  <c r="BI147" i="1" s="1"/>
  <c r="BH148" i="1"/>
  <c r="BI148" i="1" s="1"/>
  <c r="BH149" i="1"/>
  <c r="BI149" i="1" s="1"/>
  <c r="BH150" i="1"/>
  <c r="BI150" i="1" s="1"/>
  <c r="BH151" i="1"/>
  <c r="BI151" i="1" s="1"/>
  <c r="BH7" i="1"/>
  <c r="BI7" i="1" s="1"/>
  <c r="BH19" i="1"/>
  <c r="BI19" i="1" s="1"/>
  <c r="BH152" i="1"/>
  <c r="BI152" i="1" s="1"/>
  <c r="BH153" i="1"/>
  <c r="BI153" i="1" s="1"/>
  <c r="BH154" i="1"/>
  <c r="BI154" i="1" s="1"/>
  <c r="BH155" i="1"/>
  <c r="BI155" i="1" s="1"/>
  <c r="BH156" i="1"/>
  <c r="BI156" i="1" s="1"/>
  <c r="BH157" i="1"/>
  <c r="BI157" i="1" s="1"/>
  <c r="BH158" i="1"/>
  <c r="BI158" i="1" s="1"/>
  <c r="BH159" i="1"/>
  <c r="BI159" i="1" s="1"/>
  <c r="BH160" i="1"/>
  <c r="BI160" i="1" s="1"/>
  <c r="BH161" i="1"/>
  <c r="BI161" i="1" s="1"/>
  <c r="BH312" i="1"/>
  <c r="BI312" i="1" s="1"/>
  <c r="BH285" i="1"/>
  <c r="BI285" i="1" s="1"/>
  <c r="BH162" i="1"/>
  <c r="BI162" i="1" s="1"/>
  <c r="BH163" i="1"/>
  <c r="BI163" i="1" s="1"/>
  <c r="BH164" i="1"/>
  <c r="BI164" i="1" s="1"/>
  <c r="BH165" i="1"/>
  <c r="BI165" i="1" s="1"/>
  <c r="BH166" i="1"/>
  <c r="BI166" i="1"/>
  <c r="BH167" i="1"/>
  <c r="BI167" i="1" s="1"/>
  <c r="BH168" i="1"/>
  <c r="BI168" i="1" s="1"/>
  <c r="BH169" i="1"/>
  <c r="BI169" i="1" s="1"/>
  <c r="BH170" i="1"/>
  <c r="BI170" i="1" s="1"/>
  <c r="BH171" i="1"/>
  <c r="BI171" i="1" s="1"/>
  <c r="BH8" i="1"/>
  <c r="BI8" i="1" s="1"/>
  <c r="BH324" i="1"/>
  <c r="BI324" i="1" s="1"/>
  <c r="BH172" i="1"/>
  <c r="BI172" i="1" s="1"/>
  <c r="BH173" i="1"/>
  <c r="BI173" i="1" s="1"/>
  <c r="BH174" i="1"/>
  <c r="BI174" i="1" s="1"/>
  <c r="BH175" i="1"/>
  <c r="BI175" i="1" s="1"/>
  <c r="BH176" i="1"/>
  <c r="BI176" i="1" s="1"/>
  <c r="BH177" i="1"/>
  <c r="BI177" i="1" s="1"/>
  <c r="BH178" i="1"/>
  <c r="BI178" i="1" s="1"/>
  <c r="BH179" i="1"/>
  <c r="BI179" i="1" s="1"/>
  <c r="BH180" i="1"/>
  <c r="BI180" i="1" s="1"/>
  <c r="BH181" i="1"/>
  <c r="BI181" i="1" s="1"/>
  <c r="BH313" i="1"/>
  <c r="BI313" i="1" s="1"/>
  <c r="BH127" i="1"/>
  <c r="BI127" i="1" s="1"/>
  <c r="BH182" i="1"/>
  <c r="BI182" i="1" s="1"/>
  <c r="BH183" i="1"/>
  <c r="BI183" i="1" s="1"/>
  <c r="BH184" i="1"/>
  <c r="BI184" i="1" s="1"/>
  <c r="BH185" i="1"/>
  <c r="BI185" i="1" s="1"/>
  <c r="BH186" i="1"/>
  <c r="BI186" i="1" s="1"/>
  <c r="BH187" i="1"/>
  <c r="BI187" i="1" s="1"/>
  <c r="BH188" i="1"/>
  <c r="BI188" i="1" s="1"/>
  <c r="BH189" i="1"/>
  <c r="BI189" i="1" s="1"/>
  <c r="BH190" i="1"/>
  <c r="BI190" i="1" s="1"/>
  <c r="BH191" i="1"/>
  <c r="BI191" i="1" s="1"/>
  <c r="BH9" i="1"/>
  <c r="BI9" i="1" s="1"/>
  <c r="BH278" i="1"/>
  <c r="BI278" i="1" s="1"/>
  <c r="BH192" i="1"/>
  <c r="BI192" i="1" s="1"/>
  <c r="BH193" i="1"/>
  <c r="BI193" i="1" s="1"/>
  <c r="BH194" i="1"/>
  <c r="BI194" i="1" s="1"/>
  <c r="BH195" i="1"/>
  <c r="BI195" i="1" s="1"/>
  <c r="BH196" i="1"/>
  <c r="BI196" i="1" s="1"/>
  <c r="BH197" i="1"/>
  <c r="BI197" i="1" s="1"/>
  <c r="BH198" i="1"/>
  <c r="BI198" i="1" s="1"/>
  <c r="BH199" i="1"/>
  <c r="BI199" i="1" s="1"/>
  <c r="BH200" i="1"/>
  <c r="BI200" i="1" s="1"/>
  <c r="BH201" i="1"/>
  <c r="BI201" i="1" s="1"/>
  <c r="BH314" i="1"/>
  <c r="BI314" i="1" s="1"/>
  <c r="BH301" i="1"/>
  <c r="BI301" i="1" s="1"/>
  <c r="BH202" i="1"/>
  <c r="BI202" i="1" s="1"/>
  <c r="BH203" i="1"/>
  <c r="BI203" i="1" s="1"/>
  <c r="BH204" i="1"/>
  <c r="BI204" i="1" s="1"/>
  <c r="BH205" i="1"/>
  <c r="BI205" i="1" s="1"/>
  <c r="BH206" i="1"/>
  <c r="BI206" i="1" s="1"/>
  <c r="BH207" i="1"/>
  <c r="BI207" i="1" s="1"/>
  <c r="BH210" i="1"/>
  <c r="BI210" i="1" s="1"/>
  <c r="BH221" i="1"/>
  <c r="BI221" i="1" s="1"/>
  <c r="BH232" i="1"/>
  <c r="BI232" i="1" s="1"/>
  <c r="BH243" i="1"/>
  <c r="BI243" i="1" s="1"/>
  <c r="BH10" i="1"/>
  <c r="BI10" i="1" s="1"/>
  <c r="BH20" i="1"/>
  <c r="BI20" i="1" s="1"/>
  <c r="BH254" i="1"/>
  <c r="BI254" i="1"/>
  <c r="BH265" i="1"/>
  <c r="BI265" i="1" s="1"/>
  <c r="BH272" i="1"/>
  <c r="BI272" i="1" s="1"/>
  <c r="BH273" i="1"/>
  <c r="BI273" i="1" s="1"/>
  <c r="BH274" i="1"/>
  <c r="BI274" i="1" s="1"/>
  <c r="BH211" i="1"/>
  <c r="BI211" i="1" s="1"/>
  <c r="BH212" i="1"/>
  <c r="BI212" i="1" s="1"/>
  <c r="BH213" i="1"/>
  <c r="BI213" i="1" s="1"/>
  <c r="BH214" i="1"/>
  <c r="BI214" i="1" s="1"/>
  <c r="BH215" i="1"/>
  <c r="BI215" i="1" s="1"/>
  <c r="BH315" i="1"/>
  <c r="BI315" i="1" s="1"/>
  <c r="BH286" i="1"/>
  <c r="BI286" i="1" s="1"/>
  <c r="BH216" i="1"/>
  <c r="BI216" i="1" s="1"/>
  <c r="BH217" i="1"/>
  <c r="BI217" i="1" s="1"/>
  <c r="BH218" i="1"/>
  <c r="BI218" i="1" s="1"/>
  <c r="BH219" i="1"/>
  <c r="BI219" i="1" s="1"/>
  <c r="BH220" i="1"/>
  <c r="BI220" i="1" s="1"/>
  <c r="BH222" i="1"/>
  <c r="BI222" i="1" s="1"/>
  <c r="BH223" i="1"/>
  <c r="BI223" i="1" s="1"/>
  <c r="BH224" i="1"/>
  <c r="BI224" i="1" s="1"/>
  <c r="BH225" i="1"/>
  <c r="BI225" i="1" s="1"/>
  <c r="BH226" i="1"/>
  <c r="BI226" i="1" s="1"/>
  <c r="BH11" i="1"/>
  <c r="BI11" i="1" s="1"/>
  <c r="BH325" i="1"/>
  <c r="BI325" i="1" s="1"/>
  <c r="BH227" i="1"/>
  <c r="BI227" i="1" s="1"/>
  <c r="BH228" i="1"/>
  <c r="BI228" i="1" s="1"/>
  <c r="BH229" i="1"/>
  <c r="BI229" i="1" s="1"/>
  <c r="BH230" i="1"/>
  <c r="BI230" i="1" s="1"/>
  <c r="BH231" i="1"/>
  <c r="BI231" i="1" s="1"/>
  <c r="BH233" i="1"/>
  <c r="BI233" i="1" s="1"/>
  <c r="BH234" i="1"/>
  <c r="BI234" i="1" s="1"/>
  <c r="BH235" i="1"/>
  <c r="BI235" i="1" s="1"/>
  <c r="BH236" i="1"/>
  <c r="BI236" i="1" s="1"/>
  <c r="BH237" i="1"/>
  <c r="BI237" i="1" s="1"/>
  <c r="BH316" i="1"/>
  <c r="BI316" i="1" s="1"/>
  <c r="BH128" i="1"/>
  <c r="BI128" i="1" s="1"/>
  <c r="BH238" i="1"/>
  <c r="BI238" i="1" s="1"/>
  <c r="BH239" i="1"/>
  <c r="BI239" i="1" s="1"/>
  <c r="BH240" i="1"/>
  <c r="BI240" i="1" s="1"/>
  <c r="BH241" i="1"/>
  <c r="BI241" i="1" s="1"/>
  <c r="BH242" i="1"/>
  <c r="BI242" i="1" s="1"/>
  <c r="BH244" i="1"/>
  <c r="BI244" i="1" s="1"/>
  <c r="BH245" i="1"/>
  <c r="BI245" i="1" s="1"/>
  <c r="BH246" i="1"/>
  <c r="BI246" i="1" s="1"/>
  <c r="BH247" i="1"/>
  <c r="BI247" i="1" s="1"/>
  <c r="BH248" i="1"/>
  <c r="BI248" i="1" s="1"/>
  <c r="BH12" i="1"/>
  <c r="BI12" i="1" s="1"/>
  <c r="BH279" i="1"/>
  <c r="BI279" i="1" s="1"/>
  <c r="BH249" i="1"/>
  <c r="BI249" i="1" s="1"/>
  <c r="BH250" i="1"/>
  <c r="BI250" i="1" s="1"/>
  <c r="BH251" i="1"/>
  <c r="BI251" i="1" s="1"/>
  <c r="BH252" i="1"/>
  <c r="BI252" i="1" s="1"/>
  <c r="BH253" i="1"/>
  <c r="BI253" i="1" s="1"/>
  <c r="BH255" i="1"/>
  <c r="BI255" i="1" s="1"/>
  <c r="BH256" i="1"/>
  <c r="BI256" i="1" s="1"/>
  <c r="BH257" i="1"/>
  <c r="BI257" i="1" s="1"/>
  <c r="BH258" i="1"/>
  <c r="BI258" i="1" s="1"/>
  <c r="BH259" i="1"/>
  <c r="BI259" i="1" s="1"/>
  <c r="BH317" i="1"/>
  <c r="BI317" i="1" s="1"/>
  <c r="BH303" i="1"/>
  <c r="BI303" i="1" s="1"/>
  <c r="BH260" i="1"/>
  <c r="BI260" i="1" s="1"/>
  <c r="BH261" i="1"/>
  <c r="BI261" i="1" s="1"/>
  <c r="BH262" i="1"/>
  <c r="BI262" i="1" s="1"/>
  <c r="BH263" i="1"/>
  <c r="BI263" i="1" s="1"/>
  <c r="BH264" i="1"/>
  <c r="BI264" i="1" s="1"/>
  <c r="BH266" i="1"/>
  <c r="BI266" i="1" s="1"/>
  <c r="BH267" i="1"/>
  <c r="BI267" i="1" s="1"/>
  <c r="BH268" i="1"/>
  <c r="BI268" i="1" s="1"/>
  <c r="BH269" i="1"/>
  <c r="BI269" i="1" s="1"/>
  <c r="BH270" i="1"/>
  <c r="BI270" i="1" s="1"/>
  <c r="BH13" i="1"/>
  <c r="BI13" i="1" s="1"/>
  <c r="BH21" i="1"/>
  <c r="BI21" i="1" s="1"/>
  <c r="BH271" i="1"/>
  <c r="BI271" i="1" s="1"/>
  <c r="BH24" i="1"/>
  <c r="BI24" i="1" s="1"/>
  <c r="BH35" i="1"/>
  <c r="BI35" i="1" s="1"/>
  <c r="BH46" i="1"/>
  <c r="BI46" i="1" s="1"/>
  <c r="BH57" i="1"/>
  <c r="BI57" i="1" s="1"/>
  <c r="BH68" i="1"/>
  <c r="BI68" i="1" s="1"/>
  <c r="BH79" i="1"/>
  <c r="BI79" i="1" s="1"/>
  <c r="BH90" i="1"/>
  <c r="BI90" i="1" s="1"/>
  <c r="BH101" i="1"/>
  <c r="BI101" i="1" s="1"/>
  <c r="BH111" i="1"/>
  <c r="BI111" i="1" s="1"/>
  <c r="BH318" i="1"/>
  <c r="BI318" i="1" s="1"/>
  <c r="BH287" i="1"/>
  <c r="BI287" i="1" s="1"/>
  <c r="BH25" i="1"/>
  <c r="BI25" i="1" s="1"/>
  <c r="BH26" i="1"/>
  <c r="BI26" i="1" s="1"/>
  <c r="BH27" i="1"/>
  <c r="BI27" i="1" s="1"/>
  <c r="BH28" i="1"/>
  <c r="BI28" i="1" s="1"/>
  <c r="BH29" i="1"/>
  <c r="BI29" i="1" s="1"/>
  <c r="BH30" i="1"/>
  <c r="BI30" i="1" s="1"/>
  <c r="BH31" i="1"/>
  <c r="BI31" i="1" s="1"/>
  <c r="BH32" i="1"/>
  <c r="BI32" i="1" s="1"/>
  <c r="BH33" i="1"/>
  <c r="BI33" i="1" s="1"/>
  <c r="BH34" i="1"/>
  <c r="BI34" i="1" s="1"/>
  <c r="BH14" i="1"/>
  <c r="BI14" i="1" s="1"/>
  <c r="BH326" i="1"/>
  <c r="BI326" i="1" s="1"/>
  <c r="BH36" i="1"/>
  <c r="BI36" i="1" s="1"/>
  <c r="BH37" i="1"/>
  <c r="BI37" i="1" s="1"/>
  <c r="BH38" i="1"/>
  <c r="BI38" i="1" s="1"/>
  <c r="BH39" i="1"/>
  <c r="BI39" i="1" s="1"/>
  <c r="BH40" i="1"/>
  <c r="BI40" i="1" s="1"/>
  <c r="BH41" i="1"/>
  <c r="BI41" i="1" s="1"/>
  <c r="BH42" i="1"/>
  <c r="BI42" i="1" s="1"/>
  <c r="BH43" i="1"/>
  <c r="BI43" i="1" s="1"/>
  <c r="BH44" i="1"/>
  <c r="BI44" i="1" s="1"/>
  <c r="BH45" i="1"/>
  <c r="BI45" i="1" s="1"/>
  <c r="BH307" i="1"/>
  <c r="BI307" i="1" s="1"/>
  <c r="BH129" i="1"/>
  <c r="BI129" i="1" s="1"/>
  <c r="BH47" i="1"/>
  <c r="BI47" i="1" s="1"/>
  <c r="BH48" i="1"/>
  <c r="BI48" i="1" s="1"/>
  <c r="BH49" i="1"/>
  <c r="BI49" i="1" s="1"/>
  <c r="BH50" i="1"/>
  <c r="BI50" i="1" s="1"/>
  <c r="BH51" i="1"/>
  <c r="BI51" i="1" s="1"/>
  <c r="BH52" i="1"/>
  <c r="BI52" i="1" s="1"/>
  <c r="BH53" i="1"/>
  <c r="BI53" i="1" s="1"/>
  <c r="BH54" i="1"/>
  <c r="BI54" i="1" s="1"/>
  <c r="BH55" i="1"/>
  <c r="BI55" i="1" s="1"/>
  <c r="BH56" i="1"/>
  <c r="BI56" i="1" s="1"/>
  <c r="BH6" i="1"/>
  <c r="BI6" i="1" s="1"/>
  <c r="BH280" i="1"/>
  <c r="BI280" i="1" s="1"/>
  <c r="BH58" i="1"/>
  <c r="BI58" i="1" s="1"/>
  <c r="BH59" i="1"/>
  <c r="BI59" i="1" s="1"/>
  <c r="BH60" i="1"/>
  <c r="BI60" i="1" s="1"/>
  <c r="BH61" i="1"/>
  <c r="BI61" i="1" s="1"/>
  <c r="BH62" i="1"/>
  <c r="BI62" i="1" s="1"/>
  <c r="BH63" i="1"/>
  <c r="BI63" i="1" s="1"/>
  <c r="BH64" i="1"/>
  <c r="BI64" i="1" s="1"/>
  <c r="BH65" i="1"/>
  <c r="BI65" i="1" s="1"/>
  <c r="BH66" i="1"/>
  <c r="BI66" i="1" s="1"/>
  <c r="BH67" i="1"/>
  <c r="BI67" i="1" s="1"/>
  <c r="BH320" i="1"/>
  <c r="BI320" i="1" s="1"/>
  <c r="BH302" i="1"/>
  <c r="BI302" i="1" s="1"/>
  <c r="BH69" i="1"/>
  <c r="BI69" i="1" s="1"/>
  <c r="BH70" i="1"/>
  <c r="BI70" i="1" s="1"/>
  <c r="BH71" i="1"/>
  <c r="BI71" i="1" s="1"/>
  <c r="BH72" i="1"/>
  <c r="BI72" i="1" s="1"/>
  <c r="BH73" i="1"/>
  <c r="BI73" i="1" s="1"/>
  <c r="BH74" i="1"/>
  <c r="BI74" i="1" s="1"/>
  <c r="BH75" i="1"/>
  <c r="BI75" i="1" s="1"/>
  <c r="BH76" i="1"/>
  <c r="BI76" i="1" s="1"/>
  <c r="BH77" i="1"/>
  <c r="BI77" i="1" s="1"/>
  <c r="BH78" i="1"/>
  <c r="BI78" i="1" s="1"/>
  <c r="BH5" i="1"/>
  <c r="BI5" i="1" s="1"/>
  <c r="BH18" i="1"/>
  <c r="BI18" i="1" s="1"/>
  <c r="BH80" i="1"/>
  <c r="BI80" i="1" s="1"/>
  <c r="BH81" i="1"/>
  <c r="BI81" i="1" s="1"/>
  <c r="BH82" i="1"/>
  <c r="BI82" i="1" s="1"/>
  <c r="BH83" i="1"/>
  <c r="BI83" i="1" s="1"/>
  <c r="BH84" i="1"/>
  <c r="BI84" i="1" s="1"/>
  <c r="BH85" i="1"/>
  <c r="BI85" i="1" s="1"/>
  <c r="BH86" i="1"/>
  <c r="BI86" i="1" s="1"/>
  <c r="BH87" i="1"/>
  <c r="BI87" i="1" s="1"/>
  <c r="BH88" i="1"/>
  <c r="BI88" i="1" s="1"/>
  <c r="BH89" i="1"/>
  <c r="BI89" i="1" s="1"/>
  <c r="BH309" i="1"/>
  <c r="BI309" i="1" s="1"/>
  <c r="BH284" i="1"/>
  <c r="BI284" i="1" s="1"/>
  <c r="BH91" i="1"/>
  <c r="BI91" i="1" s="1"/>
  <c r="BH92" i="1"/>
  <c r="BI92" i="1" s="1"/>
  <c r="BH93" i="1"/>
  <c r="BI93" i="1" s="1"/>
  <c r="BH94" i="1"/>
  <c r="BI94" i="1" s="1"/>
  <c r="BH95" i="1"/>
  <c r="BI95" i="1" s="1"/>
  <c r="BH96" i="1"/>
  <c r="BI96" i="1" s="1"/>
  <c r="BH97" i="1"/>
  <c r="BI97" i="1" s="1"/>
  <c r="BH98" i="1"/>
  <c r="BI98" i="1" s="1"/>
  <c r="BH99" i="1"/>
  <c r="BI99" i="1" s="1"/>
  <c r="BH100" i="1"/>
  <c r="BI100" i="1" s="1"/>
  <c r="BH4" i="1"/>
  <c r="BI4" i="1" s="1"/>
  <c r="BH323" i="1"/>
  <c r="BI323" i="1" s="1"/>
  <c r="BH102" i="1"/>
  <c r="BI102" i="1" s="1"/>
  <c r="BH103" i="1"/>
  <c r="BI103" i="1" s="1"/>
  <c r="BH104" i="1"/>
  <c r="BI104" i="1" s="1"/>
  <c r="BH105" i="1"/>
  <c r="BI105" i="1" s="1"/>
  <c r="BH106" i="1"/>
  <c r="BI106" i="1" s="1"/>
  <c r="BH107" i="1"/>
  <c r="BI107" i="1" s="1"/>
  <c r="BH108" i="1"/>
  <c r="BI108" i="1" s="1"/>
  <c r="BH109" i="1"/>
  <c r="BI109" i="1" s="1"/>
  <c r="BH110" i="1"/>
  <c r="BI110" i="1" s="1"/>
  <c r="BH329" i="1"/>
  <c r="BI329" i="1" s="1"/>
  <c r="BH319" i="1"/>
  <c r="BI319" i="1" s="1"/>
  <c r="BH126" i="1"/>
  <c r="BI126" i="1" s="1"/>
  <c r="BH330" i="1"/>
  <c r="BI330" i="1" s="1"/>
  <c r="BH331" i="1"/>
  <c r="BI331" i="1" s="1"/>
  <c r="BH332" i="1"/>
  <c r="BI332" i="1"/>
  <c r="BH333" i="1"/>
  <c r="BI333" i="1" s="1"/>
  <c r="BH334" i="1"/>
  <c r="BI334" i="1" s="1"/>
  <c r="BH337" i="1"/>
  <c r="BI337" i="1" s="1"/>
  <c r="BH338" i="1"/>
  <c r="BI338" i="1" s="1"/>
  <c r="BH339" i="1"/>
  <c r="BI339" i="1" s="1"/>
  <c r="BH340" i="1"/>
  <c r="BI340" i="1" s="1"/>
  <c r="BH341" i="1"/>
  <c r="BI341" i="1" s="1"/>
  <c r="BH342" i="1"/>
  <c r="BI342" i="1" s="1"/>
  <c r="BH3" i="1"/>
  <c r="BI3" i="1" s="1"/>
  <c r="BH277" i="1"/>
  <c r="BI277" i="1" s="1"/>
  <c r="BH343" i="1"/>
  <c r="BI343" i="1" s="1"/>
  <c r="BH344" i="1"/>
  <c r="BI344" i="1" s="1"/>
  <c r="BH345" i="1"/>
  <c r="BI345" i="1" s="1"/>
  <c r="BH114" i="1"/>
  <c r="BI114" i="1" s="1"/>
  <c r="BH116" i="1"/>
  <c r="BI116" i="1" s="1"/>
  <c r="BH117" i="1"/>
  <c r="BI117" i="1" s="1"/>
  <c r="BH118" i="1"/>
  <c r="BI118" i="1" s="1"/>
  <c r="BH119" i="1"/>
  <c r="BI119" i="1" s="1"/>
  <c r="BH120" i="1"/>
  <c r="BI120" i="1"/>
  <c r="BH121" i="1"/>
  <c r="BI121" i="1" s="1"/>
  <c r="BH310" i="1"/>
  <c r="BI310" i="1" s="1"/>
  <c r="BH304" i="1"/>
  <c r="BI304" i="1" s="1"/>
  <c r="BH122" i="1"/>
  <c r="BI122" i="1" s="1"/>
  <c r="BH123" i="1"/>
  <c r="BI123" i="1" s="1"/>
  <c r="BH115" i="1"/>
  <c r="BI115" i="1" s="1"/>
  <c r="BH290" i="1"/>
  <c r="BI290" i="1" s="1"/>
  <c r="BH291" i="1"/>
  <c r="BI291" i="1"/>
  <c r="BH292" i="1"/>
  <c r="BI292" i="1" s="1"/>
  <c r="BH293" i="1"/>
  <c r="BI293" i="1" s="1"/>
  <c r="BH294" i="1"/>
  <c r="BI294" i="1" s="1"/>
  <c r="BH295" i="1"/>
  <c r="BI295" i="1"/>
  <c r="BH296" i="1"/>
  <c r="BI296" i="1" s="1"/>
  <c r="BH2" i="1"/>
  <c r="BI2" i="1" s="1"/>
  <c r="BH17" i="1"/>
  <c r="BI17" i="1" s="1"/>
  <c r="BH297" i="1"/>
  <c r="BI297" i="1" s="1"/>
  <c r="BH308" i="1"/>
  <c r="BI308" i="1" s="1"/>
  <c r="BH283" i="1"/>
  <c r="BI283" i="1" s="1"/>
  <c r="BH348" i="1"/>
  <c r="BI348" i="1" s="1"/>
  <c r="X349" i="1"/>
  <c r="X350" i="1"/>
  <c r="X351" i="1"/>
  <c r="X352" i="1"/>
  <c r="X353" i="1"/>
  <c r="X132" i="1"/>
  <c r="X133" i="1"/>
  <c r="X134" i="1"/>
  <c r="X135" i="1"/>
  <c r="X136" i="1"/>
  <c r="X137" i="1"/>
  <c r="X138" i="1"/>
  <c r="X139" i="1"/>
  <c r="X140" i="1"/>
  <c r="X141" i="1"/>
  <c r="X311" i="1"/>
  <c r="X300" i="1"/>
  <c r="X142" i="1"/>
  <c r="X143" i="1"/>
  <c r="X144" i="1"/>
  <c r="X145" i="1"/>
  <c r="X146" i="1"/>
  <c r="X147" i="1"/>
  <c r="X148" i="1"/>
  <c r="X149" i="1"/>
  <c r="X150" i="1"/>
  <c r="X151" i="1"/>
  <c r="X7" i="1"/>
  <c r="X19" i="1"/>
  <c r="X152" i="1"/>
  <c r="X153" i="1"/>
  <c r="X154" i="1"/>
  <c r="X155" i="1"/>
  <c r="X156" i="1"/>
  <c r="X157" i="1"/>
  <c r="X158" i="1"/>
  <c r="X159" i="1"/>
  <c r="X160" i="1"/>
  <c r="X161" i="1"/>
  <c r="X312" i="1"/>
  <c r="X285" i="1"/>
  <c r="X162" i="1"/>
  <c r="X163" i="1"/>
  <c r="X164" i="1"/>
  <c r="X165" i="1"/>
  <c r="X166" i="1"/>
  <c r="X167" i="1"/>
  <c r="X168" i="1"/>
  <c r="X169" i="1"/>
  <c r="X170" i="1"/>
  <c r="X171" i="1"/>
  <c r="X8" i="1"/>
  <c r="X324" i="1"/>
  <c r="X172" i="1"/>
  <c r="X173" i="1"/>
  <c r="X174" i="1"/>
  <c r="X175" i="1"/>
  <c r="X176" i="1"/>
  <c r="X177" i="1"/>
  <c r="X178" i="1"/>
  <c r="X179" i="1"/>
  <c r="X180" i="1"/>
  <c r="X181" i="1"/>
  <c r="X313" i="1"/>
  <c r="X127" i="1"/>
  <c r="X182" i="1"/>
  <c r="X183" i="1"/>
  <c r="X184" i="1"/>
  <c r="X185" i="1"/>
  <c r="X186" i="1"/>
  <c r="X187" i="1"/>
  <c r="X188" i="1"/>
  <c r="X189" i="1"/>
  <c r="X190" i="1"/>
  <c r="X191" i="1"/>
  <c r="X9" i="1"/>
  <c r="X278" i="1"/>
  <c r="X192" i="1"/>
  <c r="X193" i="1"/>
  <c r="X194" i="1"/>
  <c r="X195" i="1"/>
  <c r="X196" i="1"/>
  <c r="X197" i="1"/>
  <c r="X198" i="1"/>
  <c r="X199" i="1"/>
  <c r="X200" i="1"/>
  <c r="X201" i="1"/>
  <c r="X314" i="1"/>
  <c r="X301" i="1"/>
  <c r="X202" i="1"/>
  <c r="X203" i="1"/>
  <c r="X204" i="1"/>
  <c r="X205" i="1"/>
  <c r="X206" i="1"/>
  <c r="X207" i="1"/>
  <c r="X210" i="1"/>
  <c r="X221" i="1"/>
  <c r="X232" i="1"/>
  <c r="X243" i="1"/>
  <c r="X10" i="1"/>
  <c r="X20" i="1"/>
  <c r="X254" i="1"/>
  <c r="X265" i="1"/>
  <c r="X272" i="1"/>
  <c r="X273" i="1"/>
  <c r="X274" i="1"/>
  <c r="X211" i="1"/>
  <c r="X212" i="1"/>
  <c r="X213" i="1"/>
  <c r="X214" i="1"/>
  <c r="X215" i="1"/>
  <c r="X315" i="1"/>
  <c r="X286" i="1"/>
  <c r="X216" i="1"/>
  <c r="X217" i="1"/>
  <c r="X218" i="1"/>
  <c r="X219" i="1"/>
  <c r="X220" i="1"/>
  <c r="X222" i="1"/>
  <c r="X223" i="1"/>
  <c r="X224" i="1"/>
  <c r="X225" i="1"/>
  <c r="X226" i="1"/>
  <c r="X11" i="1"/>
  <c r="X325" i="1"/>
  <c r="X227" i="1"/>
  <c r="X228" i="1"/>
  <c r="X229" i="1"/>
  <c r="X230" i="1"/>
  <c r="X231" i="1"/>
  <c r="X233" i="1"/>
  <c r="X234" i="1"/>
  <c r="X235" i="1"/>
  <c r="X236" i="1"/>
  <c r="X237" i="1"/>
  <c r="X316" i="1"/>
  <c r="X128" i="1"/>
  <c r="X238" i="1"/>
  <c r="X239" i="1"/>
  <c r="X240" i="1"/>
  <c r="X241" i="1"/>
  <c r="X242" i="1"/>
  <c r="X244" i="1"/>
  <c r="X245" i="1"/>
  <c r="X246" i="1"/>
  <c r="X247" i="1"/>
  <c r="X248" i="1"/>
  <c r="X12" i="1"/>
  <c r="X279" i="1"/>
  <c r="X249" i="1"/>
  <c r="X250" i="1"/>
  <c r="X251" i="1"/>
  <c r="X252" i="1"/>
  <c r="X253" i="1"/>
  <c r="X255" i="1"/>
  <c r="X256" i="1"/>
  <c r="X257" i="1"/>
  <c r="X258" i="1"/>
  <c r="X259" i="1"/>
  <c r="X317" i="1"/>
  <c r="X303" i="1"/>
  <c r="X260" i="1"/>
  <c r="X261" i="1"/>
  <c r="X262" i="1"/>
  <c r="X263" i="1"/>
  <c r="X264" i="1"/>
  <c r="X266" i="1"/>
  <c r="X267" i="1"/>
  <c r="X268" i="1"/>
  <c r="X269" i="1"/>
  <c r="X270" i="1"/>
  <c r="X13" i="1"/>
  <c r="X21" i="1"/>
  <c r="X271" i="1"/>
  <c r="X24" i="1"/>
  <c r="X35" i="1"/>
  <c r="X46" i="1"/>
  <c r="X57" i="1"/>
  <c r="X68" i="1"/>
  <c r="X79" i="1"/>
  <c r="X90" i="1"/>
  <c r="X101" i="1"/>
  <c r="X111" i="1"/>
  <c r="X318" i="1"/>
  <c r="X287" i="1"/>
  <c r="X25" i="1"/>
  <c r="X26" i="1"/>
  <c r="X27" i="1"/>
  <c r="X28" i="1"/>
  <c r="X29" i="1"/>
  <c r="X30" i="1"/>
  <c r="X31" i="1"/>
  <c r="X32" i="1"/>
  <c r="X33" i="1"/>
  <c r="X34" i="1"/>
  <c r="X14" i="1"/>
  <c r="X326" i="1"/>
  <c r="X36" i="1"/>
  <c r="X37" i="1"/>
  <c r="X38" i="1"/>
  <c r="X39" i="1"/>
  <c r="X40" i="1"/>
  <c r="X41" i="1"/>
  <c r="X42" i="1"/>
  <c r="X43" i="1"/>
  <c r="X44" i="1"/>
  <c r="X45" i="1"/>
  <c r="X307" i="1"/>
  <c r="X129" i="1"/>
  <c r="X47" i="1"/>
  <c r="X48" i="1"/>
  <c r="X49" i="1"/>
  <c r="X50" i="1"/>
  <c r="X51" i="1"/>
  <c r="X52" i="1"/>
  <c r="X53" i="1"/>
  <c r="X54" i="1"/>
  <c r="X55" i="1"/>
  <c r="X56" i="1"/>
  <c r="X6" i="1"/>
  <c r="X280" i="1"/>
  <c r="X58" i="1"/>
  <c r="X59" i="1"/>
  <c r="X60" i="1"/>
  <c r="X61" i="1"/>
  <c r="X62" i="1"/>
  <c r="X63" i="1"/>
  <c r="X64" i="1"/>
  <c r="X65" i="1"/>
  <c r="X66" i="1"/>
  <c r="X67" i="1"/>
  <c r="X320" i="1"/>
  <c r="X302" i="1"/>
  <c r="X69" i="1"/>
  <c r="X70" i="1"/>
  <c r="X71" i="1"/>
  <c r="X72" i="1"/>
  <c r="X73" i="1"/>
  <c r="X74" i="1"/>
  <c r="X75" i="1"/>
  <c r="X76" i="1"/>
  <c r="X77" i="1"/>
  <c r="X78" i="1"/>
  <c r="X5" i="1"/>
  <c r="X18" i="1"/>
  <c r="X80" i="1"/>
  <c r="X81" i="1"/>
  <c r="X82" i="1"/>
  <c r="X83" i="1"/>
  <c r="X84" i="1"/>
  <c r="X85" i="1"/>
  <c r="X86" i="1"/>
  <c r="X87" i="1"/>
  <c r="X88" i="1"/>
  <c r="X89" i="1"/>
  <c r="X309" i="1"/>
  <c r="X284" i="1"/>
  <c r="X91" i="1"/>
  <c r="X92" i="1"/>
  <c r="X93" i="1"/>
  <c r="X94" i="1"/>
  <c r="X95" i="1"/>
  <c r="X96" i="1"/>
  <c r="X97" i="1"/>
  <c r="X98" i="1"/>
  <c r="X99" i="1"/>
  <c r="X100" i="1"/>
  <c r="X4" i="1"/>
  <c r="X323" i="1"/>
  <c r="X102" i="1"/>
  <c r="X103" i="1"/>
  <c r="X104" i="1"/>
  <c r="X105" i="1"/>
  <c r="X106" i="1"/>
  <c r="X107" i="1"/>
  <c r="X108" i="1"/>
  <c r="X109" i="1"/>
  <c r="X110" i="1"/>
  <c r="X329" i="1"/>
  <c r="X319" i="1"/>
  <c r="X126" i="1"/>
  <c r="X330" i="1"/>
  <c r="X331" i="1"/>
  <c r="X332" i="1"/>
  <c r="X333" i="1"/>
  <c r="X334" i="1"/>
  <c r="X337" i="1"/>
  <c r="X338" i="1"/>
  <c r="X339" i="1"/>
  <c r="X340" i="1"/>
  <c r="X341" i="1"/>
  <c r="X342" i="1"/>
  <c r="X3" i="1"/>
  <c r="X277" i="1"/>
  <c r="X343" i="1"/>
  <c r="X344" i="1"/>
  <c r="X345" i="1"/>
  <c r="X114" i="1"/>
  <c r="X116" i="1"/>
  <c r="X117" i="1"/>
  <c r="X118" i="1"/>
  <c r="X119" i="1"/>
  <c r="X120" i="1"/>
  <c r="X121" i="1"/>
  <c r="X310" i="1"/>
  <c r="X304" i="1"/>
  <c r="X122" i="1"/>
  <c r="X123" i="1"/>
  <c r="X115" i="1"/>
  <c r="X290" i="1"/>
  <c r="X291" i="1"/>
  <c r="X292" i="1"/>
  <c r="X293" i="1"/>
  <c r="X294" i="1"/>
  <c r="X295" i="1"/>
  <c r="X296" i="1"/>
  <c r="X2" i="1"/>
  <c r="X17" i="1"/>
  <c r="X297" i="1"/>
  <c r="X308" i="1"/>
  <c r="X283" i="1"/>
  <c r="X348" i="1"/>
  <c r="V349" i="1"/>
  <c r="W349" i="1"/>
  <c r="V350" i="1"/>
  <c r="W350" i="1"/>
  <c r="V351" i="1"/>
  <c r="W351" i="1"/>
  <c r="V352" i="1"/>
  <c r="W352" i="1"/>
  <c r="V353" i="1"/>
  <c r="W353" i="1"/>
  <c r="V132" i="1"/>
  <c r="W132" i="1"/>
  <c r="V133" i="1"/>
  <c r="W133" i="1"/>
  <c r="V134" i="1"/>
  <c r="W134" i="1"/>
  <c r="V135" i="1"/>
  <c r="W135" i="1"/>
  <c r="V136" i="1"/>
  <c r="W136" i="1"/>
  <c r="V137" i="1"/>
  <c r="W137" i="1"/>
  <c r="V138" i="1"/>
  <c r="W138" i="1"/>
  <c r="V139" i="1"/>
  <c r="W139" i="1"/>
  <c r="V140" i="1"/>
  <c r="W140" i="1"/>
  <c r="V141" i="1"/>
  <c r="W141" i="1"/>
  <c r="V311" i="1"/>
  <c r="W311" i="1"/>
  <c r="V300" i="1"/>
  <c r="W300" i="1"/>
  <c r="V142" i="1"/>
  <c r="W142" i="1"/>
  <c r="V143" i="1"/>
  <c r="W143" i="1"/>
  <c r="V144" i="1"/>
  <c r="W144" i="1"/>
  <c r="V145" i="1"/>
  <c r="W145" i="1"/>
  <c r="V146" i="1"/>
  <c r="W146" i="1"/>
  <c r="V147" i="1"/>
  <c r="W147" i="1"/>
  <c r="V148" i="1"/>
  <c r="W148" i="1"/>
  <c r="V149" i="1"/>
  <c r="W149" i="1"/>
  <c r="V150" i="1"/>
  <c r="W150" i="1"/>
  <c r="V151" i="1"/>
  <c r="W151" i="1"/>
  <c r="V7" i="1"/>
  <c r="W7" i="1"/>
  <c r="V19" i="1"/>
  <c r="W19" i="1"/>
  <c r="V152" i="1"/>
  <c r="W152" i="1"/>
  <c r="V153" i="1"/>
  <c r="W153" i="1"/>
  <c r="V154" i="1"/>
  <c r="W154" i="1"/>
  <c r="V155" i="1"/>
  <c r="W155" i="1"/>
  <c r="V156" i="1"/>
  <c r="W156" i="1"/>
  <c r="V157" i="1"/>
  <c r="W157" i="1"/>
  <c r="V158" i="1"/>
  <c r="W158" i="1"/>
  <c r="V159" i="1"/>
  <c r="W159" i="1"/>
  <c r="V160" i="1"/>
  <c r="W160" i="1"/>
  <c r="V161" i="1"/>
  <c r="W161" i="1"/>
  <c r="V312" i="1"/>
  <c r="W312" i="1"/>
  <c r="V285" i="1"/>
  <c r="W285" i="1"/>
  <c r="V162" i="1"/>
  <c r="W162" i="1"/>
  <c r="V163" i="1"/>
  <c r="W163" i="1"/>
  <c r="V164" i="1"/>
  <c r="W164" i="1"/>
  <c r="V165" i="1"/>
  <c r="W165" i="1"/>
  <c r="V166" i="1"/>
  <c r="W166" i="1"/>
  <c r="V167" i="1"/>
  <c r="W167" i="1"/>
  <c r="V168" i="1"/>
  <c r="W168" i="1"/>
  <c r="V169" i="1"/>
  <c r="W169" i="1"/>
  <c r="V170" i="1"/>
  <c r="W170" i="1"/>
  <c r="V171" i="1"/>
  <c r="W171" i="1"/>
  <c r="V8" i="1"/>
  <c r="W8" i="1"/>
  <c r="V324" i="1"/>
  <c r="W324" i="1"/>
  <c r="V172" i="1"/>
  <c r="W172" i="1"/>
  <c r="V173" i="1"/>
  <c r="W173" i="1"/>
  <c r="V174" i="1"/>
  <c r="W174" i="1"/>
  <c r="V175" i="1"/>
  <c r="W175" i="1"/>
  <c r="V176" i="1"/>
  <c r="W176" i="1"/>
  <c r="V177" i="1"/>
  <c r="W177" i="1"/>
  <c r="V178" i="1"/>
  <c r="W178" i="1"/>
  <c r="V179" i="1"/>
  <c r="W179" i="1"/>
  <c r="V180" i="1"/>
  <c r="W180" i="1"/>
  <c r="V181" i="1"/>
  <c r="W181" i="1"/>
  <c r="V313" i="1"/>
  <c r="W313" i="1"/>
  <c r="V127" i="1"/>
  <c r="W127" i="1"/>
  <c r="V182" i="1"/>
  <c r="W182" i="1"/>
  <c r="V183" i="1"/>
  <c r="W183" i="1"/>
  <c r="V184" i="1"/>
  <c r="W184" i="1"/>
  <c r="V185" i="1"/>
  <c r="W185" i="1"/>
  <c r="V186" i="1"/>
  <c r="W186" i="1"/>
  <c r="V187" i="1"/>
  <c r="W187" i="1"/>
  <c r="V188" i="1"/>
  <c r="W188" i="1"/>
  <c r="V189" i="1"/>
  <c r="W189" i="1"/>
  <c r="V190" i="1"/>
  <c r="W190" i="1"/>
  <c r="V191" i="1"/>
  <c r="W191" i="1"/>
  <c r="V9" i="1"/>
  <c r="W9" i="1"/>
  <c r="V278" i="1"/>
  <c r="W278" i="1"/>
  <c r="V192" i="1"/>
  <c r="W192" i="1"/>
  <c r="V193" i="1"/>
  <c r="W193" i="1"/>
  <c r="V194" i="1"/>
  <c r="W194" i="1"/>
  <c r="V195" i="1"/>
  <c r="W195" i="1"/>
  <c r="V196" i="1"/>
  <c r="W196" i="1"/>
  <c r="V197" i="1"/>
  <c r="W197" i="1"/>
  <c r="V198" i="1"/>
  <c r="W198" i="1"/>
  <c r="V199" i="1"/>
  <c r="W199" i="1"/>
  <c r="V200" i="1"/>
  <c r="W200" i="1"/>
  <c r="V201" i="1"/>
  <c r="W201" i="1"/>
  <c r="V314" i="1"/>
  <c r="W314" i="1"/>
  <c r="V301" i="1"/>
  <c r="W301" i="1"/>
  <c r="V202" i="1"/>
  <c r="W202" i="1"/>
  <c r="V203" i="1"/>
  <c r="W203" i="1"/>
  <c r="V204" i="1"/>
  <c r="W204" i="1"/>
  <c r="V205" i="1"/>
  <c r="W205" i="1"/>
  <c r="V206" i="1"/>
  <c r="W206" i="1"/>
  <c r="V207" i="1"/>
  <c r="W207" i="1"/>
  <c r="V210" i="1"/>
  <c r="W210" i="1"/>
  <c r="V221" i="1"/>
  <c r="W221" i="1"/>
  <c r="V232" i="1"/>
  <c r="W232" i="1"/>
  <c r="V243" i="1"/>
  <c r="W243" i="1"/>
  <c r="V10" i="1"/>
  <c r="W10" i="1"/>
  <c r="V20" i="1"/>
  <c r="W20" i="1"/>
  <c r="V254" i="1"/>
  <c r="W254" i="1"/>
  <c r="V265" i="1"/>
  <c r="W265" i="1"/>
  <c r="V272" i="1"/>
  <c r="W272" i="1"/>
  <c r="V273" i="1"/>
  <c r="W273" i="1"/>
  <c r="V274" i="1"/>
  <c r="W274" i="1"/>
  <c r="V211" i="1"/>
  <c r="W211" i="1"/>
  <c r="V212" i="1"/>
  <c r="W212" i="1"/>
  <c r="V213" i="1"/>
  <c r="W213" i="1"/>
  <c r="V214" i="1"/>
  <c r="W214" i="1"/>
  <c r="V215" i="1"/>
  <c r="W215" i="1"/>
  <c r="V315" i="1"/>
  <c r="W315" i="1"/>
  <c r="V286" i="1"/>
  <c r="W286" i="1"/>
  <c r="V216" i="1"/>
  <c r="W216" i="1"/>
  <c r="V217" i="1"/>
  <c r="W217" i="1"/>
  <c r="V218" i="1"/>
  <c r="W218" i="1"/>
  <c r="V219" i="1"/>
  <c r="W219" i="1"/>
  <c r="V220" i="1"/>
  <c r="W220" i="1"/>
  <c r="V222" i="1"/>
  <c r="W222" i="1"/>
  <c r="V223" i="1"/>
  <c r="W223" i="1"/>
  <c r="V224" i="1"/>
  <c r="W224" i="1"/>
  <c r="V225" i="1"/>
  <c r="W225" i="1"/>
  <c r="V226" i="1"/>
  <c r="W226" i="1"/>
  <c r="V11" i="1"/>
  <c r="W11" i="1"/>
  <c r="V325" i="1"/>
  <c r="W325" i="1"/>
  <c r="V227" i="1"/>
  <c r="W227" i="1"/>
  <c r="V228" i="1"/>
  <c r="W228" i="1"/>
  <c r="V229" i="1"/>
  <c r="W229" i="1"/>
  <c r="V230" i="1"/>
  <c r="W230" i="1"/>
  <c r="V231" i="1"/>
  <c r="W231" i="1"/>
  <c r="V233" i="1"/>
  <c r="W233" i="1"/>
  <c r="V234" i="1"/>
  <c r="W234" i="1"/>
  <c r="V235" i="1"/>
  <c r="W235" i="1"/>
  <c r="V236" i="1"/>
  <c r="W236" i="1"/>
  <c r="V237" i="1"/>
  <c r="W237" i="1"/>
  <c r="V316" i="1"/>
  <c r="W316" i="1"/>
  <c r="V128" i="1"/>
  <c r="W128" i="1"/>
  <c r="V238" i="1"/>
  <c r="W238" i="1"/>
  <c r="V239" i="1"/>
  <c r="W239" i="1"/>
  <c r="V240" i="1"/>
  <c r="W240" i="1"/>
  <c r="V241" i="1"/>
  <c r="W241" i="1"/>
  <c r="V242" i="1"/>
  <c r="W242" i="1"/>
  <c r="V244" i="1"/>
  <c r="W244" i="1"/>
  <c r="V245" i="1"/>
  <c r="W245" i="1"/>
  <c r="V246" i="1"/>
  <c r="W246" i="1"/>
  <c r="V247" i="1"/>
  <c r="W247" i="1"/>
  <c r="V248" i="1"/>
  <c r="W248" i="1"/>
  <c r="V12" i="1"/>
  <c r="W12" i="1"/>
  <c r="V279" i="1"/>
  <c r="W279" i="1"/>
  <c r="V249" i="1"/>
  <c r="W249" i="1"/>
  <c r="V250" i="1"/>
  <c r="W250" i="1"/>
  <c r="V251" i="1"/>
  <c r="W251" i="1"/>
  <c r="V252" i="1"/>
  <c r="W252" i="1"/>
  <c r="V253" i="1"/>
  <c r="W253" i="1"/>
  <c r="V255" i="1"/>
  <c r="W255" i="1"/>
  <c r="V256" i="1"/>
  <c r="W256" i="1"/>
  <c r="V257" i="1"/>
  <c r="W257" i="1"/>
  <c r="V258" i="1"/>
  <c r="W258" i="1"/>
  <c r="V259" i="1"/>
  <c r="W259" i="1"/>
  <c r="V317" i="1"/>
  <c r="W317" i="1"/>
  <c r="V303" i="1"/>
  <c r="W303" i="1"/>
  <c r="V260" i="1"/>
  <c r="W260" i="1"/>
  <c r="V261" i="1"/>
  <c r="W261" i="1"/>
  <c r="V262" i="1"/>
  <c r="W262" i="1"/>
  <c r="V263" i="1"/>
  <c r="W263" i="1"/>
  <c r="V264" i="1"/>
  <c r="W264" i="1"/>
  <c r="V266" i="1"/>
  <c r="W266" i="1"/>
  <c r="V267" i="1"/>
  <c r="W267" i="1"/>
  <c r="V268" i="1"/>
  <c r="W268" i="1"/>
  <c r="V269" i="1"/>
  <c r="W269" i="1"/>
  <c r="V270" i="1"/>
  <c r="W270" i="1"/>
  <c r="V13" i="1"/>
  <c r="W13" i="1"/>
  <c r="V21" i="1"/>
  <c r="W21" i="1"/>
  <c r="V271" i="1"/>
  <c r="W271" i="1"/>
  <c r="V24" i="1"/>
  <c r="W24" i="1"/>
  <c r="V35" i="1"/>
  <c r="W35" i="1"/>
  <c r="V46" i="1"/>
  <c r="W46" i="1"/>
  <c r="V57" i="1"/>
  <c r="W57" i="1"/>
  <c r="V68" i="1"/>
  <c r="W68" i="1"/>
  <c r="V79" i="1"/>
  <c r="W79" i="1"/>
  <c r="V90" i="1"/>
  <c r="W90" i="1"/>
  <c r="V101" i="1"/>
  <c r="W101" i="1"/>
  <c r="V111" i="1"/>
  <c r="W111" i="1"/>
  <c r="V318" i="1"/>
  <c r="W318" i="1"/>
  <c r="V287" i="1"/>
  <c r="W287" i="1"/>
  <c r="V25" i="1"/>
  <c r="W25" i="1"/>
  <c r="V26" i="1"/>
  <c r="W26" i="1"/>
  <c r="V27" i="1"/>
  <c r="W27" i="1"/>
  <c r="V28" i="1"/>
  <c r="W28" i="1"/>
  <c r="V29" i="1"/>
  <c r="W29" i="1"/>
  <c r="V30" i="1"/>
  <c r="W30" i="1"/>
  <c r="V31" i="1"/>
  <c r="W31" i="1"/>
  <c r="V32" i="1"/>
  <c r="W32" i="1"/>
  <c r="V33" i="1"/>
  <c r="W33" i="1"/>
  <c r="V34" i="1"/>
  <c r="W34" i="1"/>
  <c r="V14" i="1"/>
  <c r="W14" i="1"/>
  <c r="V326" i="1"/>
  <c r="W326" i="1"/>
  <c r="V36" i="1"/>
  <c r="W36" i="1"/>
  <c r="V37" i="1"/>
  <c r="W37" i="1"/>
  <c r="V38" i="1"/>
  <c r="W38" i="1"/>
  <c r="V39" i="1"/>
  <c r="W39" i="1"/>
  <c r="V40" i="1"/>
  <c r="W40" i="1"/>
  <c r="V41" i="1"/>
  <c r="W41" i="1"/>
  <c r="V42" i="1"/>
  <c r="W42" i="1"/>
  <c r="V43" i="1"/>
  <c r="W43" i="1"/>
  <c r="V44" i="1"/>
  <c r="W44" i="1"/>
  <c r="V45" i="1"/>
  <c r="W45" i="1"/>
  <c r="V307" i="1"/>
  <c r="W307" i="1"/>
  <c r="V129" i="1"/>
  <c r="W129" i="1"/>
  <c r="V47" i="1"/>
  <c r="W47" i="1"/>
  <c r="V48" i="1"/>
  <c r="W48" i="1"/>
  <c r="V49" i="1"/>
  <c r="W49" i="1"/>
  <c r="V50" i="1"/>
  <c r="W50" i="1"/>
  <c r="V51" i="1"/>
  <c r="W51" i="1"/>
  <c r="V52" i="1"/>
  <c r="W52" i="1"/>
  <c r="V53" i="1"/>
  <c r="W53" i="1"/>
  <c r="V54" i="1"/>
  <c r="W54" i="1"/>
  <c r="V55" i="1"/>
  <c r="W55" i="1"/>
  <c r="V56" i="1"/>
  <c r="W56" i="1"/>
  <c r="V6" i="1"/>
  <c r="W6" i="1"/>
  <c r="V280" i="1"/>
  <c r="W280" i="1"/>
  <c r="V58" i="1"/>
  <c r="W58" i="1"/>
  <c r="V59" i="1"/>
  <c r="W59" i="1"/>
  <c r="V60" i="1"/>
  <c r="W60" i="1"/>
  <c r="V61" i="1"/>
  <c r="W61" i="1"/>
  <c r="V62" i="1"/>
  <c r="W62" i="1"/>
  <c r="V63" i="1"/>
  <c r="W63" i="1"/>
  <c r="V64" i="1"/>
  <c r="W64" i="1"/>
  <c r="V65" i="1"/>
  <c r="W65" i="1"/>
  <c r="V66" i="1"/>
  <c r="W66" i="1"/>
  <c r="V67" i="1"/>
  <c r="W67" i="1"/>
  <c r="V320" i="1"/>
  <c r="W320" i="1"/>
  <c r="V302" i="1"/>
  <c r="W302" i="1"/>
  <c r="V69" i="1"/>
  <c r="W69" i="1"/>
  <c r="V70" i="1"/>
  <c r="W70" i="1"/>
  <c r="V71" i="1"/>
  <c r="W71" i="1"/>
  <c r="V72" i="1"/>
  <c r="W72" i="1"/>
  <c r="V73" i="1"/>
  <c r="W73" i="1"/>
  <c r="V74" i="1"/>
  <c r="W74" i="1"/>
  <c r="V75" i="1"/>
  <c r="W75" i="1"/>
  <c r="V76" i="1"/>
  <c r="W76" i="1"/>
  <c r="V77" i="1"/>
  <c r="W77" i="1"/>
  <c r="V78" i="1"/>
  <c r="W78" i="1"/>
  <c r="V5" i="1"/>
  <c r="W5" i="1"/>
  <c r="V18" i="1"/>
  <c r="W18" i="1"/>
  <c r="V80" i="1"/>
  <c r="W80" i="1"/>
  <c r="V81" i="1"/>
  <c r="W81" i="1"/>
  <c r="V82" i="1"/>
  <c r="W82" i="1"/>
  <c r="V83" i="1"/>
  <c r="W83" i="1"/>
  <c r="V84" i="1"/>
  <c r="W84" i="1"/>
  <c r="V85" i="1"/>
  <c r="W85" i="1"/>
  <c r="V86" i="1"/>
  <c r="W86" i="1"/>
  <c r="V87" i="1"/>
  <c r="W87" i="1"/>
  <c r="V88" i="1"/>
  <c r="W88" i="1"/>
  <c r="V89" i="1"/>
  <c r="W89" i="1"/>
  <c r="V309" i="1"/>
  <c r="W309" i="1"/>
  <c r="V284" i="1"/>
  <c r="W284" i="1"/>
  <c r="V91" i="1"/>
  <c r="W91" i="1"/>
  <c r="V92" i="1"/>
  <c r="W92" i="1"/>
  <c r="V93" i="1"/>
  <c r="W93" i="1"/>
  <c r="V94" i="1"/>
  <c r="W94" i="1"/>
  <c r="V95" i="1"/>
  <c r="W95" i="1"/>
  <c r="V96" i="1"/>
  <c r="W96" i="1"/>
  <c r="V97" i="1"/>
  <c r="W97" i="1"/>
  <c r="V98" i="1"/>
  <c r="W98" i="1"/>
  <c r="V99" i="1"/>
  <c r="W99" i="1"/>
  <c r="V100" i="1"/>
  <c r="W100" i="1"/>
  <c r="V4" i="1"/>
  <c r="W4" i="1"/>
  <c r="V323" i="1"/>
  <c r="W323" i="1"/>
  <c r="V102" i="1"/>
  <c r="W102" i="1"/>
  <c r="V103" i="1"/>
  <c r="W103" i="1"/>
  <c r="V104" i="1"/>
  <c r="W104" i="1"/>
  <c r="V105" i="1"/>
  <c r="W105" i="1"/>
  <c r="V106" i="1"/>
  <c r="W106" i="1"/>
  <c r="V107" i="1"/>
  <c r="W107" i="1"/>
  <c r="V108" i="1"/>
  <c r="W108" i="1"/>
  <c r="V109" i="1"/>
  <c r="W109" i="1"/>
  <c r="V110" i="1"/>
  <c r="W110" i="1"/>
  <c r="V329" i="1"/>
  <c r="W329" i="1"/>
  <c r="V319" i="1"/>
  <c r="W319" i="1"/>
  <c r="V126" i="1"/>
  <c r="W126" i="1"/>
  <c r="V330" i="1"/>
  <c r="W330" i="1"/>
  <c r="V331" i="1"/>
  <c r="W331" i="1"/>
  <c r="V332" i="1"/>
  <c r="W332" i="1"/>
  <c r="V333" i="1"/>
  <c r="W333" i="1"/>
  <c r="V334" i="1"/>
  <c r="W334" i="1"/>
  <c r="V337" i="1"/>
  <c r="W337" i="1"/>
  <c r="V338" i="1"/>
  <c r="W338" i="1"/>
  <c r="V339" i="1"/>
  <c r="W339" i="1"/>
  <c r="V340" i="1"/>
  <c r="W340" i="1"/>
  <c r="V341" i="1"/>
  <c r="W341" i="1"/>
  <c r="V342" i="1"/>
  <c r="W342" i="1"/>
  <c r="V3" i="1"/>
  <c r="W3" i="1"/>
  <c r="V277" i="1"/>
  <c r="W277" i="1"/>
  <c r="V343" i="1"/>
  <c r="W343" i="1"/>
  <c r="V344" i="1"/>
  <c r="W344" i="1"/>
  <c r="V345" i="1"/>
  <c r="W345" i="1"/>
  <c r="V114" i="1"/>
  <c r="W114" i="1"/>
  <c r="V116" i="1"/>
  <c r="W116" i="1"/>
  <c r="V117" i="1"/>
  <c r="W117" i="1"/>
  <c r="V118" i="1"/>
  <c r="W118" i="1"/>
  <c r="V119" i="1"/>
  <c r="W119" i="1"/>
  <c r="V120" i="1"/>
  <c r="W120" i="1"/>
  <c r="V121" i="1"/>
  <c r="W121" i="1"/>
  <c r="V310" i="1"/>
  <c r="W310" i="1"/>
  <c r="V304" i="1"/>
  <c r="W304" i="1"/>
  <c r="V122" i="1"/>
  <c r="W122" i="1"/>
  <c r="V123" i="1"/>
  <c r="W123" i="1"/>
  <c r="V115" i="1"/>
  <c r="W115" i="1"/>
  <c r="V290" i="1"/>
  <c r="W290" i="1"/>
  <c r="V291" i="1"/>
  <c r="W291" i="1"/>
  <c r="V292" i="1"/>
  <c r="W292" i="1"/>
  <c r="V293" i="1"/>
  <c r="W293" i="1"/>
  <c r="V294" i="1"/>
  <c r="W294" i="1"/>
  <c r="V295" i="1"/>
  <c r="W295" i="1"/>
  <c r="V296" i="1"/>
  <c r="W296" i="1"/>
  <c r="V2" i="1"/>
  <c r="W2" i="1"/>
  <c r="V17" i="1"/>
  <c r="W17" i="1"/>
  <c r="V297" i="1"/>
  <c r="W297" i="1"/>
  <c r="V308" i="1"/>
  <c r="W308" i="1"/>
  <c r="V283" i="1"/>
  <c r="W283" i="1"/>
  <c r="W348" i="1"/>
  <c r="V348" i="1"/>
  <c r="W354" i="1"/>
  <c r="K315" i="1" l="1"/>
  <c r="K40" i="1"/>
  <c r="K229" i="1"/>
  <c r="K44" i="1"/>
  <c r="K97" i="1"/>
  <c r="K254" i="1"/>
  <c r="K18" i="1"/>
  <c r="K182" i="1"/>
  <c r="K301" i="1"/>
  <c r="K280" i="1"/>
  <c r="K37" i="1"/>
  <c r="K19" i="1"/>
  <c r="K108" i="1"/>
  <c r="K94" i="1"/>
  <c r="K332" i="1"/>
  <c r="K152" i="1"/>
  <c r="K238" i="1"/>
  <c r="K170" i="1"/>
  <c r="K26" i="1"/>
  <c r="K191" i="1"/>
  <c r="K41" i="1"/>
  <c r="K155" i="1"/>
  <c r="K104" i="1"/>
  <c r="K300" i="1"/>
  <c r="K337" i="1"/>
  <c r="K264" i="1"/>
  <c r="K162" i="1"/>
  <c r="K180" i="1"/>
  <c r="K29" i="1"/>
  <c r="K20" i="1"/>
  <c r="K169" i="1"/>
  <c r="K245" i="1"/>
  <c r="K118" i="1"/>
  <c r="K114" i="1"/>
  <c r="K150" i="1"/>
  <c r="K320" i="1"/>
  <c r="K296" i="1"/>
  <c r="K151" i="1"/>
  <c r="K172" i="1"/>
  <c r="K11" i="1"/>
  <c r="K287" i="1"/>
  <c r="K303" i="1"/>
  <c r="K62" i="1"/>
  <c r="K53" i="1"/>
  <c r="K213" i="1"/>
  <c r="K145" i="1"/>
  <c r="K345" i="1"/>
  <c r="K144" i="1"/>
  <c r="K174" i="1"/>
  <c r="K297" i="1"/>
  <c r="K36" i="1"/>
  <c r="K171" i="1"/>
  <c r="K304" i="1"/>
  <c r="K196" i="1"/>
  <c r="K293" i="1"/>
  <c r="K285" i="1"/>
  <c r="K54" i="1"/>
  <c r="K38" i="1"/>
  <c r="K286" i="1"/>
  <c r="K134" i="1"/>
  <c r="K89" i="1"/>
  <c r="K344" i="1"/>
  <c r="K269" i="1"/>
  <c r="K228" i="1"/>
  <c r="K50" i="1"/>
  <c r="K106" i="1"/>
  <c r="K353" i="1"/>
  <c r="K184" i="1"/>
  <c r="K107" i="1"/>
  <c r="K199" i="1"/>
  <c r="K156" i="1"/>
  <c r="K247" i="1"/>
  <c r="K75" i="1"/>
  <c r="K96" i="1"/>
  <c r="K99" i="1"/>
  <c r="K45" i="1"/>
  <c r="K9" i="1"/>
  <c r="K224" i="1"/>
  <c r="K52" i="1"/>
  <c r="K80" i="1"/>
  <c r="K31" i="1"/>
  <c r="K206" i="1"/>
  <c r="K204" i="1"/>
  <c r="K21" i="1"/>
  <c r="K74" i="1"/>
  <c r="K255" i="1"/>
  <c r="K109" i="1"/>
  <c r="K248" i="1"/>
  <c r="K167" i="1"/>
  <c r="K334" i="1"/>
  <c r="K123" i="1"/>
  <c r="K341" i="1"/>
  <c r="K267" i="1"/>
  <c r="K294" i="1"/>
  <c r="K161" i="1"/>
  <c r="K244" i="1"/>
  <c r="K157" i="1"/>
  <c r="K210" i="1"/>
  <c r="K138" i="1"/>
  <c r="K129" i="1"/>
  <c r="K111" i="1"/>
  <c r="K30" i="1"/>
  <c r="K197" i="1"/>
  <c r="K251" i="1"/>
  <c r="K95" i="1"/>
  <c r="K352" i="1"/>
  <c r="K233" i="1"/>
  <c r="K265" i="1"/>
  <c r="K312" i="1"/>
  <c r="K34" i="1"/>
  <c r="K160" i="1"/>
  <c r="K272" i="1"/>
  <c r="K202" i="1"/>
  <c r="K217" i="1"/>
  <c r="K177" i="1"/>
  <c r="K222" i="1"/>
  <c r="K72" i="1"/>
  <c r="K61" i="1"/>
  <c r="K57" i="1"/>
  <c r="K291" i="1"/>
  <c r="K283" i="1"/>
  <c r="K28" i="1"/>
  <c r="K158" i="1"/>
  <c r="K43" i="1"/>
  <c r="K148" i="1"/>
  <c r="K279" i="1"/>
  <c r="K274" i="1"/>
  <c r="K242" i="1"/>
  <c r="K273" i="1"/>
  <c r="K121" i="1"/>
  <c r="K71" i="1"/>
  <c r="K333" i="1"/>
  <c r="K195" i="1"/>
  <c r="K24" i="1"/>
  <c r="K249" i="1"/>
  <c r="K348" i="1"/>
  <c r="K189" i="1"/>
  <c r="K188" i="1"/>
  <c r="K192" i="1"/>
  <c r="K83" i="1"/>
  <c r="K185" i="1"/>
  <c r="K133" i="1"/>
  <c r="K243" i="1"/>
  <c r="K14" i="1"/>
  <c r="K187" i="1"/>
  <c r="K183" i="1"/>
  <c r="K122" i="1"/>
  <c r="K88" i="1"/>
  <c r="K81" i="1"/>
  <c r="K143" i="1"/>
  <c r="K302" i="1"/>
  <c r="K314" i="1"/>
  <c r="K166" i="1"/>
  <c r="K216" i="1"/>
  <c r="K5" i="1"/>
  <c r="K200" i="1"/>
  <c r="K309" i="1"/>
  <c r="K110" i="1"/>
  <c r="K7" i="1"/>
  <c r="K73" i="1"/>
  <c r="K253" i="1"/>
  <c r="K154" i="1"/>
  <c r="K308" i="1"/>
  <c r="K230" i="1"/>
  <c r="K39" i="1"/>
  <c r="K250" i="1"/>
  <c r="K32" i="1"/>
  <c r="K153" i="1"/>
  <c r="K82" i="1"/>
  <c r="K201" i="1"/>
  <c r="K266" i="1"/>
  <c r="K42" i="1"/>
  <c r="K141" i="1"/>
  <c r="K173" i="1"/>
  <c r="K186" i="1"/>
  <c r="K66" i="1"/>
  <c r="K339" i="1"/>
  <c r="K237" i="1"/>
  <c r="K176" i="1"/>
  <c r="K115" i="1"/>
  <c r="K317" i="1"/>
  <c r="K49" i="1"/>
  <c r="K119" i="1"/>
  <c r="K13" i="1"/>
  <c r="K17" i="1"/>
  <c r="K349" i="1"/>
  <c r="K231" i="1"/>
  <c r="K194" i="1"/>
  <c r="K263" i="1"/>
  <c r="K311" i="1"/>
  <c r="K252" i="1"/>
  <c r="K69" i="1"/>
  <c r="K8" i="1"/>
  <c r="K261" i="1"/>
  <c r="K271" i="1"/>
  <c r="K90" i="1"/>
  <c r="K241" i="1"/>
  <c r="K10" i="1"/>
  <c r="K226" i="1"/>
  <c r="K165" i="1"/>
  <c r="K239" i="1"/>
  <c r="K284" i="1"/>
  <c r="K203" i="1"/>
  <c r="K140" i="1"/>
  <c r="K329" i="1"/>
  <c r="K47" i="1"/>
  <c r="K58" i="1"/>
  <c r="K351" i="1"/>
  <c r="K215" i="1"/>
  <c r="K87" i="1"/>
  <c r="K149" i="1"/>
  <c r="K77" i="1"/>
  <c r="K277" i="1"/>
  <c r="K56" i="1"/>
  <c r="K48" i="1"/>
  <c r="K240" i="1"/>
  <c r="K326" i="1"/>
  <c r="K3" i="1"/>
  <c r="K78" i="1"/>
  <c r="K318" i="1"/>
  <c r="K84" i="1"/>
  <c r="K316" i="1"/>
  <c r="K338" i="1"/>
  <c r="K190" i="1"/>
  <c r="K127" i="1"/>
  <c r="K168" i="1"/>
  <c r="K343" i="1"/>
  <c r="K246" i="1"/>
  <c r="K330" i="1"/>
  <c r="K218" i="1"/>
  <c r="K324" i="1"/>
  <c r="K193" i="1"/>
  <c r="K6" i="1"/>
  <c r="K325" i="1"/>
  <c r="K295" i="1"/>
  <c r="K198" i="1"/>
  <c r="K307" i="1"/>
  <c r="K116" i="1"/>
  <c r="K68" i="1"/>
  <c r="K46" i="1"/>
  <c r="K137" i="1"/>
  <c r="K257" i="1"/>
  <c r="K232" i="1"/>
  <c r="K234" i="1"/>
  <c r="K331" i="1"/>
  <c r="K178" i="1"/>
  <c r="K278" i="1"/>
  <c r="K70" i="1"/>
  <c r="K25" i="1"/>
  <c r="K126" i="1"/>
  <c r="K146" i="1"/>
  <c r="K236" i="1"/>
  <c r="K212" i="1"/>
  <c r="K259" i="1"/>
  <c r="K4" i="1"/>
  <c r="K59" i="1"/>
  <c r="K139" i="1"/>
  <c r="K79" i="1"/>
  <c r="K35" i="1"/>
  <c r="K93" i="1"/>
  <c r="K350" i="1"/>
  <c r="K92" i="1"/>
  <c r="K136" i="1"/>
  <c r="K260" i="1"/>
  <c r="K55" i="1"/>
  <c r="K91" i="1"/>
  <c r="K262" i="1"/>
  <c r="K179" i="1"/>
  <c r="K342" i="1"/>
  <c r="K175" i="1"/>
  <c r="K101" i="1"/>
  <c r="K211" i="1"/>
  <c r="K105" i="1"/>
  <c r="K268" i="1"/>
  <c r="K60" i="1"/>
  <c r="K235" i="1"/>
  <c r="K65" i="1"/>
  <c r="K86" i="1"/>
  <c r="K290" i="1"/>
  <c r="K98" i="1"/>
  <c r="K270" i="1"/>
  <c r="K310" i="1"/>
  <c r="K223" i="1"/>
  <c r="K102" i="1"/>
  <c r="K51" i="1"/>
  <c r="K76" i="1"/>
  <c r="K313" i="1"/>
  <c r="K207" i="1"/>
  <c r="K128" i="1"/>
  <c r="K256" i="1"/>
  <c r="K117" i="1"/>
  <c r="K292" i="1"/>
  <c r="K12" i="1"/>
  <c r="K323" i="1"/>
  <c r="K147" i="1"/>
  <c r="K33" i="1"/>
  <c r="K85" i="1"/>
  <c r="K120" i="1"/>
  <c r="K219" i="1"/>
  <c r="K63" i="1"/>
  <c r="K67" i="1"/>
  <c r="K227" i="1"/>
  <c r="K100" i="1"/>
  <c r="K142" i="1"/>
  <c r="K27" i="1"/>
  <c r="K181" i="1"/>
  <c r="K163" i="1"/>
  <c r="K64" i="1"/>
  <c r="K221" i="1"/>
  <c r="K164" i="1"/>
  <c r="K132" i="1"/>
  <c r="K340" i="1"/>
  <c r="K220" i="1"/>
  <c r="K258" i="1"/>
  <c r="K214" i="1"/>
  <c r="K225" i="1"/>
  <c r="K103" i="1"/>
  <c r="K205" i="1"/>
  <c r="K319" i="1"/>
  <c r="K159" i="1"/>
  <c r="K2" i="1"/>
  <c r="K135" i="1"/>
  <c r="M121" i="1"/>
  <c r="M245" i="1"/>
  <c r="M56" i="1"/>
  <c r="M323" i="1"/>
  <c r="M59" i="1"/>
  <c r="M353" i="1"/>
  <c r="M187" i="1"/>
  <c r="M222" i="1"/>
  <c r="M99" i="1"/>
  <c r="M78" i="1"/>
  <c r="M35" i="1"/>
  <c r="M308" i="1"/>
  <c r="M337" i="1"/>
  <c r="M230" i="1"/>
  <c r="M18" i="1"/>
  <c r="M325" i="1"/>
  <c r="M81" i="1"/>
  <c r="M251" i="1"/>
  <c r="M189" i="1"/>
  <c r="M338" i="1"/>
  <c r="M134" i="1"/>
  <c r="M295" i="1"/>
  <c r="M242" i="1"/>
  <c r="M262" i="1"/>
  <c r="M84" i="1"/>
  <c r="M329" i="1"/>
  <c r="M244" i="1"/>
  <c r="M235" i="1"/>
  <c r="M218" i="1"/>
  <c r="M274" i="1"/>
  <c r="M201" i="1"/>
  <c r="M200" i="1"/>
  <c r="M194" i="1"/>
  <c r="M49" i="1"/>
  <c r="M60" i="1"/>
  <c r="M341" i="1"/>
  <c r="M9" i="1"/>
  <c r="M153" i="1"/>
  <c r="M343" i="1"/>
  <c r="M87" i="1"/>
  <c r="M67" i="1"/>
  <c r="M82" i="1"/>
  <c r="M163" i="1"/>
  <c r="M349" i="1"/>
  <c r="M283" i="1"/>
  <c r="M45" i="1"/>
  <c r="M74" i="1"/>
  <c r="M197" i="1"/>
  <c r="M12" i="1"/>
  <c r="M311" i="1"/>
  <c r="M71" i="1"/>
  <c r="M255" i="1"/>
  <c r="M158" i="1"/>
  <c r="M271" i="1"/>
  <c r="M260" i="1"/>
  <c r="M213" i="1"/>
  <c r="M297" i="1"/>
  <c r="M285" i="1"/>
  <c r="M146" i="1"/>
  <c r="M138" i="1"/>
  <c r="M93" i="1"/>
  <c r="M101" i="1"/>
  <c r="M290" i="1"/>
  <c r="M345" i="1"/>
  <c r="M126" i="1"/>
  <c r="M204" i="1"/>
  <c r="M229" i="1"/>
  <c r="M3" i="1"/>
  <c r="M296" i="1"/>
  <c r="M61" i="1"/>
  <c r="M196" i="1"/>
  <c r="M115" i="1"/>
  <c r="M173" i="1"/>
  <c r="M250" i="1"/>
  <c r="M147" i="1"/>
  <c r="M86" i="1"/>
  <c r="M120" i="1"/>
  <c r="M227" i="1"/>
  <c r="M184" i="1"/>
  <c r="M63" i="1"/>
  <c r="M111" i="1"/>
  <c r="M122" i="1"/>
  <c r="M190" i="1"/>
  <c r="M224" i="1"/>
  <c r="M261" i="1"/>
  <c r="M352" i="1"/>
  <c r="M48" i="1"/>
  <c r="M152" i="1"/>
  <c r="M151" i="1"/>
  <c r="M269" i="1"/>
  <c r="M25" i="1"/>
  <c r="M191" i="1"/>
  <c r="M284" i="1"/>
  <c r="M64" i="1"/>
  <c r="M315" i="1"/>
  <c r="M233" i="1"/>
  <c r="M291" i="1"/>
  <c r="M80" i="1"/>
  <c r="M21" i="1"/>
  <c r="M248" i="1"/>
  <c r="M207" i="1"/>
  <c r="M186" i="1"/>
  <c r="M183" i="1"/>
  <c r="M286" i="1"/>
  <c r="M178" i="1"/>
  <c r="M181" i="1"/>
  <c r="M216" i="1"/>
  <c r="M150" i="1"/>
  <c r="M34" i="1"/>
  <c r="M46" i="1"/>
  <c r="M169" i="1"/>
  <c r="M193" i="1"/>
  <c r="M108" i="1"/>
  <c r="M160" i="1"/>
  <c r="M27" i="1"/>
  <c r="M318" i="1"/>
  <c r="M14" i="1"/>
  <c r="M145" i="1"/>
  <c r="M24" i="1"/>
  <c r="M340" i="1"/>
  <c r="M106" i="1"/>
  <c r="M309" i="1"/>
  <c r="M36" i="1"/>
  <c r="M240" i="1"/>
  <c r="M168" i="1"/>
  <c r="M314" i="1"/>
  <c r="M279" i="1"/>
  <c r="M157" i="1"/>
  <c r="M206" i="1"/>
  <c r="M247" i="1"/>
  <c r="M39" i="1"/>
  <c r="M256" i="1"/>
  <c r="M143" i="1"/>
  <c r="M304" i="1"/>
  <c r="M140" i="1"/>
  <c r="M350" i="1"/>
  <c r="M330" i="1"/>
  <c r="M214" i="1"/>
  <c r="M334" i="1"/>
  <c r="M144" i="1"/>
  <c r="M114" i="1"/>
  <c r="M195" i="1"/>
  <c r="M94" i="1"/>
  <c r="M77" i="1"/>
  <c r="M92" i="1"/>
  <c r="M278" i="1"/>
  <c r="M177" i="1"/>
  <c r="M52" i="1"/>
  <c r="M55" i="1"/>
  <c r="M175" i="1"/>
  <c r="M89" i="1"/>
  <c r="M95" i="1"/>
  <c r="M104" i="1"/>
  <c r="M119" i="1"/>
  <c r="M252" i="1"/>
  <c r="M129" i="1"/>
  <c r="M170" i="1"/>
  <c r="M344" i="1"/>
  <c r="M17" i="1"/>
  <c r="M98" i="1"/>
  <c r="M221" i="1"/>
  <c r="M76" i="1"/>
  <c r="M257" i="1"/>
  <c r="M172" i="1"/>
  <c r="M174" i="1"/>
  <c r="M57" i="1"/>
  <c r="M65" i="1"/>
  <c r="M316" i="1"/>
  <c r="M31" i="1"/>
  <c r="M243" i="1"/>
  <c r="M231" i="1"/>
  <c r="M8" i="1"/>
  <c r="M293" i="1"/>
  <c r="M44" i="1"/>
  <c r="M75" i="1"/>
  <c r="M265" i="1"/>
  <c r="M259" i="1"/>
  <c r="M142" i="1"/>
  <c r="M292" i="1"/>
  <c r="M180" i="1"/>
  <c r="M32" i="1"/>
  <c r="M165" i="1"/>
  <c r="M234" i="1"/>
  <c r="M268" i="1"/>
  <c r="M237" i="1"/>
  <c r="M159" i="1"/>
  <c r="M236" i="1"/>
  <c r="M123" i="1"/>
  <c r="M19" i="1"/>
  <c r="M26" i="1"/>
  <c r="M136" i="1"/>
  <c r="M348" i="1"/>
  <c r="M167" i="1"/>
  <c r="M351" i="1"/>
  <c r="M202" i="1"/>
  <c r="M40" i="1"/>
  <c r="M5" i="1"/>
  <c r="M42" i="1"/>
  <c r="M294" i="1"/>
  <c r="M239" i="1"/>
  <c r="M273" i="1"/>
  <c r="M176" i="1"/>
  <c r="M38" i="1"/>
  <c r="M210" i="1"/>
  <c r="M215" i="1"/>
  <c r="M272" i="1"/>
  <c r="M212" i="1"/>
  <c r="M253" i="1"/>
  <c r="M217" i="1"/>
  <c r="M185" i="1"/>
  <c r="M319" i="1"/>
  <c r="M179" i="1"/>
  <c r="M118" i="1"/>
  <c r="M127" i="1"/>
  <c r="M33" i="1"/>
  <c r="M13" i="1"/>
  <c r="M326" i="1"/>
  <c r="M69" i="1"/>
  <c r="M246" i="1"/>
  <c r="M307" i="1"/>
  <c r="M277" i="1"/>
  <c r="M266" i="1"/>
  <c r="M300" i="1"/>
  <c r="M133" i="1"/>
  <c r="M324" i="1"/>
  <c r="M141" i="1"/>
  <c r="M43" i="1"/>
  <c r="M53" i="1"/>
  <c r="M29" i="1"/>
  <c r="M148" i="1"/>
  <c r="M110" i="1"/>
  <c r="M264" i="1"/>
  <c r="M66" i="1"/>
  <c r="M205" i="1"/>
  <c r="M10" i="1"/>
  <c r="M20" i="1"/>
  <c r="M68" i="1"/>
  <c r="M161" i="1"/>
  <c r="M339" i="1"/>
  <c r="M310" i="1"/>
  <c r="M317" i="1"/>
  <c r="M188" i="1"/>
  <c r="M109" i="1"/>
  <c r="M313" i="1"/>
  <c r="M241" i="1"/>
  <c r="M249" i="1"/>
  <c r="M97" i="1"/>
  <c r="M312" i="1"/>
  <c r="M30" i="1"/>
  <c r="M331" i="1"/>
  <c r="M50" i="1"/>
  <c r="M302" i="1"/>
  <c r="M220" i="1"/>
  <c r="M342" i="1"/>
  <c r="M199" i="1"/>
  <c r="M58" i="1"/>
  <c r="M41" i="1"/>
  <c r="M223" i="1"/>
  <c r="M105" i="1"/>
  <c r="M198" i="1"/>
  <c r="M73" i="1"/>
  <c r="M301" i="1"/>
  <c r="M333" i="1"/>
  <c r="M238" i="1"/>
  <c r="M132" i="1"/>
  <c r="M83" i="1"/>
  <c r="M228" i="1"/>
  <c r="M54" i="1"/>
  <c r="M47" i="1"/>
  <c r="M162" i="1"/>
  <c r="M11" i="1"/>
  <c r="M6" i="1"/>
  <c r="M156" i="1"/>
  <c r="M139" i="1"/>
  <c r="M226" i="1"/>
  <c r="M7" i="1"/>
  <c r="M182" i="1"/>
  <c r="M96" i="1"/>
  <c r="M90" i="1"/>
  <c r="M103" i="1"/>
  <c r="M171" i="1"/>
  <c r="M4" i="1"/>
  <c r="M135" i="1"/>
  <c r="M280" i="1"/>
  <c r="M51" i="1"/>
  <c r="M287" i="1"/>
  <c r="M85" i="1"/>
  <c r="M128" i="1"/>
  <c r="M62" i="1"/>
  <c r="M263" i="1"/>
  <c r="M270" i="1"/>
  <c r="M303" i="1"/>
  <c r="M37" i="1"/>
  <c r="M164" i="1"/>
  <c r="M72" i="1"/>
  <c r="M211" i="1"/>
  <c r="M192" i="1"/>
  <c r="M166" i="1"/>
  <c r="M267" i="1"/>
  <c r="M91" i="1"/>
  <c r="M203" i="1"/>
  <c r="M149" i="1"/>
  <c r="M88" i="1"/>
  <c r="M225" i="1"/>
  <c r="M254" i="1"/>
  <c r="M79" i="1"/>
  <c r="M320" i="1"/>
  <c r="M219" i="1"/>
  <c r="M117" i="1"/>
  <c r="M137" i="1"/>
  <c r="M70" i="1"/>
  <c r="M232" i="1"/>
  <c r="M107" i="1"/>
  <c r="M154" i="1"/>
  <c r="M116" i="1"/>
  <c r="M28" i="1"/>
  <c r="M155" i="1"/>
  <c r="M100" i="1"/>
  <c r="M258" i="1"/>
  <c r="M102" i="1"/>
  <c r="M2" i="1"/>
  <c r="M332" i="1"/>
  <c r="P222" i="1"/>
  <c r="P215" i="1"/>
  <c r="P206" i="1"/>
  <c r="P211" i="1"/>
  <c r="P245" i="1"/>
  <c r="P31" i="1"/>
  <c r="P202" i="1"/>
  <c r="P238" i="1"/>
  <c r="P92" i="1"/>
  <c r="P279" i="1"/>
  <c r="P117" i="1"/>
  <c r="P257" i="1"/>
  <c r="P261" i="1"/>
  <c r="P287" i="1"/>
  <c r="P37" i="1"/>
  <c r="P269" i="1"/>
  <c r="P98" i="1"/>
  <c r="P301" i="1"/>
  <c r="P68" i="1"/>
  <c r="P56" i="1"/>
  <c r="P164" i="1"/>
  <c r="P42" i="1"/>
  <c r="P294" i="1"/>
  <c r="P284" i="1"/>
  <c r="P24" i="1"/>
  <c r="P177" i="1"/>
  <c r="P52" i="1"/>
  <c r="P212" i="1"/>
  <c r="P239" i="1"/>
  <c r="P186" i="1"/>
  <c r="P84" i="1"/>
  <c r="P85" i="1"/>
  <c r="P223" i="1"/>
  <c r="P265" i="1"/>
  <c r="P170" i="1"/>
  <c r="P318" i="1"/>
  <c r="P77" i="1"/>
  <c r="P61" i="1"/>
  <c r="P217" i="1"/>
  <c r="P216" i="1"/>
  <c r="P317" i="1"/>
  <c r="P326" i="1"/>
  <c r="P33" i="1"/>
  <c r="P139" i="1"/>
  <c r="P54" i="1"/>
  <c r="P69" i="1"/>
  <c r="P194" i="1"/>
  <c r="P21" i="1"/>
  <c r="P109" i="1"/>
  <c r="P324" i="1"/>
  <c r="P161" i="1"/>
  <c r="P228" i="1"/>
  <c r="P30" i="1"/>
  <c r="P6" i="1"/>
  <c r="P73" i="1"/>
  <c r="P167" i="1"/>
  <c r="P255" i="1"/>
  <c r="P79" i="1"/>
  <c r="P241" i="1"/>
  <c r="P345" i="1"/>
  <c r="P191" i="1"/>
  <c r="P14" i="1"/>
  <c r="P248" i="1"/>
  <c r="P260" i="1"/>
  <c r="P242" i="1"/>
  <c r="P175" i="1"/>
  <c r="P184" i="1"/>
  <c r="P76" i="1"/>
  <c r="P121" i="1"/>
  <c r="P102" i="1"/>
  <c r="P78" i="1"/>
  <c r="P353" i="1"/>
  <c r="P165" i="1"/>
  <c r="P235" i="1"/>
  <c r="P304" i="1"/>
  <c r="P225" i="1"/>
  <c r="P122" i="1"/>
  <c r="P233" i="1"/>
  <c r="P126" i="1"/>
  <c r="P340" i="1"/>
  <c r="P96" i="1"/>
  <c r="P183" i="1"/>
  <c r="P53" i="1"/>
  <c r="P196" i="1"/>
  <c r="P147" i="1"/>
  <c r="P58" i="1"/>
  <c r="P262" i="1"/>
  <c r="P106" i="1"/>
  <c r="P133" i="1"/>
  <c r="P138" i="1"/>
  <c r="P352" i="1"/>
  <c r="P146" i="1"/>
  <c r="P64" i="1"/>
  <c r="P156" i="1"/>
  <c r="P82" i="1"/>
  <c r="P45" i="1"/>
  <c r="P251" i="1"/>
  <c r="P204" i="1"/>
  <c r="P65" i="1"/>
  <c r="P333" i="1"/>
  <c r="P259" i="1"/>
  <c r="P115" i="1"/>
  <c r="P278" i="1"/>
  <c r="P263" i="1"/>
  <c r="P280" i="1"/>
  <c r="P25" i="1"/>
  <c r="P320" i="1"/>
  <c r="P158" i="1"/>
  <c r="P10" i="1"/>
  <c r="P88" i="1"/>
  <c r="P189" i="1"/>
  <c r="P256" i="1"/>
  <c r="P70" i="1"/>
  <c r="P300" i="1"/>
  <c r="P349" i="1"/>
  <c r="P7" i="1"/>
  <c r="P103" i="1"/>
  <c r="P74" i="1"/>
  <c r="P132" i="1"/>
  <c r="P268" i="1"/>
  <c r="P329" i="1"/>
  <c r="P313" i="1"/>
  <c r="P247" i="1"/>
  <c r="P273" i="1"/>
  <c r="P67" i="1"/>
  <c r="P272" i="1"/>
  <c r="P254" i="1"/>
  <c r="P213" i="1"/>
  <c r="P307" i="1"/>
  <c r="P185" i="1"/>
  <c r="P38" i="1"/>
  <c r="P101" i="1"/>
  <c r="P286" i="1"/>
  <c r="P60" i="1"/>
  <c r="P83" i="1"/>
  <c r="P143" i="1"/>
  <c r="P72" i="1"/>
  <c r="P315" i="1"/>
  <c r="P193" i="1"/>
  <c r="P150" i="1"/>
  <c r="P127" i="1"/>
  <c r="P246" i="1"/>
  <c r="P3" i="1"/>
  <c r="P35" i="1"/>
  <c r="P11" i="1"/>
  <c r="P17" i="1"/>
  <c r="P227" i="1"/>
  <c r="P271" i="1"/>
  <c r="P330" i="1"/>
  <c r="P237" i="1"/>
  <c r="P205" i="1"/>
  <c r="P47" i="1"/>
  <c r="P331" i="1"/>
  <c r="P314" i="1"/>
  <c r="P187" i="1"/>
  <c r="P118" i="1"/>
  <c r="P188" i="1"/>
  <c r="P312" i="1"/>
  <c r="P221" i="1"/>
  <c r="P114" i="1"/>
  <c r="P244" i="1"/>
  <c r="P5" i="1"/>
  <c r="P28" i="1"/>
  <c r="P87" i="1"/>
  <c r="P311" i="1"/>
  <c r="P151" i="1"/>
  <c r="P240" i="1"/>
  <c r="P220" i="1"/>
  <c r="P344" i="1"/>
  <c r="P297" i="1"/>
  <c r="P111" i="1"/>
  <c r="P128" i="1"/>
  <c r="P210" i="1"/>
  <c r="P104" i="1"/>
  <c r="P296" i="1"/>
  <c r="P258" i="1"/>
  <c r="P351" i="1"/>
  <c r="P179" i="1"/>
  <c r="P166" i="1"/>
  <c r="P44" i="1"/>
  <c r="P46" i="1"/>
  <c r="P144" i="1"/>
  <c r="P283" i="1"/>
  <c r="P310" i="1"/>
  <c r="P119" i="1"/>
  <c r="P290" i="1"/>
  <c r="P230" i="1"/>
  <c r="P12" i="1"/>
  <c r="P36" i="1"/>
  <c r="P348" i="1"/>
  <c r="P182" i="1"/>
  <c r="P157" i="1"/>
  <c r="P169" i="1"/>
  <c r="P266" i="1"/>
  <c r="P136" i="1"/>
  <c r="P153" i="1"/>
  <c r="P308" i="1"/>
  <c r="P134" i="1"/>
  <c r="P249" i="1"/>
  <c r="P243" i="1"/>
  <c r="P4" i="1"/>
  <c r="P100" i="1"/>
  <c r="P178" i="1"/>
  <c r="P234" i="1"/>
  <c r="P293" i="1"/>
  <c r="P338" i="1"/>
  <c r="P232" i="1"/>
  <c r="P123" i="1"/>
  <c r="P303" i="1"/>
  <c r="P325" i="1"/>
  <c r="P86" i="1"/>
  <c r="P218" i="1"/>
  <c r="P59" i="1"/>
  <c r="P149" i="1"/>
  <c r="P176" i="1"/>
  <c r="P168" i="1"/>
  <c r="P332" i="1"/>
  <c r="P198" i="1"/>
  <c r="P270" i="1"/>
  <c r="P137" i="1"/>
  <c r="P199" i="1"/>
  <c r="P107" i="1"/>
  <c r="P319" i="1"/>
  <c r="P129" i="1"/>
  <c r="P253" i="1"/>
  <c r="P40" i="1"/>
  <c r="P8" i="1"/>
  <c r="P32" i="1"/>
  <c r="P172" i="1"/>
  <c r="P9" i="1"/>
  <c r="P71" i="1"/>
  <c r="P91" i="1"/>
  <c r="P29" i="1"/>
  <c r="P195" i="1"/>
  <c r="P97" i="1"/>
  <c r="P116" i="1"/>
  <c r="P18" i="1"/>
  <c r="P291" i="1"/>
  <c r="P197" i="1"/>
  <c r="P190" i="1"/>
  <c r="P13" i="1"/>
  <c r="P89" i="1"/>
  <c r="P173" i="1"/>
  <c r="P43" i="1"/>
  <c r="P34" i="1"/>
  <c r="P342" i="1"/>
  <c r="P55" i="1"/>
  <c r="P63" i="1"/>
  <c r="P207" i="1"/>
  <c r="P154" i="1"/>
  <c r="P50" i="1"/>
  <c r="P174" i="1"/>
  <c r="P57" i="1"/>
  <c r="P163" i="1"/>
  <c r="P148" i="1"/>
  <c r="P229" i="1"/>
  <c r="P93" i="1"/>
  <c r="P140" i="1"/>
  <c r="P142" i="1"/>
  <c r="P339" i="1"/>
  <c r="P226" i="1"/>
  <c r="P236" i="1"/>
  <c r="P49" i="1"/>
  <c r="P309" i="1"/>
  <c r="P81" i="1"/>
  <c r="P264" i="1"/>
  <c r="P152" i="1"/>
  <c r="P95" i="1"/>
  <c r="P41" i="1"/>
  <c r="P200" i="1"/>
  <c r="P274" i="1"/>
  <c r="P20" i="1"/>
  <c r="P295" i="1"/>
  <c r="P48" i="1"/>
  <c r="P192" i="1"/>
  <c r="P160" i="1"/>
  <c r="P267" i="1"/>
  <c r="P162" i="1"/>
  <c r="P75" i="1"/>
  <c r="P231" i="1"/>
  <c r="P341" i="1"/>
  <c r="P343" i="1"/>
  <c r="P292" i="1"/>
  <c r="P159" i="1"/>
  <c r="P252" i="1"/>
  <c r="P99" i="1"/>
  <c r="P180" i="1"/>
  <c r="P224" i="1"/>
  <c r="P19" i="1"/>
  <c r="P66" i="1"/>
  <c r="P250" i="1"/>
  <c r="P27" i="1"/>
  <c r="P316" i="1"/>
  <c r="P26" i="1"/>
  <c r="P203" i="1"/>
  <c r="P155" i="1"/>
  <c r="P201" i="1"/>
  <c r="P141" i="1"/>
  <c r="P171" i="1"/>
  <c r="P110" i="1"/>
  <c r="P350" i="1"/>
  <c r="P39" i="1"/>
  <c r="P337" i="1"/>
  <c r="P277" i="1"/>
  <c r="P105" i="1"/>
  <c r="P94" i="1"/>
  <c r="P302" i="1"/>
  <c r="P285" i="1"/>
  <c r="P62" i="1"/>
  <c r="P145" i="1"/>
  <c r="P90" i="1"/>
  <c r="P334" i="1"/>
  <c r="P181" i="1"/>
  <c r="P80" i="1"/>
  <c r="P214" i="1"/>
  <c r="P51" i="1"/>
  <c r="P120" i="1"/>
  <c r="P219" i="1"/>
  <c r="P135" i="1"/>
  <c r="P323" i="1"/>
  <c r="P2" i="1"/>
  <c r="P108" i="1"/>
  <c r="R157" i="1"/>
  <c r="R255" i="1"/>
  <c r="R18" i="1"/>
  <c r="R59" i="1"/>
  <c r="R171" i="1"/>
  <c r="R79" i="1"/>
  <c r="R161" i="1"/>
  <c r="R195" i="1"/>
  <c r="R226" i="1"/>
  <c r="R241" i="1"/>
  <c r="R221" i="1"/>
  <c r="R29" i="1"/>
  <c r="R24" i="1"/>
  <c r="R6" i="1"/>
  <c r="R237" i="1"/>
  <c r="R350" i="1"/>
  <c r="R103" i="1"/>
  <c r="R258" i="1"/>
  <c r="R33" i="1"/>
  <c r="R123" i="1"/>
  <c r="R133" i="1"/>
  <c r="R168" i="1"/>
  <c r="R169" i="1"/>
  <c r="R19" i="1"/>
  <c r="R294" i="1"/>
  <c r="R11" i="1"/>
  <c r="R198" i="1"/>
  <c r="R213" i="1"/>
  <c r="R230" i="1"/>
  <c r="R78" i="1"/>
  <c r="R7" i="1"/>
  <c r="R193" i="1"/>
  <c r="R114" i="1"/>
  <c r="R162" i="1"/>
  <c r="R280" i="1"/>
  <c r="R142" i="1"/>
  <c r="R234" i="1"/>
  <c r="R31" i="1"/>
  <c r="R191" i="1"/>
  <c r="R56" i="1"/>
  <c r="R224" i="1"/>
  <c r="R266" i="1"/>
  <c r="R194" i="1"/>
  <c r="R91" i="1"/>
  <c r="R329" i="1"/>
  <c r="R60" i="1"/>
  <c r="R47" i="1"/>
  <c r="R196" i="1"/>
  <c r="R274" i="1"/>
  <c r="R183" i="1"/>
  <c r="R317" i="1"/>
  <c r="R260" i="1"/>
  <c r="R10" i="1"/>
  <c r="R126" i="1"/>
  <c r="R72" i="1"/>
  <c r="R330" i="1"/>
  <c r="R152" i="1"/>
  <c r="R174" i="1"/>
  <c r="R160" i="1"/>
  <c r="R273" i="1"/>
  <c r="R269" i="1"/>
  <c r="R323" i="1"/>
  <c r="R303" i="1"/>
  <c r="R73" i="1"/>
  <c r="R99" i="1"/>
  <c r="R89" i="1"/>
  <c r="R45" i="1"/>
  <c r="R44" i="1"/>
  <c r="R57" i="1"/>
  <c r="R185" i="1"/>
  <c r="R41" i="1"/>
  <c r="R177" i="1"/>
  <c r="R348" i="1"/>
  <c r="R77" i="1"/>
  <c r="R48" i="1"/>
  <c r="R188" i="1"/>
  <c r="R32" i="1"/>
  <c r="R324" i="1"/>
  <c r="R338" i="1"/>
  <c r="R80" i="1"/>
  <c r="R88" i="1"/>
  <c r="R256" i="1"/>
  <c r="R65" i="1"/>
  <c r="R204" i="1"/>
  <c r="R121" i="1"/>
  <c r="R248" i="1"/>
  <c r="R137" i="1"/>
  <c r="R232" i="1"/>
  <c r="R249" i="1"/>
  <c r="R50" i="1"/>
  <c r="R320" i="1"/>
  <c r="R186" i="1"/>
  <c r="R334" i="1"/>
  <c r="R111" i="1"/>
  <c r="R178" i="1"/>
  <c r="R278" i="1"/>
  <c r="R283" i="1"/>
  <c r="R197" i="1"/>
  <c r="R201" i="1"/>
  <c r="R138" i="1"/>
  <c r="R219" i="1"/>
  <c r="R291" i="1"/>
  <c r="R236" i="1"/>
  <c r="R12" i="1"/>
  <c r="R135" i="1"/>
  <c r="R118" i="1"/>
  <c r="R34" i="1"/>
  <c r="R53" i="1"/>
  <c r="R223" i="1"/>
  <c r="R69" i="1"/>
  <c r="R242" i="1"/>
  <c r="R148" i="1"/>
  <c r="R187" i="1"/>
  <c r="R333" i="1"/>
  <c r="R28" i="1"/>
  <c r="R326" i="1"/>
  <c r="R61" i="1"/>
  <c r="R244" i="1"/>
  <c r="R159" i="1"/>
  <c r="R261" i="1"/>
  <c r="R309" i="1"/>
  <c r="R190" i="1"/>
  <c r="R144" i="1"/>
  <c r="R76" i="1"/>
  <c r="R293" i="1"/>
  <c r="R343" i="1"/>
  <c r="R315" i="1"/>
  <c r="R102" i="1"/>
  <c r="R300" i="1"/>
  <c r="R43" i="1"/>
  <c r="R119" i="1"/>
  <c r="R318" i="1"/>
  <c r="R214" i="1"/>
  <c r="R265" i="1"/>
  <c r="R202" i="1"/>
  <c r="R3" i="1"/>
  <c r="R312" i="1"/>
  <c r="R267" i="1"/>
  <c r="R270" i="1"/>
  <c r="R228" i="1"/>
  <c r="R225" i="1"/>
  <c r="R211" i="1"/>
  <c r="R314" i="1"/>
  <c r="R49" i="1"/>
  <c r="R109" i="1"/>
  <c r="R227" i="1"/>
  <c r="R331" i="1"/>
  <c r="R199" i="1"/>
  <c r="R325" i="1"/>
  <c r="R104" i="1"/>
  <c r="R200" i="1"/>
  <c r="R122" i="1"/>
  <c r="R98" i="1"/>
  <c r="R100" i="1"/>
  <c r="R302" i="1"/>
  <c r="R153" i="1"/>
  <c r="R38" i="1"/>
  <c r="R310" i="1"/>
  <c r="R272" i="1"/>
  <c r="R206" i="1"/>
  <c r="R251" i="1"/>
  <c r="R110" i="1"/>
  <c r="R238" i="1"/>
  <c r="R85" i="1"/>
  <c r="R285" i="1"/>
  <c r="R332" i="1"/>
  <c r="R316" i="1"/>
  <c r="R13" i="1"/>
  <c r="R127" i="1"/>
  <c r="R134" i="1"/>
  <c r="R216" i="1"/>
  <c r="R163" i="1"/>
  <c r="R337" i="1"/>
  <c r="R295" i="1"/>
  <c r="R150" i="1"/>
  <c r="R66" i="1"/>
  <c r="R344" i="1"/>
  <c r="R192" i="1"/>
  <c r="R86" i="1"/>
  <c r="R229" i="1"/>
  <c r="R341" i="1"/>
  <c r="R351" i="1"/>
  <c r="R96" i="1"/>
  <c r="R36" i="1"/>
  <c r="R184" i="1"/>
  <c r="R180" i="1"/>
  <c r="R154" i="1"/>
  <c r="R313" i="1"/>
  <c r="R120" i="1"/>
  <c r="R108" i="1"/>
  <c r="R181" i="1"/>
  <c r="R349" i="1"/>
  <c r="R21" i="1"/>
  <c r="R25" i="1"/>
  <c r="R71" i="1"/>
  <c r="R165" i="1"/>
  <c r="R97" i="1"/>
  <c r="R246" i="1"/>
  <c r="R292" i="1"/>
  <c r="R247" i="1"/>
  <c r="R301" i="1"/>
  <c r="R259" i="1"/>
  <c r="R51" i="1"/>
  <c r="R231" i="1"/>
  <c r="R140" i="1"/>
  <c r="R339" i="1"/>
  <c r="R287" i="1"/>
  <c r="R210" i="1"/>
  <c r="R101" i="1"/>
  <c r="R82" i="1"/>
  <c r="R297" i="1"/>
  <c r="R8" i="1"/>
  <c r="R55" i="1"/>
  <c r="R205" i="1"/>
  <c r="R203" i="1"/>
  <c r="R107" i="1"/>
  <c r="R30" i="1"/>
  <c r="R212" i="1"/>
  <c r="R52" i="1"/>
  <c r="R14" i="1"/>
  <c r="R68" i="1"/>
  <c r="R117" i="1"/>
  <c r="R27" i="1"/>
  <c r="R106" i="1"/>
  <c r="R252" i="1"/>
  <c r="R87" i="1"/>
  <c r="R95" i="1"/>
  <c r="R254" i="1"/>
  <c r="R340" i="1"/>
  <c r="R63" i="1"/>
  <c r="R37" i="1"/>
  <c r="R46" i="1"/>
  <c r="R62" i="1"/>
  <c r="R220" i="1"/>
  <c r="R167" i="1"/>
  <c r="R146" i="1"/>
  <c r="R92" i="1"/>
  <c r="R128" i="1"/>
  <c r="R342" i="1"/>
  <c r="R268" i="1"/>
  <c r="R277" i="1"/>
  <c r="R70" i="1"/>
  <c r="R264" i="1"/>
  <c r="R304" i="1"/>
  <c r="R136" i="1"/>
  <c r="R182" i="1"/>
  <c r="R81" i="1"/>
  <c r="R233" i="1"/>
  <c r="R116" i="1"/>
  <c r="R132" i="1"/>
  <c r="R141" i="1"/>
  <c r="R215" i="1"/>
  <c r="R240" i="1"/>
  <c r="R39" i="1"/>
  <c r="R235" i="1"/>
  <c r="R20" i="1"/>
  <c r="R296" i="1"/>
  <c r="R189" i="1"/>
  <c r="R319" i="1"/>
  <c r="R243" i="1"/>
  <c r="R84" i="1"/>
  <c r="R352" i="1"/>
  <c r="R307" i="1"/>
  <c r="R139" i="1"/>
  <c r="R58" i="1"/>
  <c r="R353" i="1"/>
  <c r="R42" i="1"/>
  <c r="R173" i="1"/>
  <c r="R218" i="1"/>
  <c r="R147" i="1"/>
  <c r="R158" i="1"/>
  <c r="R115" i="1"/>
  <c r="R286" i="1"/>
  <c r="R253" i="1"/>
  <c r="R74" i="1"/>
  <c r="R207" i="1"/>
  <c r="R67" i="1"/>
  <c r="R54" i="1"/>
  <c r="R64" i="1"/>
  <c r="R222" i="1"/>
  <c r="R172" i="1"/>
  <c r="R345" i="1"/>
  <c r="R151" i="1"/>
  <c r="R262" i="1"/>
  <c r="R90" i="1"/>
  <c r="R170" i="1"/>
  <c r="R105" i="1"/>
  <c r="R93" i="1"/>
  <c r="R155" i="1"/>
  <c r="R40" i="1"/>
  <c r="R217" i="1"/>
  <c r="R175" i="1"/>
  <c r="R129" i="1"/>
  <c r="R176" i="1"/>
  <c r="R250" i="1"/>
  <c r="R26" i="1"/>
  <c r="R156" i="1"/>
  <c r="R284" i="1"/>
  <c r="R179" i="1"/>
  <c r="R311" i="1"/>
  <c r="R4" i="1"/>
  <c r="R308" i="1"/>
  <c r="R9" i="1"/>
  <c r="R83" i="1"/>
  <c r="R271" i="1"/>
  <c r="R263" i="1"/>
  <c r="R164" i="1"/>
  <c r="R239" i="1"/>
  <c r="R35" i="1"/>
  <c r="R94" i="1"/>
  <c r="R75" i="1"/>
  <c r="R166" i="1"/>
  <c r="R290" i="1"/>
  <c r="R143" i="1"/>
  <c r="R279" i="1"/>
  <c r="R149" i="1"/>
  <c r="R17" i="1"/>
  <c r="R245" i="1"/>
  <c r="R5" i="1"/>
  <c r="R257" i="1"/>
  <c r="R2" i="1"/>
  <c r="R145" i="1"/>
  <c r="U48" i="1"/>
  <c r="U9" i="1"/>
  <c r="U326" i="1"/>
  <c r="U134" i="1"/>
  <c r="U158" i="1"/>
  <c r="U14" i="1"/>
  <c r="U72" i="1"/>
  <c r="U256" i="1"/>
  <c r="U319" i="1"/>
  <c r="U344" i="1"/>
  <c r="U211" i="1"/>
  <c r="U188" i="1"/>
  <c r="U255" i="1"/>
  <c r="U249" i="1"/>
  <c r="U173" i="1"/>
  <c r="U300" i="1"/>
  <c r="U98" i="1"/>
  <c r="U186" i="1"/>
  <c r="U107" i="1"/>
  <c r="U238" i="1"/>
  <c r="U93" i="1"/>
  <c r="U53" i="1"/>
  <c r="U166" i="1"/>
  <c r="U230" i="1"/>
  <c r="U301" i="1"/>
  <c r="U251" i="1"/>
  <c r="U42" i="1"/>
  <c r="U28" i="1"/>
  <c r="U62" i="1"/>
  <c r="U11" i="1"/>
  <c r="U331" i="1"/>
  <c r="U115" i="1"/>
  <c r="U202" i="1"/>
  <c r="U40" i="1"/>
  <c r="U74" i="1"/>
  <c r="U350" i="1"/>
  <c r="U206" i="1"/>
  <c r="U44" i="1"/>
  <c r="U279" i="1"/>
  <c r="U296" i="1"/>
  <c r="U87" i="1"/>
  <c r="U250" i="1"/>
  <c r="U102" i="1"/>
  <c r="U176" i="1"/>
  <c r="U147" i="1"/>
  <c r="U225" i="1"/>
  <c r="U190" i="1"/>
  <c r="U49" i="1"/>
  <c r="U239" i="1"/>
  <c r="U69" i="1"/>
  <c r="U76" i="1"/>
  <c r="U272" i="1"/>
  <c r="U3" i="1"/>
  <c r="U235" i="1"/>
  <c r="U143" i="1"/>
  <c r="U345" i="1"/>
  <c r="U191" i="1"/>
  <c r="U63" i="1"/>
  <c r="U97" i="1"/>
  <c r="U78" i="1"/>
  <c r="U5" i="1"/>
  <c r="U4" i="1"/>
  <c r="U157" i="1"/>
  <c r="U262" i="1"/>
  <c r="U152" i="1"/>
  <c r="U217" i="1"/>
  <c r="U181" i="1"/>
  <c r="U162" i="1"/>
  <c r="U240" i="1"/>
  <c r="U55" i="1"/>
  <c r="U148" i="1"/>
  <c r="U324" i="1"/>
  <c r="U114" i="1"/>
  <c r="U248" i="1"/>
  <c r="U71" i="1"/>
  <c r="U175" i="1"/>
  <c r="U91" i="1"/>
  <c r="U263" i="1"/>
  <c r="U100" i="1"/>
  <c r="U325" i="1"/>
  <c r="U129" i="1"/>
  <c r="U156" i="1"/>
  <c r="U222" i="1"/>
  <c r="U54" i="1"/>
  <c r="U39" i="1"/>
  <c r="U32" i="1"/>
  <c r="U172" i="1"/>
  <c r="U199" i="1"/>
  <c r="U241" i="1"/>
  <c r="U231" i="1"/>
  <c r="U244" i="1"/>
  <c r="U228" i="1"/>
  <c r="U293" i="1"/>
  <c r="U133" i="1"/>
  <c r="U270" i="1"/>
  <c r="U159" i="1"/>
  <c r="U337" i="1"/>
  <c r="U51" i="1"/>
  <c r="U338" i="1"/>
  <c r="U161" i="1"/>
  <c r="U79" i="1"/>
  <c r="U200" i="1"/>
  <c r="U135" i="1"/>
  <c r="U185" i="1"/>
  <c r="U193" i="1"/>
  <c r="U227" i="1"/>
  <c r="U6" i="1"/>
  <c r="U103" i="1"/>
  <c r="U297" i="1"/>
  <c r="U37" i="1"/>
  <c r="U309" i="1"/>
  <c r="U85" i="1"/>
  <c r="U89" i="1"/>
  <c r="U179" i="1"/>
  <c r="U36" i="1"/>
  <c r="U216" i="1"/>
  <c r="U214" i="1"/>
  <c r="U8" i="1"/>
  <c r="U101" i="1"/>
  <c r="U106" i="1"/>
  <c r="U65" i="1"/>
  <c r="U203" i="1"/>
  <c r="U205" i="1"/>
  <c r="U29" i="1"/>
  <c r="U13" i="1"/>
  <c r="U50" i="1"/>
  <c r="U268" i="1"/>
  <c r="U45" i="1"/>
  <c r="U120" i="1"/>
  <c r="U144" i="1"/>
  <c r="U150" i="1"/>
  <c r="U341" i="1"/>
  <c r="U119" i="1"/>
  <c r="U343" i="1"/>
  <c r="U43" i="1"/>
  <c r="U180" i="1"/>
  <c r="U160" i="1"/>
  <c r="U266" i="1"/>
  <c r="U224" i="1"/>
  <c r="U77" i="1"/>
  <c r="U339" i="1"/>
  <c r="U127" i="1"/>
  <c r="U118" i="1"/>
  <c r="U171" i="1"/>
  <c r="U265" i="1"/>
  <c r="U246" i="1"/>
  <c r="U342" i="1"/>
  <c r="U128" i="1"/>
  <c r="U60" i="1"/>
  <c r="U316" i="1"/>
  <c r="U229" i="1"/>
  <c r="U110" i="1"/>
  <c r="U67" i="1"/>
  <c r="U313" i="1"/>
  <c r="U47" i="1"/>
  <c r="U220" i="1"/>
  <c r="U137" i="1"/>
  <c r="U70" i="1"/>
  <c r="U92" i="1"/>
  <c r="U311" i="1"/>
  <c r="U340" i="1"/>
  <c r="U247" i="1"/>
  <c r="U12" i="1"/>
  <c r="U88" i="1"/>
  <c r="U201" i="1"/>
  <c r="U126" i="1"/>
  <c r="U271" i="1"/>
  <c r="U183" i="1"/>
  <c r="U258" i="1"/>
  <c r="U104" i="1"/>
  <c r="U94" i="1"/>
  <c r="U136" i="1"/>
  <c r="U234" i="1"/>
  <c r="U187" i="1"/>
  <c r="U109" i="1"/>
  <c r="U95" i="1"/>
  <c r="U105" i="1"/>
  <c r="U30" i="1"/>
  <c r="U75" i="1"/>
  <c r="U218" i="1"/>
  <c r="U123" i="1"/>
  <c r="U348" i="1"/>
  <c r="U259" i="1"/>
  <c r="U169" i="1"/>
  <c r="U138" i="1"/>
  <c r="U349" i="1"/>
  <c r="U351" i="1"/>
  <c r="U151" i="1"/>
  <c r="U285" i="1"/>
  <c r="U292" i="1"/>
  <c r="U96" i="1"/>
  <c r="U352" i="1"/>
  <c r="U177" i="1"/>
  <c r="U33" i="1"/>
  <c r="U304" i="1"/>
  <c r="U192" i="1"/>
  <c r="U116" i="1"/>
  <c r="U277" i="1"/>
  <c r="U323" i="1"/>
  <c r="U174" i="1"/>
  <c r="U17" i="1"/>
  <c r="U26" i="1"/>
  <c r="U353" i="1"/>
  <c r="U153" i="1"/>
  <c r="U283" i="1"/>
  <c r="U142" i="1"/>
  <c r="U274" i="1"/>
  <c r="U314" i="1"/>
  <c r="U154" i="1"/>
  <c r="U146" i="1"/>
  <c r="U295" i="1"/>
  <c r="U99" i="1"/>
  <c r="U81" i="1"/>
  <c r="U303" i="1"/>
  <c r="U189" i="1"/>
  <c r="U168" i="1"/>
  <c r="U233" i="1"/>
  <c r="U20" i="1"/>
  <c r="U38" i="1"/>
  <c r="U170" i="1"/>
  <c r="U315" i="1"/>
  <c r="U111" i="1"/>
  <c r="U57" i="1"/>
  <c r="U122" i="1"/>
  <c r="U108" i="1"/>
  <c r="U82" i="1"/>
  <c r="U221" i="1"/>
  <c r="U149" i="1"/>
  <c r="U64" i="1"/>
  <c r="U61" i="1"/>
  <c r="U18" i="1"/>
  <c r="U318" i="1"/>
  <c r="U287" i="1"/>
  <c r="U59" i="1"/>
  <c r="U167" i="1"/>
  <c r="U155" i="1"/>
  <c r="U334" i="1"/>
  <c r="U83" i="1"/>
  <c r="U84" i="1"/>
  <c r="U52" i="1"/>
  <c r="U35" i="1"/>
  <c r="U284" i="1"/>
  <c r="U252" i="1"/>
  <c r="U46" i="1"/>
  <c r="U164" i="1"/>
  <c r="U140" i="1"/>
  <c r="U278" i="1"/>
  <c r="U197" i="1"/>
  <c r="U25" i="1"/>
  <c r="U219" i="1"/>
  <c r="U317" i="1"/>
  <c r="U307" i="1"/>
  <c r="U286" i="1"/>
  <c r="U232" i="1"/>
  <c r="U31" i="1"/>
  <c r="U213" i="1"/>
  <c r="U302" i="1"/>
  <c r="U329" i="1"/>
  <c r="U145" i="1"/>
  <c r="U178" i="1"/>
  <c r="U308" i="1"/>
  <c r="U58" i="1"/>
  <c r="U196" i="1"/>
  <c r="U7" i="1"/>
  <c r="U19" i="1"/>
  <c r="U27" i="1"/>
  <c r="U210" i="1"/>
  <c r="U24" i="1"/>
  <c r="U73" i="1"/>
  <c r="U269" i="1"/>
  <c r="U236" i="1"/>
  <c r="U182" i="1"/>
  <c r="U21" i="1"/>
  <c r="U312" i="1"/>
  <c r="U291" i="1"/>
  <c r="U90" i="1"/>
  <c r="U261" i="1"/>
  <c r="U56" i="1"/>
  <c r="U264" i="1"/>
  <c r="U163" i="1"/>
  <c r="U267" i="1"/>
  <c r="U68" i="1"/>
  <c r="U80" i="1"/>
  <c r="U194" i="1"/>
  <c r="U333" i="1"/>
  <c r="U260" i="1"/>
  <c r="U294" i="1"/>
  <c r="U184" i="1"/>
  <c r="U86" i="1"/>
  <c r="U139" i="1"/>
  <c r="U121" i="1"/>
  <c r="U34" i="1"/>
  <c r="U10" i="1"/>
  <c r="U310" i="1"/>
  <c r="U223" i="1"/>
  <c r="U66" i="1"/>
  <c r="U243" i="1"/>
  <c r="U280" i="1"/>
  <c r="U273" i="1"/>
  <c r="U242" i="1"/>
  <c r="U332" i="1"/>
  <c r="U198" i="1"/>
  <c r="U330" i="1"/>
  <c r="U204" i="1"/>
  <c r="U257" i="1"/>
  <c r="U226" i="1"/>
  <c r="U117" i="1"/>
  <c r="U195" i="1"/>
  <c r="U207" i="1"/>
  <c r="U253" i="1"/>
  <c r="U290" i="1"/>
  <c r="U245" i="1"/>
  <c r="U320" i="1"/>
  <c r="U41" i="1"/>
  <c r="U215" i="1"/>
  <c r="U165" i="1"/>
  <c r="U254" i="1"/>
  <c r="U237" i="1"/>
  <c r="U132" i="1"/>
  <c r="U141" i="1"/>
  <c r="U2" i="1"/>
  <c r="U212" i="1"/>
</calcChain>
</file>

<file path=xl/sharedStrings.xml><?xml version="1.0" encoding="utf-8"?>
<sst xmlns="http://schemas.openxmlformats.org/spreadsheetml/2006/main" count="1744" uniqueCount="1022">
  <si>
    <t>Source file</t>
  </si>
  <si>
    <t>DateTime</t>
  </si>
  <si>
    <t>Comments</t>
  </si>
  <si>
    <t>Final207_235</t>
  </si>
  <si>
    <t>Final207_235_Int2SE</t>
  </si>
  <si>
    <t>Final206_238</t>
  </si>
  <si>
    <t>Final206_238_Int2SE</t>
  </si>
  <si>
    <t>ErrorCorrelation_6_38vs7_35</t>
  </si>
  <si>
    <t>Final238_206</t>
  </si>
  <si>
    <t>Final238_206_Int2SE</t>
  </si>
  <si>
    <t>Final207_206</t>
  </si>
  <si>
    <t>Final207_206_Int2SE</t>
  </si>
  <si>
    <t>ErrorCorrelation_38_6vs7_6</t>
  </si>
  <si>
    <t>Final208_232</t>
  </si>
  <si>
    <t>Final208_232_Int2SE</t>
  </si>
  <si>
    <t>Final206_208</t>
  </si>
  <si>
    <t>Final206_208_Int2SE</t>
  </si>
  <si>
    <t>FinalAge207_235</t>
  </si>
  <si>
    <t>FinalAge207_235_Int2SE</t>
  </si>
  <si>
    <t>FinalAge206_238</t>
  </si>
  <si>
    <t>FinalAge206_238_Int2SE</t>
  </si>
  <si>
    <t>FinalAge208_232</t>
  </si>
  <si>
    <t>FinalAge208_232_Int2SE</t>
  </si>
  <si>
    <t>FinalAge207_206</t>
  </si>
  <si>
    <t>FinalAge207_206_Int2SE</t>
  </si>
  <si>
    <t>Th232_H2_CPS</t>
  </si>
  <si>
    <t>Th232_H2_CPS_Int2SE</t>
  </si>
  <si>
    <t>Pb208_IC0_CPS</t>
  </si>
  <si>
    <t>Pb208_IC0_CPS_Int2SE</t>
  </si>
  <si>
    <t>Pb207_IC1_CPS</t>
  </si>
  <si>
    <t>Pb207_IC1_CPS_Int2SE</t>
  </si>
  <si>
    <t>Pb206_IC2_CPS</t>
  </si>
  <si>
    <t>Pb206_IC2_CPS_Int2SE</t>
  </si>
  <si>
    <t>Pb204_IC3_CPS</t>
  </si>
  <si>
    <t>Pb204_IC3_CPS_Int2SE</t>
  </si>
  <si>
    <t>U238_ExH_CPS</t>
  </si>
  <si>
    <t>U238_ExH_CPS_Int2SE</t>
  </si>
  <si>
    <t>Output_1_1</t>
  </si>
  <si>
    <t>Macdonald NG &amp; DV run 9</t>
  </si>
  <si>
    <t>16/09/2020 (4) 15:29:08.32</t>
  </si>
  <si>
    <t>Start_A9</t>
  </si>
  <si>
    <t>Output_1_2</t>
  </si>
  <si>
    <t>16/09/2020 (4) 15:29:47.85</t>
  </si>
  <si>
    <t>Start_B9</t>
  </si>
  <si>
    <t>Output_1_3</t>
  </si>
  <si>
    <t>16/09/2020 (4) 15:30:26.77</t>
  </si>
  <si>
    <t>Start_C9</t>
  </si>
  <si>
    <t>Output_1_4</t>
  </si>
  <si>
    <t>16/09/2020 (4) 15:31:05.77</t>
  </si>
  <si>
    <t>Start_D9</t>
  </si>
  <si>
    <t>Output_1_5</t>
  </si>
  <si>
    <t>16/09/2020 (4) 15:31:45.86</t>
  </si>
  <si>
    <t>Start_E9</t>
  </si>
  <si>
    <t>Output_1_6</t>
  </si>
  <si>
    <t>16/09/2020 (4) 15:32:25.98</t>
  </si>
  <si>
    <t>Start_F9</t>
  </si>
  <si>
    <t>Output_1_7</t>
  </si>
  <si>
    <t>16/09/2020 (4) 15:33:13.40</t>
  </si>
  <si>
    <t>DV_F2002-204.9_L_22</t>
  </si>
  <si>
    <t>Output_1_8</t>
  </si>
  <si>
    <t>16/09/2020 (4) 15:33:52.35</t>
  </si>
  <si>
    <t>DV_F2002-204.9_L_23</t>
  </si>
  <si>
    <t>Output_1_9</t>
  </si>
  <si>
    <t>16/09/2020 (4) 15:34:32.18</t>
  </si>
  <si>
    <t>DV_F2002-204.9_L_24</t>
  </si>
  <si>
    <t>Output_1_10</t>
  </si>
  <si>
    <t>16/09/2020 (4) 15:35:11.07</t>
  </si>
  <si>
    <t>DV_F2002-204.9_L_25</t>
  </si>
  <si>
    <t>Output_1_11</t>
  </si>
  <si>
    <t>16/09/2020 (4) 15:35:49.82</t>
  </si>
  <si>
    <t>DV_F2002-204.9_L_26</t>
  </si>
  <si>
    <t>Output_1_12</t>
  </si>
  <si>
    <t>16/09/2020 (4) 15:36:28.57</t>
  </si>
  <si>
    <t>DV_F2002-204.9_L_27</t>
  </si>
  <si>
    <t>Output_1_13</t>
  </si>
  <si>
    <t>16/09/2020 (4) 15:37:07.48</t>
  </si>
  <si>
    <t>DV_F2002-204.9_L_28</t>
  </si>
  <si>
    <t>Output_1_14</t>
  </si>
  <si>
    <t>16/09/2020 (4) 15:37:46.24</t>
  </si>
  <si>
    <t>DV_F2002-204.9_L_29</t>
  </si>
  <si>
    <t>Output_1_15</t>
  </si>
  <si>
    <t>16/09/2020 (4) 15:38:25.36</t>
  </si>
  <si>
    <t>DV_F2002-204.9_L_30</t>
  </si>
  <si>
    <t>Output_1_16</t>
  </si>
  <si>
    <t>16/09/2020 (4) 15:39:04.70</t>
  </si>
  <si>
    <t>DV_F2002-204.9_L_31</t>
  </si>
  <si>
    <t>Output_1_17</t>
  </si>
  <si>
    <t>16/09/2020 (4) 15:39:51.94</t>
  </si>
  <si>
    <t>Ples-51</t>
  </si>
  <si>
    <t>Output_1_18</t>
  </si>
  <si>
    <t>16/09/2020 (4) 15:40:32.17</t>
  </si>
  <si>
    <t>OG-17</t>
  </si>
  <si>
    <t>Output_1_19</t>
  </si>
  <si>
    <t>16/09/2020 (4) 15:41:19.09</t>
  </si>
  <si>
    <t>DV_F2002-204.9_L_32</t>
  </si>
  <si>
    <t>Output_1_20</t>
  </si>
  <si>
    <t>16/09/2020 (4) 15:42:02.36</t>
  </si>
  <si>
    <t>DV_F2002-204.9_L_33</t>
  </si>
  <si>
    <t>Output_1_21</t>
  </si>
  <si>
    <t>16/09/2020 (4) 15:42:37.38</t>
  </si>
  <si>
    <t>DV_F2002-204.9_L_34</t>
  </si>
  <si>
    <t>Output_1_22</t>
  </si>
  <si>
    <t>16/09/2020 (4) 15:43:16.00</t>
  </si>
  <si>
    <t>DV_F2002-204.9_L_35</t>
  </si>
  <si>
    <t>Output_1_23</t>
  </si>
  <si>
    <t>16/09/2020 (4) 15:43:54.76</t>
  </si>
  <si>
    <t>DV_F2002-204.9_L_36</t>
  </si>
  <si>
    <t>Output_1_24</t>
  </si>
  <si>
    <t>16/09/2020 (4) 15:44:33.44</t>
  </si>
  <si>
    <t>DV_F2002-204.9_L_37</t>
  </si>
  <si>
    <t>Output_1_25</t>
  </si>
  <si>
    <t>16/09/2020 (4) 15:45:12.51</t>
  </si>
  <si>
    <t>DV_F2002-204.9_L_38</t>
  </si>
  <si>
    <t>Output_1_26</t>
  </si>
  <si>
    <t>16/09/2020 (4) 15:45:51.51</t>
  </si>
  <si>
    <t>DV_F2002-204.9_L_39</t>
  </si>
  <si>
    <t>Output_1_27</t>
  </si>
  <si>
    <t>16/09/2020 (4) 15:46:30.33</t>
  </si>
  <si>
    <t>DV_F2002-204.9_L_40</t>
  </si>
  <si>
    <t>Output_1_28</t>
  </si>
  <si>
    <t>16/09/2020 (4) 15:47:09.09</t>
  </si>
  <si>
    <t>DV_F2002-204.9_L_41</t>
  </si>
  <si>
    <t>Output_1_29</t>
  </si>
  <si>
    <t>16/09/2020 (4) 15:47:55.71</t>
  </si>
  <si>
    <t>91500-52</t>
  </si>
  <si>
    <t>Output_1_30</t>
  </si>
  <si>
    <t>16/09/2020 (4) 15:48:35.35</t>
  </si>
  <si>
    <t>9435-18</t>
  </si>
  <si>
    <t>Output_1_31</t>
  </si>
  <si>
    <t>16/09/2020 (4) 15:49:21.89</t>
  </si>
  <si>
    <t>DV_F2002-204.9_L_42</t>
  </si>
  <si>
    <t>Output_1_32</t>
  </si>
  <si>
    <t>16/09/2020 (4) 15:50:00.63</t>
  </si>
  <si>
    <t>DV_F2002-204.9_L_43</t>
  </si>
  <si>
    <t>Output_1_33</t>
  </si>
  <si>
    <t>16/09/2020 (4) 15:50:39.36</t>
  </si>
  <si>
    <t>DV_F2002-204.9_L_44</t>
  </si>
  <si>
    <t>Output_1_34</t>
  </si>
  <si>
    <t>16/09/2020 (4) 15:51:18.35</t>
  </si>
  <si>
    <t>DV_F2002-204.9_L_45</t>
  </si>
  <si>
    <t>Output_1_35</t>
  </si>
  <si>
    <t>16/09/2020 (4) 15:51:57.30</t>
  </si>
  <si>
    <t>DV_F2002-204.9_L_46</t>
  </si>
  <si>
    <t>Output_1_36</t>
  </si>
  <si>
    <t>16/09/2020 (4) 15:52:36.15</t>
  </si>
  <si>
    <t>DV_F2002-204.9_L_47</t>
  </si>
  <si>
    <t>Output_1_37</t>
  </si>
  <si>
    <t>16/09/2020 (4) 15:53:15.16</t>
  </si>
  <si>
    <t>DV_F2002-204.9_L_48</t>
  </si>
  <si>
    <t>Output_1_38</t>
  </si>
  <si>
    <t>16/09/2020 (4) 15:53:55.24</t>
  </si>
  <si>
    <t>DV_F2002-204.9_L_49</t>
  </si>
  <si>
    <t>Output_1_39</t>
  </si>
  <si>
    <t>16/09/2020 (4) 15:54:34.02</t>
  </si>
  <si>
    <t>DV_F2002-204.9_L_50</t>
  </si>
  <si>
    <t>Output_1_40</t>
  </si>
  <si>
    <t>16/09/2020 (4) 15:55:15.57</t>
  </si>
  <si>
    <t>DV_F2002-204.9_L_51</t>
  </si>
  <si>
    <t>Output_1_41</t>
  </si>
  <si>
    <t>16/09/2020 (4) 15:56:00.12</t>
  </si>
  <si>
    <t>Ples-52</t>
  </si>
  <si>
    <t>Output_1_42</t>
  </si>
  <si>
    <t>16/09/2020 (4) 15:56:39.33</t>
  </si>
  <si>
    <t>GJ1-18</t>
  </si>
  <si>
    <t>Output_1_43</t>
  </si>
  <si>
    <t>16/09/2020 (4) 15:57:26.05</t>
  </si>
  <si>
    <t>DV_F2002-204.9_L_52</t>
  </si>
  <si>
    <t>Output_1_44</t>
  </si>
  <si>
    <t>16/09/2020 (4) 15:58:04.94</t>
  </si>
  <si>
    <t>DV_F2002-204.9_L_53</t>
  </si>
  <si>
    <t>Output_1_45</t>
  </si>
  <si>
    <t>16/09/2020 (4) 15:58:43.70</t>
  </si>
  <si>
    <t>DV_F2002-204.9_L_54</t>
  </si>
  <si>
    <t>Output_1_46</t>
  </si>
  <si>
    <t>16/09/2020 (4) 15:59:22.73</t>
  </si>
  <si>
    <t>DV_F2002-204.9_L_55</t>
  </si>
  <si>
    <t>Output_1_47</t>
  </si>
  <si>
    <t>16/09/2020 (4) 16:00:01.60</t>
  </si>
  <si>
    <t>DV_F2002-204.9_L_56</t>
  </si>
  <si>
    <t>Output_1_48</t>
  </si>
  <si>
    <t>16/09/2020 (4) 16:00:40.32</t>
  </si>
  <si>
    <t>DV_F2002-204.9_L_57</t>
  </si>
  <si>
    <t>Output_1_49</t>
  </si>
  <si>
    <t>16/09/2020 (4) 16:01:19.13</t>
  </si>
  <si>
    <t>DV_F2002-204.9_L_58</t>
  </si>
  <si>
    <t>Output_1_50</t>
  </si>
  <si>
    <t>16/09/2020 (4) 16:01:58.22</t>
  </si>
  <si>
    <t>DV_F2002-204.9_L_59</t>
  </si>
  <si>
    <t>Output_1_51</t>
  </si>
  <si>
    <t>16/09/2020 (4) 16:02:36.93</t>
  </si>
  <si>
    <t>DV_F2002-204.9_L_60</t>
  </si>
  <si>
    <t>Output_1_52</t>
  </si>
  <si>
    <t>16/09/2020 (4) 16:03:16.15</t>
  </si>
  <si>
    <t>DV_F2002-204.9_L_61</t>
  </si>
  <si>
    <t>Output_1_53</t>
  </si>
  <si>
    <t>16/09/2020 (4) 16:04:03.04</t>
  </si>
  <si>
    <t>91500-53</t>
  </si>
  <si>
    <t>Output_1_54</t>
  </si>
  <si>
    <t>16/09/2020 (4) 16:04:42.78</t>
  </si>
  <si>
    <t>R33-18</t>
  </si>
  <si>
    <t>Output_1_55</t>
  </si>
  <si>
    <t>16/09/2020 (4) 16:05:28.80</t>
  </si>
  <si>
    <t>DV_F2002-204.9_L_62</t>
  </si>
  <si>
    <t>Output_1_56</t>
  </si>
  <si>
    <t>16/09/2020 (4) 16:06:08.06</t>
  </si>
  <si>
    <t>DV_F2002-204.9_L_63</t>
  </si>
  <si>
    <t>Output_1_57</t>
  </si>
  <si>
    <t>16/09/2020 (4) 16:06:46.70</t>
  </si>
  <si>
    <t>DV_F2002-204.9_L_64</t>
  </si>
  <si>
    <t>Output_1_58</t>
  </si>
  <si>
    <t>16/09/2020 (4) 16:07:25.59</t>
  </si>
  <si>
    <t>DV_F2002-204.9_L_65</t>
  </si>
  <si>
    <t>Output_1_59</t>
  </si>
  <si>
    <t>16/09/2020 (4) 16:08:04.32</t>
  </si>
  <si>
    <t>DV_F2002-204.9_L_66</t>
  </si>
  <si>
    <t>Output_1_60</t>
  </si>
  <si>
    <t>16/09/2020 (4) 16:08:43.11</t>
  </si>
  <si>
    <t>DV_F2002-204.9_L_67</t>
  </si>
  <si>
    <t>Output_1_61</t>
  </si>
  <si>
    <t>16/09/2020 (4) 16:09:21.79</t>
  </si>
  <si>
    <t>DV_F2002-204.9_L_68</t>
  </si>
  <si>
    <t>Output_1_62</t>
  </si>
  <si>
    <t>16/09/2020 (4) 16:10:00.63</t>
  </si>
  <si>
    <t>DV_F2002-204.9_L_69</t>
  </si>
  <si>
    <t>Output_1_63</t>
  </si>
  <si>
    <t>16/09/2020 (4) 16:10:39.68</t>
  </si>
  <si>
    <t>DV_F2002-204.9_L_70</t>
  </si>
  <si>
    <t>Output_1_64</t>
  </si>
  <si>
    <t>16/09/2020 (4) 16:11:18.82</t>
  </si>
  <si>
    <t>DV_F2002-204.9_L_71</t>
  </si>
  <si>
    <t>Output_1_65</t>
  </si>
  <si>
    <t>16/09/2020 (4) 16:12:06.47</t>
  </si>
  <si>
    <t>Ples-53</t>
  </si>
  <si>
    <t>Output_1_66</t>
  </si>
  <si>
    <t>16/09/2020 (4) 16:12:45.45</t>
  </si>
  <si>
    <t>AusZ-18</t>
  </si>
  <si>
    <t>Output_1_67</t>
  </si>
  <si>
    <t>16/09/2020 (4) 16:13:32.65</t>
  </si>
  <si>
    <t>DV_F2002-204.9_L_72</t>
  </si>
  <si>
    <t>Output_1_68</t>
  </si>
  <si>
    <t>16/09/2020 (4) 16:14:11.78</t>
  </si>
  <si>
    <t>DV_F2002-204.9_L_73</t>
  </si>
  <si>
    <t>Output_1_69</t>
  </si>
  <si>
    <t>16/09/2020 (4) 16:14:50.65</t>
  </si>
  <si>
    <t>DV_F2002-204.9_L_74</t>
  </si>
  <si>
    <t>Output_1_70</t>
  </si>
  <si>
    <t>16/09/2020 (4) 16:15:30.31</t>
  </si>
  <si>
    <t>DV_F2002-204.9_L_75</t>
  </si>
  <si>
    <t>Output_1_71</t>
  </si>
  <si>
    <t>16/09/2020 (4) 16:16:09.16</t>
  </si>
  <si>
    <t>DV_F2002-204.9_L_76</t>
  </si>
  <si>
    <t>Output_1_72</t>
  </si>
  <si>
    <t>16/09/2020 (4) 16:16:48.95</t>
  </si>
  <si>
    <t>DV_F2002-204.9_L_77</t>
  </si>
  <si>
    <t>Output_1_73</t>
  </si>
  <si>
    <t>16/09/2020 (4) 16:17:27.70</t>
  </si>
  <si>
    <t>DV_F2002-204.9_L_78</t>
  </si>
  <si>
    <t>Output_1_74</t>
  </si>
  <si>
    <t>16/09/2020 (4) 16:18:06.65</t>
  </si>
  <si>
    <t>DV_F2002-204.9_L_79</t>
  </si>
  <si>
    <t>Output_1_75</t>
  </si>
  <si>
    <t>16/09/2020 (4) 16:18:45.30</t>
  </si>
  <si>
    <t>DV_F2002-204.9_L_80</t>
  </si>
  <si>
    <t>Output_1_76</t>
  </si>
  <si>
    <t>16/09/2020 (4) 16:19:24.53</t>
  </si>
  <si>
    <t>DV_F2002-204.9_L_81</t>
  </si>
  <si>
    <t>Output_1_77</t>
  </si>
  <si>
    <t>16/09/2020 (4) 16:20:11.20</t>
  </si>
  <si>
    <t>91500-54</t>
  </si>
  <si>
    <t>Output_1_78</t>
  </si>
  <si>
    <t>16/09/2020 (4) 16:20:50.71</t>
  </si>
  <si>
    <t>FC-18</t>
  </si>
  <si>
    <t>Output_1_79</t>
  </si>
  <si>
    <t>16/09/2020 (4) 16:21:38.62</t>
  </si>
  <si>
    <t>DV_F2002-204.9_L_82</t>
  </si>
  <si>
    <t>Output_1_80</t>
  </si>
  <si>
    <t>16/09/2020 (4) 16:22:16.34</t>
  </si>
  <si>
    <t>DV_F2002-204.9_L_83</t>
  </si>
  <si>
    <t>Output_1_81</t>
  </si>
  <si>
    <t>16/09/2020 (4) 16:22:55.04</t>
  </si>
  <si>
    <t>DV_F2002-204.9_L_84</t>
  </si>
  <si>
    <t>Output_1_82</t>
  </si>
  <si>
    <t>16/09/2020 (4) 16:23:33.93</t>
  </si>
  <si>
    <t>DV_F2002-204.9_L_85</t>
  </si>
  <si>
    <t>Output_1_83</t>
  </si>
  <si>
    <t>16/09/2020 (4) 16:24:12.95</t>
  </si>
  <si>
    <t>DV_F2002-204.9_L_86</t>
  </si>
  <si>
    <t>Output_1_84</t>
  </si>
  <si>
    <t>16/09/2020 (4) 16:24:51.86</t>
  </si>
  <si>
    <t>DV_F2002-204.9_L_87</t>
  </si>
  <si>
    <t>Output_1_85</t>
  </si>
  <si>
    <t>16/09/2020 (4) 16:25:30.85</t>
  </si>
  <si>
    <t>DV_F2002-204.9_L_88</t>
  </si>
  <si>
    <t>Output_1_86</t>
  </si>
  <si>
    <t>16/09/2020 (4) 16:26:09.71</t>
  </si>
  <si>
    <t>DV_F2002-204.9_L_89</t>
  </si>
  <si>
    <t>Output_1_87</t>
  </si>
  <si>
    <t>16/09/2020 (4) 16:26:48.80</t>
  </si>
  <si>
    <t>DV_F2002-204.9_L_90</t>
  </si>
  <si>
    <t>Output_1_88</t>
  </si>
  <si>
    <t>16/09/2020 (4) 16:27:27.64</t>
  </si>
  <si>
    <t>DV_F2002-204.9_L_91</t>
  </si>
  <si>
    <t>Output_1_89</t>
  </si>
  <si>
    <t>16/09/2020 (4) 16:28:14.72</t>
  </si>
  <si>
    <t>Ples-54</t>
  </si>
  <si>
    <t>Output_1_90</t>
  </si>
  <si>
    <t>16/09/2020 (4) 16:28:54.86</t>
  </si>
  <si>
    <t>OG-18</t>
  </si>
  <si>
    <t>Output_1_91</t>
  </si>
  <si>
    <t>16/09/2020 (4) 16:29:41.49</t>
  </si>
  <si>
    <t>DV_F2002-204.9_L_92</t>
  </si>
  <si>
    <t>Output_1_92</t>
  </si>
  <si>
    <t>16/09/2020 (4) 16:30:20.44</t>
  </si>
  <si>
    <t>DV_F2002-204.9_L_93</t>
  </si>
  <si>
    <t>Output_1_93</t>
  </si>
  <si>
    <t>16/09/2020 (4) 16:30:59.38</t>
  </si>
  <si>
    <t>DV_F2002-204.9_L_94</t>
  </si>
  <si>
    <t>Output_1_94</t>
  </si>
  <si>
    <t>16/09/2020 (4) 16:31:38.71</t>
  </si>
  <si>
    <t>DV_F2002-204.9_L_95</t>
  </si>
  <si>
    <t>Output_1_95</t>
  </si>
  <si>
    <t>16/09/2020 (4) 16:32:17.46</t>
  </si>
  <si>
    <t>DV_F2002-204.9_L_96</t>
  </si>
  <si>
    <t>Output_1_96</t>
  </si>
  <si>
    <t>16/09/2020 (4) 16:32:57.13</t>
  </si>
  <si>
    <t>DV_F2002-204.9_L_97</t>
  </si>
  <si>
    <t>Output_1_97</t>
  </si>
  <si>
    <t>16/09/2020 (4) 16:33:37.16</t>
  </si>
  <si>
    <t>DV_F2002-273.4_L_1</t>
  </si>
  <si>
    <t>Output_1_98</t>
  </si>
  <si>
    <t>16/09/2020 (4) 16:34:16.22</t>
  </si>
  <si>
    <t>DV_F2002-273.4_L_2</t>
  </si>
  <si>
    <t>Output_1_99</t>
  </si>
  <si>
    <t>16/09/2020 (4) 16:34:55.39</t>
  </si>
  <si>
    <t>DV_F2002-273.4_L_3</t>
  </si>
  <si>
    <t>Output_1_100</t>
  </si>
  <si>
    <t>16/09/2020 (4) 16:35:34.29</t>
  </si>
  <si>
    <t>DV_F2002-273.4_L_4</t>
  </si>
  <si>
    <t>Output_1_101</t>
  </si>
  <si>
    <t>16/09/2020 (4) 16:36:20.22</t>
  </si>
  <si>
    <t>91500-55</t>
  </si>
  <si>
    <t>Output_1_102</t>
  </si>
  <si>
    <t>16/09/2020 (4) 16:36:59.77</t>
  </si>
  <si>
    <t>9435-19</t>
  </si>
  <si>
    <t>Output_1_103</t>
  </si>
  <si>
    <t>16/09/2020 (4) 16:37:45.08</t>
  </si>
  <si>
    <t>DV_F2002-273.4_L_5</t>
  </si>
  <si>
    <t>Output_1_104</t>
  </si>
  <si>
    <t>16/09/2020 (4) 16:38:24.09</t>
  </si>
  <si>
    <t>DV_F2002-273.4_L_6</t>
  </si>
  <si>
    <t>Output_1_105</t>
  </si>
  <si>
    <t>16/09/2020 (4) 16:39:03.39</t>
  </si>
  <si>
    <t>DV_F2002-273.4_L_7</t>
  </si>
  <si>
    <t>Output_1_106</t>
  </si>
  <si>
    <t>16/09/2020 (4) 16:39:42.33</t>
  </si>
  <si>
    <t>DV_F2002-273.4_L_8</t>
  </si>
  <si>
    <t>Output_1_107</t>
  </si>
  <si>
    <t>16/09/2020 (4) 16:40:21.93</t>
  </si>
  <si>
    <t>DV_F2002-273.4_L_9</t>
  </si>
  <si>
    <t>Output_1_108</t>
  </si>
  <si>
    <t>16/09/2020 (4) 16:41:01.05</t>
  </si>
  <si>
    <t>DV_F2002-273.4_L_10</t>
  </si>
  <si>
    <t>Output_1_109</t>
  </si>
  <si>
    <t>16/09/2020 (4) 16:41:40.01</t>
  </si>
  <si>
    <t>DV_F2002-273.4_L_11</t>
  </si>
  <si>
    <t>Output_1_110</t>
  </si>
  <si>
    <t>16/09/2020 (4) 16:42:19.90</t>
  </si>
  <si>
    <t>DV_F2002-273.4_L_12</t>
  </si>
  <si>
    <t>Output_1_111</t>
  </si>
  <si>
    <t>16/09/2020 (4) 16:42:59.08</t>
  </si>
  <si>
    <t>DV_F2002-273.4_L_13</t>
  </si>
  <si>
    <t>Output_1_112</t>
  </si>
  <si>
    <t>16/09/2020 (4) 16:43:38.23</t>
  </si>
  <si>
    <t>DV_F2002-273.4_L_14</t>
  </si>
  <si>
    <t>Output_1_113</t>
  </si>
  <si>
    <t>16/09/2020 (4) 16:44:24.58</t>
  </si>
  <si>
    <t>Ples-55</t>
  </si>
  <si>
    <t>Output_1_114</t>
  </si>
  <si>
    <t>16/09/2020 (4) 16:45:03.88</t>
  </si>
  <si>
    <t>GJ1-19</t>
  </si>
  <si>
    <t>Output_1_115</t>
  </si>
  <si>
    <t>16/09/2020 (4) 16:45:49.73</t>
  </si>
  <si>
    <t>DV_F2002-273.4_L_15</t>
  </si>
  <si>
    <t>Output_1_116</t>
  </si>
  <si>
    <t>16/09/2020 (4) 16:46:28.72</t>
  </si>
  <si>
    <t>DV_F2002-273.4_L_16</t>
  </si>
  <si>
    <t>Output_1_117</t>
  </si>
  <si>
    <t>16/09/2020 (4) 16:47:07.82</t>
  </si>
  <si>
    <t>DV_F2002-273.4_L_17</t>
  </si>
  <si>
    <t>Output_1_118</t>
  </si>
  <si>
    <t>16/09/2020 (4) 16:47:46.85</t>
  </si>
  <si>
    <t>DV_F2002-273.4_L_18</t>
  </si>
  <si>
    <t>Output_1_119</t>
  </si>
  <si>
    <t>16/09/2020 (4) 16:48:26.02</t>
  </si>
  <si>
    <t>DV_F2002-273.4_L_19</t>
  </si>
  <si>
    <t>Output_1_120</t>
  </si>
  <si>
    <t>16/09/2020 (4) 16:49:04.89</t>
  </si>
  <si>
    <t>DV_F2002-273.4_L_20</t>
  </si>
  <si>
    <t>Output_1_121</t>
  </si>
  <si>
    <t>16/09/2020 (4) 16:49:43.80</t>
  </si>
  <si>
    <t>DV_F2002-273.4_L_21</t>
  </si>
  <si>
    <t>Output_1_122</t>
  </si>
  <si>
    <t>16/09/2020 (4) 16:50:23.19</t>
  </si>
  <si>
    <t>DV_F2002-273.4_L_22</t>
  </si>
  <si>
    <t>Output_1_123</t>
  </si>
  <si>
    <t>16/09/2020 (4) 16:51:02.55</t>
  </si>
  <si>
    <t>DV_F2002-273.4_L_23</t>
  </si>
  <si>
    <t>Output_1_124</t>
  </si>
  <si>
    <t>16/09/2020 (4) 16:51:41.58</t>
  </si>
  <si>
    <t>DV_F2002-273.4_L_24</t>
  </si>
  <si>
    <t>Output_1_125</t>
  </si>
  <si>
    <t>16/09/2020 (4) 16:52:27.55</t>
  </si>
  <si>
    <t>91500-56</t>
  </si>
  <si>
    <t>Output_1_126</t>
  </si>
  <si>
    <t>16/09/2020 (4) 16:53:07.44</t>
  </si>
  <si>
    <t>R33-19</t>
  </si>
  <si>
    <t>Output_1_127</t>
  </si>
  <si>
    <t>16/09/2020 (4) 16:53:52.49</t>
  </si>
  <si>
    <t>DV_F2002-273.4_L_25</t>
  </si>
  <si>
    <t>Output_1_128</t>
  </si>
  <si>
    <t>16/09/2020 (4) 16:54:31.24</t>
  </si>
  <si>
    <t>DV_F2002-273.4_L_26</t>
  </si>
  <si>
    <t>Output_1_129</t>
  </si>
  <si>
    <t>16/09/2020 (4) 16:55:10.15</t>
  </si>
  <si>
    <t>DV_F2002-273.4_L_27</t>
  </si>
  <si>
    <t>Output_1_130</t>
  </si>
  <si>
    <t>16/09/2020 (4) 16:55:49.00</t>
  </si>
  <si>
    <t>DV_F2002-273.4_L_28</t>
  </si>
  <si>
    <t>Output_1_131</t>
  </si>
  <si>
    <t>16/09/2020 (4) 16:56:28.22</t>
  </si>
  <si>
    <t>DV_F2002-273.4_L_29</t>
  </si>
  <si>
    <t>Output_1_132</t>
  </si>
  <si>
    <t>16/09/2020 (4) 16:57:07.40</t>
  </si>
  <si>
    <t>DV_F2002-273.4_L_30</t>
  </si>
  <si>
    <t>Output_1_133</t>
  </si>
  <si>
    <t>16/09/2020 (4) 16:57:47.36</t>
  </si>
  <si>
    <t>DV_F2002-273.4_L_31</t>
  </si>
  <si>
    <t>Output_1_134</t>
  </si>
  <si>
    <t>16/09/2020 (4) 16:58:26.32</t>
  </si>
  <si>
    <t>DV_F2002-273.4_L_32</t>
  </si>
  <si>
    <t>Output_1_135</t>
  </si>
  <si>
    <t>16/09/2020 (4) 16:59:05.20</t>
  </si>
  <si>
    <t>DV_F2002-273.4_L_33</t>
  </si>
  <si>
    <t>Output_1_136</t>
  </si>
  <si>
    <t>16/09/2020 (4) 16:59:44.52</t>
  </si>
  <si>
    <t>DV_F2002-273.4_L_34</t>
  </si>
  <si>
    <t>Output_1_137</t>
  </si>
  <si>
    <t>16/09/2020 (4) 17:00:30.44</t>
  </si>
  <si>
    <t>Ples-56</t>
  </si>
  <si>
    <t>Output_1_138</t>
  </si>
  <si>
    <t>16/09/2020 (4) 17:01:09.41</t>
  </si>
  <si>
    <t>AusZ-19</t>
  </si>
  <si>
    <t>Output_1_139</t>
  </si>
  <si>
    <t>16/09/2020 (4) 17:01:55.97</t>
  </si>
  <si>
    <t>DV_F2002-273.4_L_35</t>
  </si>
  <si>
    <t>Output_1_140</t>
  </si>
  <si>
    <t>16/09/2020 (4) 17:02:35.36</t>
  </si>
  <si>
    <t>DV_F2002-273.4_L_36</t>
  </si>
  <si>
    <t>Output_1_141</t>
  </si>
  <si>
    <t>16/09/2020 (4) 17:03:14.19</t>
  </si>
  <si>
    <t>DV_F2002-273.4_L_37</t>
  </si>
  <si>
    <t>Output_1_142</t>
  </si>
  <si>
    <t>16/09/2020 (4) 17:03:53.07</t>
  </si>
  <si>
    <t>DV_F2002-273.4_L_38</t>
  </si>
  <si>
    <t>Output_1_143</t>
  </si>
  <si>
    <t>16/09/2020 (4) 17:04:32.32</t>
  </si>
  <si>
    <t>DV_F2002-273.4_L_39</t>
  </si>
  <si>
    <t>Output_1_144</t>
  </si>
  <si>
    <t>16/09/2020 (4) 17:05:11.33</t>
  </si>
  <si>
    <t>DV_F2002-273.4_L_40</t>
  </si>
  <si>
    <t>Output_1_145</t>
  </si>
  <si>
    <t>16/09/2020 (4) 17:05:50.47</t>
  </si>
  <si>
    <t>DV_F2002-273.4_L_41</t>
  </si>
  <si>
    <t>Output_1_146</t>
  </si>
  <si>
    <t>16/09/2020 (4) 17:06:29.53</t>
  </si>
  <si>
    <t>DV_F2002-273.4_L_42</t>
  </si>
  <si>
    <t>Output_1_147</t>
  </si>
  <si>
    <t>16/09/2020 (4) 17:07:08.37</t>
  </si>
  <si>
    <t>DV_F2002-273.4_L_43</t>
  </si>
  <si>
    <t>Output_1_148</t>
  </si>
  <si>
    <t>16/09/2020 (4) 17:07:47.45</t>
  </si>
  <si>
    <t>DV_F2002-273.4_L_44</t>
  </si>
  <si>
    <t>Output_1_149</t>
  </si>
  <si>
    <t>16/09/2020 (4) 17:08:33.46</t>
  </si>
  <si>
    <t>91500-57</t>
  </si>
  <si>
    <t>Output_1_150</t>
  </si>
  <si>
    <t>16/09/2020 (4) 17:09:12.79</t>
  </si>
  <si>
    <t>FC-19</t>
  </si>
  <si>
    <t>Output_1_151</t>
  </si>
  <si>
    <t>16/09/2020 (4) 17:09:58.29</t>
  </si>
  <si>
    <t>DV_F2002-273.4_L_45</t>
  </si>
  <si>
    <t>Output_1_152</t>
  </si>
  <si>
    <t>16/09/2020 (4) 17:10:37.34</t>
  </si>
  <si>
    <t>DV_F2002-273.4_L_46</t>
  </si>
  <si>
    <t>Output_1_153</t>
  </si>
  <si>
    <t>16/09/2020 (4) 17:11:16.30</t>
  </si>
  <si>
    <t>DV_F2002-273.4_L_47</t>
  </si>
  <si>
    <t>Output_1_154</t>
  </si>
  <si>
    <t>16/09/2020 (4) 17:11:55.32</t>
  </si>
  <si>
    <t>DV_F2002-273.4_L_48</t>
  </si>
  <si>
    <t>Output_1_155</t>
  </si>
  <si>
    <t>16/09/2020 (4) 17:12:34.20</t>
  </si>
  <si>
    <t>DV_F2002-273.4_L_49</t>
  </si>
  <si>
    <t>Output_1_156</t>
  </si>
  <si>
    <t>16/09/2020 (4) 17:13:13.21</t>
  </si>
  <si>
    <t>DV_F2002-273.4_L_50</t>
  </si>
  <si>
    <t>Output_1_157</t>
  </si>
  <si>
    <t>16/09/2020 (4) 17:13:52.02</t>
  </si>
  <si>
    <t>DV_F2002-273.4_L_51</t>
  </si>
  <si>
    <t>Output_1_158</t>
  </si>
  <si>
    <t>16/09/2020 (4) 17:15:06.03</t>
  </si>
  <si>
    <t>DV_F2002-273.4_L_52</t>
  </si>
  <si>
    <t>Output_1_159</t>
  </si>
  <si>
    <t>16/09/2020 (4) 17:15:45.79</t>
  </si>
  <si>
    <t>DV_F2002-273.4_L_53</t>
  </si>
  <si>
    <t>Output_1_160</t>
  </si>
  <si>
    <t>16/09/2020 (4) 17:16:25.08</t>
  </si>
  <si>
    <t>DV_F2002-273.4_L_54</t>
  </si>
  <si>
    <t>Output_1_161</t>
  </si>
  <si>
    <t>16/09/2020 (4) 17:17:11.01</t>
  </si>
  <si>
    <t>Ples-57</t>
  </si>
  <si>
    <t>Output_1_162</t>
  </si>
  <si>
    <t>16/09/2020 (4) 17:17:51.24</t>
  </si>
  <si>
    <t>OG-5</t>
  </si>
  <si>
    <t>Output_1_163</t>
  </si>
  <si>
    <t>16/09/2020 (4) 17:18:34.40</t>
  </si>
  <si>
    <t>DV_F2002-273.4_L_55</t>
  </si>
  <si>
    <t>Output_1_164</t>
  </si>
  <si>
    <t>16/09/2020 (4) 17:19:14.99</t>
  </si>
  <si>
    <t>DV_F2002-273.4_L_56</t>
  </si>
  <si>
    <t>Output_1_165</t>
  </si>
  <si>
    <t>16/09/2020 (4) 17:19:55.55</t>
  </si>
  <si>
    <t>DV_F2002-273.4_L_57</t>
  </si>
  <si>
    <t>Output_1_166</t>
  </si>
  <si>
    <t>16/09/2020 (4) 17:20:35.06</t>
  </si>
  <si>
    <t>DV_F2002-273.4_L_58</t>
  </si>
  <si>
    <t>Output_1_167</t>
  </si>
  <si>
    <t>16/09/2020 (4) 17:21:14.07</t>
  </si>
  <si>
    <t>DV_F2002-273.4_L_59</t>
  </si>
  <si>
    <t>Output_1_168</t>
  </si>
  <si>
    <t>16/09/2020 (4) 17:22:16.28</t>
  </si>
  <si>
    <t>DV_F2002-273.4_L_60</t>
  </si>
  <si>
    <t>Output_1_169</t>
  </si>
  <si>
    <t>16/09/2020 (4) 17:22:55.22</t>
  </si>
  <si>
    <t>DV_F2002-273.4_L_61</t>
  </si>
  <si>
    <t>Output_1_170</t>
  </si>
  <si>
    <t>16/09/2020 (4) 17:23:34.32</t>
  </si>
  <si>
    <t>DV_F2002-273.4_L_62</t>
  </si>
  <si>
    <t>Output_1_171</t>
  </si>
  <si>
    <t>16/09/2020 (4) 17:24:13.08</t>
  </si>
  <si>
    <t>DV_F2002-273.4_L_63</t>
  </si>
  <si>
    <t>Output_1_172</t>
  </si>
  <si>
    <t>16/09/2020 (4) 17:24:52.59</t>
  </si>
  <si>
    <t>DV_F2002-273.4_L_64</t>
  </si>
  <si>
    <t>Output_1_173</t>
  </si>
  <si>
    <t>16/09/2020 (4) 17:25:38.75</t>
  </si>
  <si>
    <t>91500-58</t>
  </si>
  <si>
    <t>Output_1_174</t>
  </si>
  <si>
    <t>16/09/2020 (4) 17:26:18.35</t>
  </si>
  <si>
    <t>9435-20</t>
  </si>
  <si>
    <t>Output_1_175</t>
  </si>
  <si>
    <t>16/09/2020 (4) 17:27:03.50</t>
  </si>
  <si>
    <t>DV_F2002-273.4_L_65</t>
  </si>
  <si>
    <t>Output_1_176</t>
  </si>
  <si>
    <t>16/09/2020 (4) 17:27:51.35</t>
  </si>
  <si>
    <t>94TM-B1A_z1</t>
  </si>
  <si>
    <t>Output_1_177</t>
  </si>
  <si>
    <t>16/09/2020 (4) 17:28:30.74</t>
  </si>
  <si>
    <t>94TM-B1A_z2</t>
  </si>
  <si>
    <t>Output_1_178</t>
  </si>
  <si>
    <t>16/09/2020 (4) 17:29:09.01</t>
  </si>
  <si>
    <t>94TM-B1A_z3</t>
  </si>
  <si>
    <t>Output_1_179</t>
  </si>
  <si>
    <t>16/09/2020 (4) 17:29:52.86</t>
  </si>
  <si>
    <t>94TM-B1A_z4</t>
  </si>
  <si>
    <t>no value</t>
  </si>
  <si>
    <t>NAN</t>
  </si>
  <si>
    <t>NaN</t>
  </si>
  <si>
    <t>Output_1_180</t>
  </si>
  <si>
    <t>16/09/2020 (4) 17:30:30.66</t>
  </si>
  <si>
    <t>94TM-B1A_z5</t>
  </si>
  <si>
    <t>Output_1_181</t>
  </si>
  <si>
    <t>16/09/2020 (4) 17:31:09.26</t>
  </si>
  <si>
    <t>94TM-B1A_z6</t>
  </si>
  <si>
    <t>Output_1_182</t>
  </si>
  <si>
    <t>16/09/2020 (4) 17:31:45.89</t>
  </si>
  <si>
    <t>94TM-B1A_z7</t>
  </si>
  <si>
    <t>Output_1_183</t>
  </si>
  <si>
    <t>16/09/2020 (4) 17:32:25.27</t>
  </si>
  <si>
    <t>94TM-B1A_z8</t>
  </si>
  <si>
    <t>Output_1_184</t>
  </si>
  <si>
    <t>16/09/2020 (4) 17:33:03.83</t>
  </si>
  <si>
    <t>94TM-B1A_z9</t>
  </si>
  <si>
    <t>Output_1_185</t>
  </si>
  <si>
    <t>16/09/2020 (4) 17:33:52.81</t>
  </si>
  <si>
    <t>Ples-58</t>
  </si>
  <si>
    <t>Output_1_186</t>
  </si>
  <si>
    <t>16/09/2020 (4) 17:34:32.24</t>
  </si>
  <si>
    <t>GJ1-20</t>
  </si>
  <si>
    <t>Output_1_187</t>
  </si>
  <si>
    <t>16/09/2020 (4) 17:35:12.93</t>
  </si>
  <si>
    <t>94TM-B1A_z10</t>
  </si>
  <si>
    <t>Output_1_188</t>
  </si>
  <si>
    <t>16/09/2020 (4) 17:35:51.12</t>
  </si>
  <si>
    <t>94TM-B1A_z11</t>
  </si>
  <si>
    <t>Output_1_189</t>
  </si>
  <si>
    <t>16/09/2020 (4) 17:36:30.33</t>
  </si>
  <si>
    <t>94TM-B1A_z12</t>
  </si>
  <si>
    <t>Output_1_190</t>
  </si>
  <si>
    <t>16/09/2020 (4) 17:37:14.91</t>
  </si>
  <si>
    <t>94TM-B1A_z13</t>
  </si>
  <si>
    <t>Output_1_191</t>
  </si>
  <si>
    <t>16/09/2020 (4) 17:37:53.65</t>
  </si>
  <si>
    <t>94TM-B1A_z14</t>
  </si>
  <si>
    <t>Output_1_192</t>
  </si>
  <si>
    <t>16/09/2020 (4) 17:38:27.60</t>
  </si>
  <si>
    <t>94TM-B1A_z15</t>
  </si>
  <si>
    <t>Output_1_193</t>
  </si>
  <si>
    <t>16/09/2020 (4) 17:39:06.89</t>
  </si>
  <si>
    <t>94TM-B1A_z16</t>
  </si>
  <si>
    <t>Output_1_194</t>
  </si>
  <si>
    <t>16/09/2020 (4) 17:39:45.43</t>
  </si>
  <si>
    <t>94TM-B1A_z17</t>
  </si>
  <si>
    <t>Output_1_195</t>
  </si>
  <si>
    <t>16/09/2020 (4) 17:40:24.88</t>
  </si>
  <si>
    <t>94TM-B1A_z18</t>
  </si>
  <si>
    <t>Output_1_196</t>
  </si>
  <si>
    <t>16/09/2020 (4) 17:41:02.97</t>
  </si>
  <si>
    <t>94TM-B1A_z19</t>
  </si>
  <si>
    <t>Output_1_197</t>
  </si>
  <si>
    <t>16/09/2020 (4) 17:41:53.39</t>
  </si>
  <si>
    <t>91500-59</t>
  </si>
  <si>
    <t>Output_1_198</t>
  </si>
  <si>
    <t>16/09/2020 (4) 17:42:33.26</t>
  </si>
  <si>
    <t>R33-20</t>
  </si>
  <si>
    <t>Output_1_199</t>
  </si>
  <si>
    <t>16/09/2020 (4) 17:43:18.68</t>
  </si>
  <si>
    <t>94TM-B1A_z20</t>
  </si>
  <si>
    <t>Output_1_200</t>
  </si>
  <si>
    <t>16/09/2020 (4) 17:43:53.24</t>
  </si>
  <si>
    <t>94TM-B1A_z21</t>
  </si>
  <si>
    <t>Output_1_201</t>
  </si>
  <si>
    <t>16/09/2020 (4) 17:44:34.11</t>
  </si>
  <si>
    <t>94TM-B1A_z22</t>
  </si>
  <si>
    <t>Output_1_202</t>
  </si>
  <si>
    <t>16/09/2020 (4) 17:45:12.19</t>
  </si>
  <si>
    <t>94TM-B1A_z23</t>
  </si>
  <si>
    <t>Output_1_203</t>
  </si>
  <si>
    <t>16/09/2020 (4) 17:45:51.80</t>
  </si>
  <si>
    <t>94TM-B1A_z24</t>
  </si>
  <si>
    <t>Output_1_204</t>
  </si>
  <si>
    <t>16/09/2020 (4) 17:46:31.74</t>
  </si>
  <si>
    <t>94TM-B1A_z25</t>
  </si>
  <si>
    <t>Output_1_205</t>
  </si>
  <si>
    <t>16/09/2020 (4) 17:47:13.56</t>
  </si>
  <si>
    <t>94TM-B1A_z26</t>
  </si>
  <si>
    <t>Output_1_206</t>
  </si>
  <si>
    <t>16/09/2020 (4) 17:47:49.38</t>
  </si>
  <si>
    <t>94TM-B1A_z27</t>
  </si>
  <si>
    <t>Output_1_207</t>
  </si>
  <si>
    <t>16/09/2020 (4) 17:48:26.52</t>
  </si>
  <si>
    <t>94TM-B1A_z28</t>
  </si>
  <si>
    <t>Output_1_208</t>
  </si>
  <si>
    <t>16/09/2020 (4) 17:49:08.18</t>
  </si>
  <si>
    <t>94TM-B1A_z29</t>
  </si>
  <si>
    <t>Output_1_209</t>
  </si>
  <si>
    <t>16/09/2020 (4) 17:49:54.86</t>
  </si>
  <si>
    <t>Ples131</t>
  </si>
  <si>
    <t>Output_1_210</t>
  </si>
  <si>
    <t>16/09/2020 (4) 17:50:34.02</t>
  </si>
  <si>
    <t>AusZ-20</t>
  </si>
  <si>
    <t>Output_1_211</t>
  </si>
  <si>
    <t>16/09/2020 (4) 17:51:16.11</t>
  </si>
  <si>
    <t>94TM-B1A_z30</t>
  </si>
  <si>
    <t>Output_1_212</t>
  </si>
  <si>
    <t>16/09/2020 (4) 17:51:53.83</t>
  </si>
  <si>
    <t>94TM-B1A_z31</t>
  </si>
  <si>
    <t>Output_1_213</t>
  </si>
  <si>
    <t>16/09/2020 (4) 17:52:38.80</t>
  </si>
  <si>
    <t>94TM-B1A_z32</t>
  </si>
  <si>
    <t>Output_1_214</t>
  </si>
  <si>
    <t>16/09/2020 (4) 17:53:10.86</t>
  </si>
  <si>
    <t>94TM-B1A_z33</t>
  </si>
  <si>
    <t>Output_1_215</t>
  </si>
  <si>
    <t>16/09/2020 (4) 17:53:50.94</t>
  </si>
  <si>
    <t>94TM-B1A_z34</t>
  </si>
  <si>
    <t>Output_1_216</t>
  </si>
  <si>
    <t>16/09/2020 (4) 17:54:29.60</t>
  </si>
  <si>
    <t>94TM-B1A_z35</t>
  </si>
  <si>
    <t>Output_1_217</t>
  </si>
  <si>
    <t>16/09/2020 (4) 17:55:08.73</t>
  </si>
  <si>
    <t>94TM-B1A_z36</t>
  </si>
  <si>
    <t>Output_1_218</t>
  </si>
  <si>
    <t>16/09/2020 (4) 17:55:46.60</t>
  </si>
  <si>
    <t>94TM-B1A_z37</t>
  </si>
  <si>
    <t>Output_1_219</t>
  </si>
  <si>
    <t>16/09/2020 (4) 17:56:24.09</t>
  </si>
  <si>
    <t>94TM-B1A_z38</t>
  </si>
  <si>
    <t>Output_1_220</t>
  </si>
  <si>
    <t>16/09/2020 (4) 17:57:03.85</t>
  </si>
  <si>
    <t>94TM-B1A_z39</t>
  </si>
  <si>
    <t>Output_1_221</t>
  </si>
  <si>
    <t>16/09/2020 (4) 17:57:52.58</t>
  </si>
  <si>
    <t>91500-131</t>
  </si>
  <si>
    <t>Output_1_222</t>
  </si>
  <si>
    <t>16/09/2020 (4) 17:58:32.30</t>
  </si>
  <si>
    <t>FC-20</t>
  </si>
  <si>
    <t>Output_1_223</t>
  </si>
  <si>
    <t>16/09/2020 (4) 17:59:14.31</t>
  </si>
  <si>
    <t>94TM-B1A_z40</t>
  </si>
  <si>
    <t>Output_1_224</t>
  </si>
  <si>
    <t>16/09/2020 (4) 17:59:52.97</t>
  </si>
  <si>
    <t>94TM-B1A_z41</t>
  </si>
  <si>
    <t>Output_1_225</t>
  </si>
  <si>
    <t>16/09/2020 (4) 18:00:31.79</t>
  </si>
  <si>
    <t>94TM-B1A_z42</t>
  </si>
  <si>
    <t>Output_1_226</t>
  </si>
  <si>
    <t>16/09/2020 (4) 18:01:10.88</t>
  </si>
  <si>
    <t>94TM-B1A_z43</t>
  </si>
  <si>
    <t>Output_1_227</t>
  </si>
  <si>
    <t>16/09/2020 (4) 18:01:49.54</t>
  </si>
  <si>
    <t>94TM-B1A_z44</t>
  </si>
  <si>
    <t>Output_1_228</t>
  </si>
  <si>
    <t>16/09/2020 (4) 18:02:28.04</t>
  </si>
  <si>
    <t>94TM-B1A_z45</t>
  </si>
  <si>
    <t>Output_1_229</t>
  </si>
  <si>
    <t>16/09/2020 (4) 18:03:06.36</t>
  </si>
  <si>
    <t>94TM-B1A_z46</t>
  </si>
  <si>
    <t>Output_1_230</t>
  </si>
  <si>
    <t>16/09/2020 (4) 18:03:45.81</t>
  </si>
  <si>
    <t>94TM-B1A_z47</t>
  </si>
  <si>
    <t>Output_1_231</t>
  </si>
  <si>
    <t>16/09/2020 (4) 18:04:24.47</t>
  </si>
  <si>
    <t>94TM-B1A_z48</t>
  </si>
  <si>
    <t>Output_1_232</t>
  </si>
  <si>
    <t>16/09/2020 (4) 18:05:03.43</t>
  </si>
  <si>
    <t>94TM-B1A_z49</t>
  </si>
  <si>
    <t>Output_1_233</t>
  </si>
  <si>
    <t>16/09/2020 (4) 18:05:52.10</t>
  </si>
  <si>
    <t>Ples-60</t>
  </si>
  <si>
    <t>Output_1_234</t>
  </si>
  <si>
    <t>16/09/2020 (4) 18:06:32.30</t>
  </si>
  <si>
    <t>OG-20</t>
  </si>
  <si>
    <t>Output_1_235</t>
  </si>
  <si>
    <t>16/09/2020 (4) 18:07:13.24</t>
  </si>
  <si>
    <t>94TM-B1A_z50</t>
  </si>
  <si>
    <t>Output_1_236</t>
  </si>
  <si>
    <t>16/09/2020 (4) 18:07:52.22</t>
  </si>
  <si>
    <t>94TM-B1A_z51</t>
  </si>
  <si>
    <t>Output_1_237</t>
  </si>
  <si>
    <t>16/09/2020 (4) 18:08:31.83</t>
  </si>
  <si>
    <t>94TM-B1A_z52</t>
  </si>
  <si>
    <t>Output_1_238</t>
  </si>
  <si>
    <t>16/09/2020 (4) 18:09:09.98</t>
  </si>
  <si>
    <t>94TM-B1A_z53</t>
  </si>
  <si>
    <t>Output_1_239</t>
  </si>
  <si>
    <t>16/09/2020 (4) 18:09:48.33</t>
  </si>
  <si>
    <t>94TM-B1A_z54</t>
  </si>
  <si>
    <t>Output_1_240</t>
  </si>
  <si>
    <t>16/09/2020 (4) 18:10:27.62</t>
  </si>
  <si>
    <t>94TM-B1A_z55</t>
  </si>
  <si>
    <t>Output_1_241</t>
  </si>
  <si>
    <t>16/09/2020 (4) 18:11:06.86</t>
  </si>
  <si>
    <t>94TM-B1A_z56</t>
  </si>
  <si>
    <t>Output_1_242</t>
  </si>
  <si>
    <t>16/09/2020 (4) 18:11:45.83</t>
  </si>
  <si>
    <t>94TM-B1A_z57</t>
  </si>
  <si>
    <t>Output_1_243</t>
  </si>
  <si>
    <t>16/09/2020 (4) 18:12:24.81</t>
  </si>
  <si>
    <t>94TM-B1A_z58</t>
  </si>
  <si>
    <t>Output_1_244</t>
  </si>
  <si>
    <t>16/09/2020 (4) 18:13:03.19</t>
  </si>
  <si>
    <t>94TM-B1A_z59</t>
  </si>
  <si>
    <t>Output_1_245</t>
  </si>
  <si>
    <t>16/09/2020 (4) 18:13:52.28</t>
  </si>
  <si>
    <t>91500-130</t>
  </si>
  <si>
    <t>Output_1_246</t>
  </si>
  <si>
    <t>16/09/2020 (4) 18:14:31.58</t>
  </si>
  <si>
    <t>9435-113</t>
  </si>
  <si>
    <t>Output_1_247</t>
  </si>
  <si>
    <t>16/09/2020 (4) 18:15:12.64</t>
  </si>
  <si>
    <t>94TM-B1A_z60</t>
  </si>
  <si>
    <t>Output_1_248</t>
  </si>
  <si>
    <t>16/09/2020 (4) 18:15:51.93</t>
  </si>
  <si>
    <t>94TM-B1A_z61</t>
  </si>
  <si>
    <t>Output_1_249</t>
  </si>
  <si>
    <t>16/09/2020 (4) 18:16:30.43</t>
  </si>
  <si>
    <t>94TM-B1A_z62</t>
  </si>
  <si>
    <t>Output_1_250</t>
  </si>
  <si>
    <t>16/09/2020 (4) 18:17:10.04</t>
  </si>
  <si>
    <t>94TM-B1A_z63</t>
  </si>
  <si>
    <t>Output_1_251</t>
  </si>
  <si>
    <t>16/09/2020 (4) 18:17:48.17</t>
  </si>
  <si>
    <t>94TM-B1A_z64</t>
  </si>
  <si>
    <t>Output_1_252</t>
  </si>
  <si>
    <t>16/09/2020 (4) 18:18:27.93</t>
  </si>
  <si>
    <t>94TM-B1A_z65</t>
  </si>
  <si>
    <t>Output_1_253</t>
  </si>
  <si>
    <t>16/09/2020 (4) 18:19:12.91</t>
  </si>
  <si>
    <t>94TM-B1A_z66</t>
  </si>
  <si>
    <t>Output_1_254</t>
  </si>
  <si>
    <t>16/09/2020 (4) 18:19:46.36</t>
  </si>
  <si>
    <t>94TM-B1A_z67</t>
  </si>
  <si>
    <t>Output_1_255</t>
  </si>
  <si>
    <t>16/09/2020 (4) 18:20:25.18</t>
  </si>
  <si>
    <t>94TM-B1A_z68</t>
  </si>
  <si>
    <t>Output_1_256</t>
  </si>
  <si>
    <t>16/09/2020 (4) 18:21:03.64</t>
  </si>
  <si>
    <t>94TM-B1A_z69</t>
  </si>
  <si>
    <t>Output_1_257</t>
  </si>
  <si>
    <t>16/09/2020 (4) 18:21:53.04</t>
  </si>
  <si>
    <t>Ples133</t>
  </si>
  <si>
    <t>Output_1_258</t>
  </si>
  <si>
    <t>16/09/2020 (4) 18:22:32.95</t>
  </si>
  <si>
    <t>GJ1-123</t>
  </si>
  <si>
    <t>Output_1_259</t>
  </si>
  <si>
    <t>16/09/2020 (4) 18:23:13.73</t>
  </si>
  <si>
    <t>94TM-B1A_z70</t>
  </si>
  <si>
    <t>Output_1_260</t>
  </si>
  <si>
    <t>16/09/2020 (4) 18:23:53.81</t>
  </si>
  <si>
    <t>94TM-B1A_z71</t>
  </si>
  <si>
    <t>Output_1_261</t>
  </si>
  <si>
    <t>16/09/2020 (4) 18:24:33.73</t>
  </si>
  <si>
    <t>94TM-B1A_z72</t>
  </si>
  <si>
    <t>Output_1_262</t>
  </si>
  <si>
    <t>16/09/2020 (4) 18:25:15.77</t>
  </si>
  <si>
    <t>94TM-B1A_z73</t>
  </si>
  <si>
    <t>Output_1_263</t>
  </si>
  <si>
    <t>16/09/2020 (4) 18:25:52.61</t>
  </si>
  <si>
    <t>94TM-B1A_z74</t>
  </si>
  <si>
    <t>Output_1_264</t>
  </si>
  <si>
    <t>16/09/2020 (4) 18:26:30.17</t>
  </si>
  <si>
    <t>94TM-B1A_z75</t>
  </si>
  <si>
    <t>Output_1_265</t>
  </si>
  <si>
    <t>16/09/2020 (4) 18:27:10.45</t>
  </si>
  <si>
    <t>94TM-B1A_z76</t>
  </si>
  <si>
    <t>Output_1_266</t>
  </si>
  <si>
    <t>16/09/2020 (4) 18:27:48.00</t>
  </si>
  <si>
    <t>94TM-B1A_z77</t>
  </si>
  <si>
    <t>Output_1_267</t>
  </si>
  <si>
    <t>16/09/2020 (4) 18:28:29.73</t>
  </si>
  <si>
    <t>94TM-B1A_z78</t>
  </si>
  <si>
    <t>Output_1_268</t>
  </si>
  <si>
    <t>16/09/2020 (4) 18:29:07.85</t>
  </si>
  <si>
    <t>94TM-B1A_z79</t>
  </si>
  <si>
    <t>Output_1_269</t>
  </si>
  <si>
    <t>16/09/2020 (4) 18:29:56.05</t>
  </si>
  <si>
    <t>91500-129</t>
  </si>
  <si>
    <t>Output_1_270</t>
  </si>
  <si>
    <t>16/09/2020 (4) 18:30:36.09</t>
  </si>
  <si>
    <t>R33-13</t>
  </si>
  <si>
    <t>Output_1_271</t>
  </si>
  <si>
    <t>16/09/2020 (4) 18:31:19.31</t>
  </si>
  <si>
    <t>94TM-B1A_z80</t>
  </si>
  <si>
    <t>Output_1_272</t>
  </si>
  <si>
    <t>16/09/2020 (4) 18:31:57.50</t>
  </si>
  <si>
    <t>94TM-B1A_z81</t>
  </si>
  <si>
    <t>Output_1_273</t>
  </si>
  <si>
    <t>16/09/2020 (4) 18:32:37.58</t>
  </si>
  <si>
    <t>94TM-B1A_z82</t>
  </si>
  <si>
    <t>Output_1_274</t>
  </si>
  <si>
    <t>16/09/2020 (4) 18:33:15.89</t>
  </si>
  <si>
    <t>94TM-B1A_z83</t>
  </si>
  <si>
    <t>Output_1_275</t>
  </si>
  <si>
    <t>16/09/2020 (4) 18:33:54.71</t>
  </si>
  <si>
    <t>94TM-B1A_z84</t>
  </si>
  <si>
    <t>Output_1_276</t>
  </si>
  <si>
    <t>16/09/2020 (4) 18:34:37.70</t>
  </si>
  <si>
    <t>94TM-B1A_z85</t>
  </si>
  <si>
    <t>Output_1_277</t>
  </si>
  <si>
    <t>16/09/2020 (4) 18:35:13.02</t>
  </si>
  <si>
    <t>94TM-B1A_z86</t>
  </si>
  <si>
    <t>Output_1_278</t>
  </si>
  <si>
    <t>16/09/2020 (4) 18:35:51.37</t>
  </si>
  <si>
    <t>94TM-B1A_z87</t>
  </si>
  <si>
    <t>Output_1_279</t>
  </si>
  <si>
    <t>16/09/2020 (4) 18:36:30.66</t>
  </si>
  <si>
    <t>94TM-B1A_z88</t>
  </si>
  <si>
    <t>Output_1_280</t>
  </si>
  <si>
    <t>16/09/2020 (4) 18:37:15.40</t>
  </si>
  <si>
    <t>SLGC2019_MR_1</t>
  </si>
  <si>
    <t>Output_1_281</t>
  </si>
  <si>
    <t>16/09/2020 (4) 18:38:05.12</t>
  </si>
  <si>
    <t>Ples-59</t>
  </si>
  <si>
    <t>Output_1_282</t>
  </si>
  <si>
    <t>16/09/2020 (4) 18:38:44.10</t>
  </si>
  <si>
    <t>AusZ-109</t>
  </si>
  <si>
    <t>Output_1_283</t>
  </si>
  <si>
    <t>16/09/2020 (4) 18:39:26.06</t>
  </si>
  <si>
    <t>SLGC2019_MR_2</t>
  </si>
  <si>
    <t>Output_1_284</t>
  </si>
  <si>
    <t>16/09/2020 (4) 18:40:04.96</t>
  </si>
  <si>
    <t>SLGC2019_MR_3</t>
  </si>
  <si>
    <t>Output_1_285</t>
  </si>
  <si>
    <t>16/09/2020 (4) 18:40:43.62</t>
  </si>
  <si>
    <t>SLGC2019_MR_4</t>
  </si>
  <si>
    <t>Output_1_286</t>
  </si>
  <si>
    <t>16/09/2020 (4) 18:41:22.13</t>
  </si>
  <si>
    <t>SLGC2019_MR_5</t>
  </si>
  <si>
    <t>Output_1_287</t>
  </si>
  <si>
    <t>16/09/2020 (4) 18:42:01.42</t>
  </si>
  <si>
    <t>SLGC2019_MR_6</t>
  </si>
  <si>
    <t>Output_1_288</t>
  </si>
  <si>
    <t>16/09/2020 (4) 18:42:52.46</t>
  </si>
  <si>
    <t>SLGC2022_SR_1</t>
  </si>
  <si>
    <t>Output_1_289</t>
  </si>
  <si>
    <t>16/09/2020 (4) 18:43:31.64</t>
  </si>
  <si>
    <t>SLGC2022_SR_2</t>
  </si>
  <si>
    <t>Output_1_290</t>
  </si>
  <si>
    <t>16/09/2020 (4) 18:44:11.09</t>
  </si>
  <si>
    <t>SLGC2022_SR_3</t>
  </si>
  <si>
    <t>Output_1_291</t>
  </si>
  <si>
    <t>16/09/2020 (4) 18:44:49.94</t>
  </si>
  <si>
    <t>SLGC2022_SR_4</t>
  </si>
  <si>
    <t>Output_1_292</t>
  </si>
  <si>
    <t>16/09/2020 (4) 18:45:29.20</t>
  </si>
  <si>
    <t>SLGC2022_SR_5</t>
  </si>
  <si>
    <t>Output_1_293</t>
  </si>
  <si>
    <t>16/09/2020 (4) 18:46:08.49</t>
  </si>
  <si>
    <t>SLGC2022_SR_6</t>
  </si>
  <si>
    <t>Output_1_294</t>
  </si>
  <si>
    <t>16/09/2020 (4) 18:46:55.22</t>
  </si>
  <si>
    <t>91500-128</t>
  </si>
  <si>
    <t>Output_1_295</t>
  </si>
  <si>
    <t>16/09/2020 (4) 18:47:34.93</t>
  </si>
  <si>
    <t>FC-13</t>
  </si>
  <si>
    <t>Output_1_296</t>
  </si>
  <si>
    <t>16/09/2020 (4) 18:48:20.89</t>
  </si>
  <si>
    <t>SLGC2022_SR_7</t>
  </si>
  <si>
    <t>Output_1_297</t>
  </si>
  <si>
    <t>16/09/2020 (4) 18:48:59.75</t>
  </si>
  <si>
    <t>SLGC2022_SR_8</t>
  </si>
  <si>
    <t>Output_1_298</t>
  </si>
  <si>
    <t>16/09/2020 (4) 18:49:38.40</t>
  </si>
  <si>
    <t>SLGC2022_SR_9</t>
  </si>
  <si>
    <t>Output_1_299</t>
  </si>
  <si>
    <t>16/09/2020 (4) 18:50:26.11</t>
  </si>
  <si>
    <t>95RW18_SR_1</t>
  </si>
  <si>
    <t>Output_1_300</t>
  </si>
  <si>
    <t>16/09/2020 (4) 18:51:05.87</t>
  </si>
  <si>
    <t>95RW18_SR_2</t>
  </si>
  <si>
    <t>Output_1_301</t>
  </si>
  <si>
    <t>16/09/2020 (4) 18:51:44.22</t>
  </si>
  <si>
    <t>95RW18_SR_3</t>
  </si>
  <si>
    <t>Output_1_302</t>
  </si>
  <si>
    <t>16/09/2020 (4) 18:52:22.24</t>
  </si>
  <si>
    <t>95RW18_SR_4</t>
  </si>
  <si>
    <t>Output_1_303</t>
  </si>
  <si>
    <t>16/09/2020 (4) 18:53:00.74</t>
  </si>
  <si>
    <t>95RW18_SR_5</t>
  </si>
  <si>
    <t>Output_1_304</t>
  </si>
  <si>
    <t>16/09/2020 (4) 18:53:40.35</t>
  </si>
  <si>
    <t>95RW18_SR_6</t>
  </si>
  <si>
    <t>Output_1_305</t>
  </si>
  <si>
    <t>16/09/2020 (4) 18:54:17.59</t>
  </si>
  <si>
    <t>95RW18_SR_7</t>
  </si>
  <si>
    <t>Output_1_306</t>
  </si>
  <si>
    <t>16/09/2020 (4) 18:55:07.47</t>
  </si>
  <si>
    <t>Ples-36</t>
  </si>
  <si>
    <t>Output_1_307</t>
  </si>
  <si>
    <t>16/09/2020 (4) 18:55:47.67</t>
  </si>
  <si>
    <t>OG-6</t>
  </si>
  <si>
    <t>Output_1_308</t>
  </si>
  <si>
    <t>16/09/2020 (4) 18:56:27.61</t>
  </si>
  <si>
    <t>95RW18_SR_8</t>
  </si>
  <si>
    <t>Output_1_309</t>
  </si>
  <si>
    <t>16/09/2020 (4) 18:57:07.06</t>
  </si>
  <si>
    <t>95RW18_SR_9</t>
  </si>
  <si>
    <t>Output_1_310</t>
  </si>
  <si>
    <t>16/09/2020 (4) 18:57:46.19</t>
  </si>
  <si>
    <t>95RW18_SR_10</t>
  </si>
  <si>
    <t>Output_1_311</t>
  </si>
  <si>
    <t>16/09/2020 (4) 18:58:28.58</t>
  </si>
  <si>
    <t>NG_94TM-B21A_SR_1</t>
  </si>
  <si>
    <t>Output_1_312</t>
  </si>
  <si>
    <t>16/09/2020 (4) 18:59:07.22</t>
  </si>
  <si>
    <t>NG_94TM-B21A_SR_2</t>
  </si>
  <si>
    <t>Output_1_313</t>
  </si>
  <si>
    <t>16/09/2020 (4) 18:59:44.93</t>
  </si>
  <si>
    <t>NG_94TM-B21A_SR_3</t>
  </si>
  <si>
    <t>Output_1_314</t>
  </si>
  <si>
    <t>16/09/2020 (4) 19:00:23.75</t>
  </si>
  <si>
    <t>NG_94TM-B21A_SR_4</t>
  </si>
  <si>
    <t>Output_1_315</t>
  </si>
  <si>
    <t>16/09/2020 (4) 19:01:07.28</t>
  </si>
  <si>
    <t>NG_94TM-B21A_SR_5</t>
  </si>
  <si>
    <t>Output_1_316</t>
  </si>
  <si>
    <t>16/09/2020 (4) 19:01:42.24</t>
  </si>
  <si>
    <t>NG_94TM-B21A_SR_6</t>
  </si>
  <si>
    <t>Output_1_317</t>
  </si>
  <si>
    <t>16/09/2020 (4) 19:02:20.58</t>
  </si>
  <si>
    <t>NG_94TM-B21A_SR_7</t>
  </si>
  <si>
    <t>Output_1_318</t>
  </si>
  <si>
    <t>16/09/2020 (4) 19:03:09.69</t>
  </si>
  <si>
    <t>91500-127</t>
  </si>
  <si>
    <t>Output_1_319</t>
  </si>
  <si>
    <t>16/09/2020 (4) 19:03:49.06</t>
  </si>
  <si>
    <t>9435-112</t>
  </si>
  <si>
    <t>Output_1_320</t>
  </si>
  <si>
    <t>16/09/2020 (4) 19:04:28.68</t>
  </si>
  <si>
    <t>NG_94TM-B21A_SR_8</t>
  </si>
  <si>
    <t>Output_1_321</t>
  </si>
  <si>
    <t>16/09/2020 (4) 19:05:16.47</t>
  </si>
  <si>
    <t>Ples132</t>
  </si>
  <si>
    <t>Output_1_322</t>
  </si>
  <si>
    <t>16/09/2020 (4) 19:05:55.72</t>
  </si>
  <si>
    <t>GJ1-101</t>
  </si>
  <si>
    <r>
      <t>207</t>
    </r>
    <r>
      <rPr>
        <sz val="11"/>
        <color theme="1"/>
        <rFont val="Calibri"/>
        <family val="2"/>
        <scheme val="minor"/>
      </rPr>
      <t>Pb/</t>
    </r>
    <r>
      <rPr>
        <vertAlign val="superscript"/>
        <sz val="11"/>
        <color theme="1"/>
        <rFont val="Calibri"/>
        <family val="2"/>
        <scheme val="minor"/>
      </rPr>
      <t>235</t>
    </r>
    <r>
      <rPr>
        <sz val="11"/>
        <color theme="1"/>
        <rFont val="Calibri"/>
        <family val="2"/>
        <scheme val="minor"/>
      </rPr>
      <t>U</t>
    </r>
  </si>
  <si>
    <r>
      <t>206</t>
    </r>
    <r>
      <rPr>
        <sz val="11"/>
        <color theme="1"/>
        <rFont val="Calibri"/>
        <family val="2"/>
        <scheme val="minor"/>
      </rPr>
      <t>Pb/</t>
    </r>
    <r>
      <rPr>
        <vertAlign val="superscript"/>
        <sz val="11"/>
        <color theme="1"/>
        <rFont val="Calibri"/>
        <family val="2"/>
        <scheme val="minor"/>
      </rPr>
      <t>238</t>
    </r>
    <r>
      <rPr>
        <sz val="11"/>
        <color theme="1"/>
        <rFont val="Calibri"/>
        <family val="2"/>
        <scheme val="minor"/>
      </rPr>
      <t>U</t>
    </r>
  </si>
  <si>
    <r>
      <t>238</t>
    </r>
    <r>
      <rPr>
        <sz val="11"/>
        <color theme="1"/>
        <rFont val="Calibri"/>
        <family val="2"/>
        <scheme val="minor"/>
      </rPr>
      <t>U/</t>
    </r>
    <r>
      <rPr>
        <vertAlign val="superscript"/>
        <sz val="11"/>
        <color theme="1"/>
        <rFont val="Calibri"/>
        <family val="2"/>
        <scheme val="minor"/>
      </rPr>
      <t>206</t>
    </r>
    <r>
      <rPr>
        <sz val="11"/>
        <color theme="1"/>
        <rFont val="Calibri"/>
        <family val="2"/>
        <scheme val="minor"/>
      </rPr>
      <t>Pb</t>
    </r>
  </si>
  <si>
    <r>
      <t>207</t>
    </r>
    <r>
      <rPr>
        <sz val="11"/>
        <color theme="1"/>
        <rFont val="Calibri"/>
        <family val="2"/>
        <scheme val="minor"/>
      </rPr>
      <t>Pb/</t>
    </r>
    <r>
      <rPr>
        <vertAlign val="superscript"/>
        <sz val="11"/>
        <color theme="1"/>
        <rFont val="Calibri"/>
        <family val="2"/>
        <scheme val="minor"/>
      </rPr>
      <t>206</t>
    </r>
    <r>
      <rPr>
        <sz val="11"/>
        <color theme="1"/>
        <rFont val="Calibri"/>
        <family val="2"/>
        <scheme val="minor"/>
      </rPr>
      <t>Pb</t>
    </r>
  </si>
  <si>
    <t>Best Age</t>
  </si>
  <si>
    <t>2s</t>
  </si>
  <si>
    <t>Concordance</t>
  </si>
  <si>
    <t>U ppm</t>
  </si>
  <si>
    <t>Th ppm</t>
  </si>
  <si>
    <r>
      <t>208</t>
    </r>
    <r>
      <rPr>
        <sz val="11"/>
        <color theme="1"/>
        <rFont val="Calibri"/>
        <family val="2"/>
        <scheme val="minor"/>
      </rPr>
      <t>Pb/</t>
    </r>
    <r>
      <rPr>
        <vertAlign val="superscript"/>
        <sz val="11"/>
        <color theme="1"/>
        <rFont val="Calibri"/>
        <family val="2"/>
        <scheme val="minor"/>
      </rPr>
      <t>232</t>
    </r>
    <r>
      <rPr>
        <sz val="11"/>
        <color theme="1"/>
        <rFont val="Calibri"/>
        <family val="2"/>
        <scheme val="minor"/>
      </rPr>
      <t>Th</t>
    </r>
  </si>
  <si>
    <r>
      <t>206</t>
    </r>
    <r>
      <rPr>
        <sz val="11"/>
        <color theme="1"/>
        <rFont val="Calibri"/>
        <family val="2"/>
        <scheme val="minor"/>
      </rPr>
      <t>Pb/</t>
    </r>
    <r>
      <rPr>
        <vertAlign val="superscript"/>
        <sz val="11"/>
        <color theme="1"/>
        <rFont val="Calibri"/>
        <family val="2"/>
        <scheme val="minor"/>
      </rPr>
      <t>204</t>
    </r>
    <r>
      <rPr>
        <sz val="11"/>
        <color theme="1"/>
        <rFont val="Calibri"/>
        <family val="2"/>
        <scheme val="minor"/>
      </rPr>
      <t>Pb</t>
    </r>
  </si>
  <si>
    <t>rho</t>
  </si>
  <si>
    <t>Comment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</si>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</sst>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indexed="1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2">
    <xf numFmtId="0" fontId="0" fillId="0" borderId="0" xfId="0"/>
    <xf numFmtId="1" fontId="0" fillId="0" borderId="0" xfId="0" applyNumberFormat="1"/>
    <xf numFmtId="1" fontId="18" fillId="0" borderId="0" xfId="0" applyNumberFormat="1" applyFont="1"/>
    <xf numFmtId="1" fontId="0" fillId="0" borderId="0" xfId="0" applyNumberFormat="1" applyFill="1"/>
    <xf numFmtId="2" fontId="19" fillId="0" borderId="0" xfId="0" applyNumberFormat="1" applyFont="1" applyFill="1"/>
    <xf numFmtId="1" fontId="19" fillId="0" borderId="0" xfId="0" applyNumberFormat="1" applyFont="1" applyFill="1"/>
    <xf numFmtId="1" fontId="0" fillId="33" borderId="0" xfId="0" applyNumberFormat="1" applyFill="1"/>
    <xf numFmtId="2" fontId="0" fillId="33" borderId="0" xfId="0" applyNumberFormat="1" applyFill="1"/>
    <xf numFmtId="2" fontId="0" fillId="35" borderId="0" xfId="0" applyNumberFormat="1" applyFill="1"/>
    <xf numFmtId="2" fontId="0" fillId="34" borderId="0" xfId="0" applyNumberFormat="1" applyFill="1"/>
    <xf numFmtId="164" fontId="0" fillId="34" borderId="0" xfId="0" applyNumberFormat="1" applyFill="1"/>
    <xf numFmtId="164" fontId="0" fillId="35" borderId="0" xfId="0" applyNumberFormat="1" applyFill="1"/>
    <xf numFmtId="164" fontId="0" fillId="36" borderId="0" xfId="0" applyNumberFormat="1" applyFill="1"/>
    <xf numFmtId="164" fontId="18" fillId="35" borderId="0" xfId="0" applyNumberFormat="1" applyFont="1" applyFill="1" applyAlignment="1">
      <alignment horizontal="center"/>
    </xf>
    <xf numFmtId="164" fontId="0" fillId="35" borderId="0" xfId="0" applyNumberFormat="1" applyFill="1" applyAlignment="1">
      <alignment horizontal="center"/>
    </xf>
    <xf numFmtId="2" fontId="18" fillId="35" borderId="0" xfId="0" applyNumberFormat="1" applyFont="1" applyFill="1" applyAlignment="1">
      <alignment horizontal="center"/>
    </xf>
    <xf numFmtId="2" fontId="0" fillId="35" borderId="0" xfId="0" applyNumberFormat="1" applyFill="1" applyAlignment="1">
      <alignment horizontal="center"/>
    </xf>
    <xf numFmtId="2" fontId="18" fillId="34" borderId="0" xfId="0" applyNumberFormat="1" applyFont="1" applyFill="1" applyAlignment="1">
      <alignment horizontal="center"/>
    </xf>
    <xf numFmtId="2" fontId="0" fillId="34" borderId="0" xfId="0" applyNumberFormat="1" applyFill="1" applyAlignment="1">
      <alignment horizontal="center"/>
    </xf>
    <xf numFmtId="164" fontId="18" fillId="34" borderId="0" xfId="0" applyNumberFormat="1" applyFont="1" applyFill="1" applyAlignment="1">
      <alignment horizontal="center"/>
    </xf>
    <xf numFmtId="164" fontId="0" fillId="34" borderId="0" xfId="0" applyNumberFormat="1" applyFill="1" applyAlignment="1">
      <alignment horizontal="center"/>
    </xf>
    <xf numFmtId="164" fontId="18" fillId="36" borderId="0" xfId="0" applyNumberFormat="1" applyFont="1" applyFill="1" applyAlignment="1">
      <alignment horizontal="center"/>
    </xf>
    <xf numFmtId="164" fontId="0" fillId="36" borderId="0" xfId="0" applyNumberFormat="1" applyFill="1" applyAlignment="1">
      <alignment horizontal="center"/>
    </xf>
    <xf numFmtId="1" fontId="0" fillId="33" borderId="0" xfId="0" applyNumberFormat="1" applyFill="1" applyAlignment="1">
      <alignment horizontal="center"/>
    </xf>
    <xf numFmtId="0" fontId="7" fillId="3" borderId="0" xfId="7"/>
    <xf numFmtId="1" fontId="7" fillId="3" borderId="0" xfId="7" applyNumberFormat="1"/>
    <xf numFmtId="164" fontId="7" fillId="3" borderId="0" xfId="7" applyNumberFormat="1"/>
    <xf numFmtId="2" fontId="7" fillId="3" borderId="0" xfId="7" applyNumberFormat="1"/>
    <xf numFmtId="0" fontId="8" fillId="4" borderId="0" xfId="8"/>
    <xf numFmtId="1" fontId="8" fillId="4" borderId="0" xfId="8" applyNumberFormat="1"/>
    <xf numFmtId="164" fontId="8" fillId="4" borderId="0" xfId="8" applyNumberFormat="1"/>
    <xf numFmtId="2" fontId="8" fillId="4" borderId="0" xfId="8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I354"/>
  <sheetViews>
    <sheetView tabSelected="1" workbookViewId="0">
      <pane xSplit="1" ySplit="3" topLeftCell="B258" activePane="bottomRight" state="frozen"/>
      <selection pane="topRight" activeCell="B1" sqref="B1"/>
      <selection pane="bottomLeft" activeCell="A3" sqref="A3"/>
      <selection pane="bottomRight" activeCell="G210" sqref="G210:S274"/>
    </sheetView>
  </sheetViews>
  <sheetFormatPr baseColWidth="10" defaultColWidth="8.83203125" defaultRowHeight="15" x14ac:dyDescent="0.2"/>
  <cols>
    <col min="4" max="4" width="14" customWidth="1"/>
    <col min="7" max="7" width="22.6640625" customWidth="1"/>
    <col min="8" max="9" width="9.33203125" style="1" bestFit="1" customWidth="1"/>
    <col min="10" max="11" width="9.33203125" style="11" bestFit="1" customWidth="1"/>
    <col min="12" max="14" width="9.33203125" style="8" bestFit="1" customWidth="1"/>
    <col min="15" max="16" width="9.33203125" style="9" bestFit="1" customWidth="1"/>
    <col min="17" max="18" width="9.33203125" style="10" bestFit="1" customWidth="1"/>
    <col min="19" max="19" width="9.33203125" style="9" bestFit="1" customWidth="1"/>
    <col min="20" max="21" width="9.33203125" style="12" bestFit="1" customWidth="1"/>
    <col min="22" max="23" width="9.33203125" style="6" customWidth="1"/>
    <col min="24" max="24" width="9.33203125" style="5" customWidth="1"/>
    <col min="25" max="25" width="9.33203125" style="3" customWidth="1"/>
    <col min="26" max="59" width="9.33203125" style="1" bestFit="1" customWidth="1"/>
    <col min="60" max="61" width="9.1640625" style="1"/>
  </cols>
  <sheetData>
    <row r="1" spans="1:61" ht="17" x14ac:dyDescent="0.2">
      <c r="B1" t="s">
        <v>0</v>
      </c>
      <c r="C1" t="s">
        <v>1</v>
      </c>
      <c r="D1" t="s">
        <v>1019</v>
      </c>
      <c r="E1" t="s">
        <v>1020</v>
      </c>
      <c r="F1" t="s">
        <v>1021</v>
      </c>
      <c r="G1" t="s">
        <v>2</v>
      </c>
      <c r="H1" s="1" t="s">
        <v>1014</v>
      </c>
      <c r="I1" s="1" t="s">
        <v>1015</v>
      </c>
      <c r="J1" s="13" t="s">
        <v>1007</v>
      </c>
      <c r="K1" s="14" t="s">
        <v>1012</v>
      </c>
      <c r="L1" s="15" t="s">
        <v>1008</v>
      </c>
      <c r="M1" s="16" t="s">
        <v>1012</v>
      </c>
      <c r="N1" s="16" t="s">
        <v>1018</v>
      </c>
      <c r="O1" s="17" t="s">
        <v>1009</v>
      </c>
      <c r="P1" s="18" t="s">
        <v>1012</v>
      </c>
      <c r="Q1" s="19" t="s">
        <v>1010</v>
      </c>
      <c r="R1" s="20" t="s">
        <v>1012</v>
      </c>
      <c r="S1" s="18" t="s">
        <v>1018</v>
      </c>
      <c r="T1" s="21" t="s">
        <v>1016</v>
      </c>
      <c r="U1" s="22" t="s">
        <v>1012</v>
      </c>
      <c r="V1" s="23" t="s">
        <v>1011</v>
      </c>
      <c r="W1" s="23" t="s">
        <v>1012</v>
      </c>
      <c r="X1" s="5" t="s">
        <v>1013</v>
      </c>
      <c r="Z1" s="1" t="s">
        <v>3</v>
      </c>
      <c r="AA1" s="1" t="s">
        <v>4</v>
      </c>
      <c r="AB1" s="1" t="s">
        <v>5</v>
      </c>
      <c r="AC1" s="1" t="s">
        <v>6</v>
      </c>
      <c r="AD1" s="1" t="s">
        <v>7</v>
      </c>
      <c r="AE1" s="1" t="s">
        <v>8</v>
      </c>
      <c r="AF1" s="1" t="s">
        <v>9</v>
      </c>
      <c r="AG1" s="1" t="s">
        <v>10</v>
      </c>
      <c r="AH1" s="1" t="s">
        <v>11</v>
      </c>
      <c r="AI1" s="1" t="s">
        <v>12</v>
      </c>
      <c r="AJ1" s="1" t="s">
        <v>13</v>
      </c>
      <c r="AK1" s="1" t="s">
        <v>14</v>
      </c>
      <c r="AL1" s="1" t="s">
        <v>15</v>
      </c>
      <c r="AM1" s="1" t="s">
        <v>16</v>
      </c>
      <c r="AN1" s="1" t="s">
        <v>17</v>
      </c>
      <c r="AO1" s="1" t="s">
        <v>18</v>
      </c>
      <c r="AP1" s="1" t="s">
        <v>19</v>
      </c>
      <c r="AQ1" s="1" t="s">
        <v>20</v>
      </c>
      <c r="AR1" s="1" t="s">
        <v>21</v>
      </c>
      <c r="AS1" s="1" t="s">
        <v>22</v>
      </c>
      <c r="AT1" s="1" t="s">
        <v>23</v>
      </c>
      <c r="AU1" s="1" t="s">
        <v>24</v>
      </c>
      <c r="AV1" s="1" t="s">
        <v>35</v>
      </c>
      <c r="AW1" s="1" t="s">
        <v>36</v>
      </c>
      <c r="AX1" s="1" t="s">
        <v>25</v>
      </c>
      <c r="AY1" s="1" t="s">
        <v>26</v>
      </c>
      <c r="AZ1" s="1" t="s">
        <v>27</v>
      </c>
      <c r="BA1" s="1" t="s">
        <v>28</v>
      </c>
      <c r="BB1" s="1" t="s">
        <v>29</v>
      </c>
      <c r="BC1" s="1" t="s">
        <v>30</v>
      </c>
      <c r="BD1" s="1" t="s">
        <v>31</v>
      </c>
      <c r="BE1" s="1" t="s">
        <v>32</v>
      </c>
      <c r="BF1" s="1" t="s">
        <v>33</v>
      </c>
      <c r="BG1" s="1" t="s">
        <v>34</v>
      </c>
      <c r="BH1" s="2" t="s">
        <v>1017</v>
      </c>
      <c r="BI1" s="1" t="s">
        <v>1012</v>
      </c>
    </row>
    <row r="2" spans="1:61" x14ac:dyDescent="0.2">
      <c r="A2" t="s">
        <v>992</v>
      </c>
      <c r="B2" t="s">
        <v>38</v>
      </c>
      <c r="C2" t="s">
        <v>993</v>
      </c>
      <c r="D2" t="s">
        <v>994</v>
      </c>
      <c r="E2">
        <v>40529</v>
      </c>
      <c r="F2">
        <v>49366</v>
      </c>
      <c r="G2" t="s">
        <v>994</v>
      </c>
      <c r="H2" s="1">
        <v>78.400000000000006</v>
      </c>
      <c r="I2" s="1">
        <v>31.1</v>
      </c>
      <c r="J2" s="11">
        <v>1.871</v>
      </c>
      <c r="K2" s="11">
        <f t="shared" ref="K2:K14" ca="1" si="0">SQRT(K$2^2+(AA2/Z2)^2)*J2</f>
        <v>4.4455105443582069E-2</v>
      </c>
      <c r="L2" s="8">
        <v>0.18</v>
      </c>
      <c r="M2" s="8">
        <f t="shared" ref="M2:M14" ca="1" si="1">SQRT(M$2^2+(AC2/AB2)^2)*L2</f>
        <v>3.7643060449437421E-3</v>
      </c>
      <c r="N2" s="8">
        <v>0.71192999999999995</v>
      </c>
      <c r="O2" s="9">
        <v>5.5555560000000002</v>
      </c>
      <c r="P2" s="9">
        <f t="shared" ref="P2:P14" ca="1" si="2">SQRT(P$2^2+(AF2/AE2)^2)*O2</f>
        <v>0.11618229463235265</v>
      </c>
      <c r="Q2" s="10">
        <v>7.5069999999999998E-2</v>
      </c>
      <c r="R2" s="10">
        <f t="shared" ref="R2:R14" ca="1" si="3">SQRT(R$2^2+(AH2/AG2)^2)*Q2</f>
        <v>1.6095347029498929E-3</v>
      </c>
      <c r="S2" s="9">
        <f t="shared" ref="S2:S14" si="4">(((BE2/BD2)^2+(AW2/AV2)^2)+((BE2/BD2)^2+(BC2/BB2)^2)-((BC2/BB2)^2+(AW2/AV2)^2))/(2*SQRT((BE2/BD2)^2+(AW2/AV2)^2)*SQRT((BE2/BD2)^2+(BC2/BB2)^2))</f>
        <v>0.4715975265659435</v>
      </c>
      <c r="T2" s="12">
        <v>5.3589999999999999E-2</v>
      </c>
      <c r="U2" s="12">
        <f t="shared" ref="U2:U14" ca="1" si="5">SQRT(U$2^2+(AK2/AJ2)^2)*T2</f>
        <v>1.4388729061317403E-3</v>
      </c>
      <c r="V2" s="6" t="e">
        <f ca="1">IF(agePb6U8(1/O2)&lt;1400,age7corr(1/O2,Q2,$W$2),agePb76(Q2))</f>
        <v>#NAME?</v>
      </c>
      <c r="W2" s="6" t="e">
        <f ca="1">IF(agePb6U8(1/O2)&lt;1400,ageer7corr(V2,1/O2,P2/O2*(1/O2),Q2,R2,$W$2,0.05),ageerPb76(Q2,R2))</f>
        <v>#NAME?</v>
      </c>
      <c r="X2" s="4" t="e">
        <f ca="1">agePb6U8(L2)/agePb7u5(J2)</f>
        <v>#NAME?</v>
      </c>
      <c r="Z2" s="1">
        <v>1.871</v>
      </c>
      <c r="AA2" s="1">
        <v>2.4E-2</v>
      </c>
      <c r="AB2" s="1">
        <v>0.18</v>
      </c>
      <c r="AC2" s="1">
        <v>1.1000000000000001E-3</v>
      </c>
      <c r="AD2" s="1">
        <v>0.71192999999999995</v>
      </c>
      <c r="AE2" s="1">
        <v>5.5555560000000002</v>
      </c>
      <c r="AF2" s="1">
        <v>3.3950620000000001E-2</v>
      </c>
      <c r="AG2" s="1">
        <v>7.5069999999999998E-2</v>
      </c>
      <c r="AH2" s="1">
        <v>5.8E-4</v>
      </c>
      <c r="AI2" s="1">
        <v>-0.27267999999999998</v>
      </c>
      <c r="AJ2" s="1">
        <v>5.3589999999999999E-2</v>
      </c>
      <c r="AK2" s="1">
        <v>9.6000000000000002E-4</v>
      </c>
      <c r="AL2" s="1">
        <v>9.3670000000000009</v>
      </c>
      <c r="AM2" s="1">
        <v>6.2E-2</v>
      </c>
      <c r="AN2" s="1">
        <v>1070.8</v>
      </c>
      <c r="AO2" s="1">
        <v>8.4</v>
      </c>
      <c r="AP2" s="1">
        <v>1066.8</v>
      </c>
      <c r="AQ2" s="1">
        <v>6</v>
      </c>
      <c r="AR2" s="1">
        <v>1055</v>
      </c>
      <c r="AS2" s="1">
        <v>19</v>
      </c>
      <c r="AT2" s="1">
        <v>1070</v>
      </c>
      <c r="AU2" s="1">
        <v>16</v>
      </c>
      <c r="AV2" s="1">
        <v>16.43</v>
      </c>
      <c r="AW2" s="1">
        <v>0.71</v>
      </c>
      <c r="AX2" s="1">
        <v>2.35</v>
      </c>
      <c r="AY2" s="1">
        <v>0.11</v>
      </c>
      <c r="AZ2" s="1">
        <v>9960.8399999999983</v>
      </c>
      <c r="BA2" s="1">
        <v>397.43999999999994</v>
      </c>
      <c r="BB2" s="1">
        <v>8495.2800000000007</v>
      </c>
      <c r="BC2" s="1">
        <v>329.13</v>
      </c>
      <c r="BD2" s="1">
        <v>115506</v>
      </c>
      <c r="BE2" s="1">
        <v>4471.2000000000007</v>
      </c>
      <c r="BF2" s="1">
        <v>-8.0729999999999986</v>
      </c>
      <c r="BG2" s="1">
        <v>8.0729999999999986</v>
      </c>
      <c r="BH2" s="1">
        <f t="shared" ref="BH2:BH14" si="6">BD2/BF2</f>
        <v>-14307.69230769231</v>
      </c>
      <c r="BI2" s="1">
        <f t="shared" ref="BI2:BI14" si="7">SQRT((BG2/BF2)^2+(BE2/BD2)^2)*BH2</f>
        <v>-14318.407898007652</v>
      </c>
    </row>
    <row r="3" spans="1:61" x14ac:dyDescent="0.2">
      <c r="A3" t="s">
        <v>920</v>
      </c>
      <c r="B3" t="s">
        <v>38</v>
      </c>
      <c r="C3" t="s">
        <v>921</v>
      </c>
      <c r="D3" t="s">
        <v>922</v>
      </c>
      <c r="E3">
        <v>40566</v>
      </c>
      <c r="F3">
        <v>49366</v>
      </c>
      <c r="G3" t="s">
        <v>922</v>
      </c>
      <c r="H3" s="1">
        <v>74.900000000000006</v>
      </c>
      <c r="I3" s="1">
        <v>29.3</v>
      </c>
      <c r="J3" s="11">
        <v>1.8839999999999999</v>
      </c>
      <c r="K3" s="11">
        <f t="shared" ca="1" si="0"/>
        <v>4.2199317530026474E-2</v>
      </c>
      <c r="L3" s="8">
        <v>0.1799</v>
      </c>
      <c r="M3" s="8">
        <f t="shared" ca="1" si="1"/>
        <v>3.7928358783369471E-3</v>
      </c>
      <c r="N3" s="8">
        <v>0.83189000000000002</v>
      </c>
      <c r="O3" s="9">
        <v>5.5586440000000001</v>
      </c>
      <c r="P3" s="9">
        <f t="shared" ca="1" si="2"/>
        <v>0.11719301875906603</v>
      </c>
      <c r="Q3" s="10">
        <v>7.5569999999999998E-2</v>
      </c>
      <c r="R3" s="10">
        <f t="shared" ca="1" si="3"/>
        <v>1.6532483056092935E-3</v>
      </c>
      <c r="S3" s="9">
        <f t="shared" si="4"/>
        <v>0.44169919497017918</v>
      </c>
      <c r="T3" s="12">
        <v>5.3929999999999999E-2</v>
      </c>
      <c r="U3" s="12">
        <f t="shared" ca="1" si="5"/>
        <v>1.2440972470028218E-3</v>
      </c>
      <c r="V3" s="6" t="e">
        <f ca="1">IF(agePb6U8(1/O3)&lt;1400,age7corr(1/O3,Q3,$W$2),agePb76(Q3))</f>
        <v>#NAME?</v>
      </c>
      <c r="W3" s="6" t="e">
        <f ca="1">IF(agePb6U8(1/O3)&lt;1400,ageer7corr(V3,1/O3,P3/O3*(1/O3),Q3,R3,$W$2,0.05),ageerPb76(Q3,R3))</f>
        <v>#NAME?</v>
      </c>
      <c r="X3" s="4" t="e">
        <f ca="1">agePb6U8(L3)/agePb7u5(J3)</f>
        <v>#NAME?</v>
      </c>
      <c r="Z3" s="1">
        <v>1.8839999999999999</v>
      </c>
      <c r="AA3" s="1">
        <v>1.9E-2</v>
      </c>
      <c r="AB3" s="1">
        <v>0.1799</v>
      </c>
      <c r="AC3" s="1">
        <v>1.1999999999999999E-3</v>
      </c>
      <c r="AD3" s="1">
        <v>0.83189000000000002</v>
      </c>
      <c r="AE3" s="1">
        <v>5.5586440000000001</v>
      </c>
      <c r="AF3" s="1">
        <v>3.7078220000000002E-2</v>
      </c>
      <c r="AG3" s="1">
        <v>7.5569999999999998E-2</v>
      </c>
      <c r="AH3" s="1">
        <v>6.7000000000000002E-4</v>
      </c>
      <c r="AI3" s="1">
        <v>-0.31324000000000002</v>
      </c>
      <c r="AJ3" s="1">
        <v>5.3929999999999999E-2</v>
      </c>
      <c r="AK3" s="1">
        <v>6.2E-4</v>
      </c>
      <c r="AL3" s="1">
        <v>9.3309999999999995</v>
      </c>
      <c r="AM3" s="1">
        <v>5.2999999999999999E-2</v>
      </c>
      <c r="AN3" s="1">
        <v>1075.4000000000001</v>
      </c>
      <c r="AO3" s="1">
        <v>6.7</v>
      </c>
      <c r="AP3" s="1">
        <v>1066.3</v>
      </c>
      <c r="AQ3" s="1">
        <v>6.8</v>
      </c>
      <c r="AR3" s="1">
        <v>1062</v>
      </c>
      <c r="AS3" s="1">
        <v>12</v>
      </c>
      <c r="AT3" s="1">
        <v>1083</v>
      </c>
      <c r="AU3" s="1">
        <v>18</v>
      </c>
      <c r="AV3" s="1">
        <v>15.73</v>
      </c>
      <c r="AW3" s="1">
        <v>0.57999999999999996</v>
      </c>
      <c r="AX3" s="1">
        <v>2.2200000000000002</v>
      </c>
      <c r="AY3" s="1">
        <v>8.3000000000000004E-2</v>
      </c>
      <c r="AZ3" s="1">
        <v>9613.08</v>
      </c>
      <c r="BA3" s="1">
        <v>285.65999999999997</v>
      </c>
      <c r="BB3" s="1">
        <v>8215.83</v>
      </c>
      <c r="BC3" s="1">
        <v>254.60999999999996</v>
      </c>
      <c r="BD3" s="1">
        <v>111159</v>
      </c>
      <c r="BE3" s="1">
        <v>3353.4</v>
      </c>
      <c r="BF3" s="1">
        <v>24.839999999999996</v>
      </c>
      <c r="BG3" s="1">
        <v>6.8310000000000004</v>
      </c>
      <c r="BH3" s="1">
        <f t="shared" si="6"/>
        <v>4475.0000000000009</v>
      </c>
      <c r="BI3" s="1">
        <f t="shared" si="7"/>
        <v>1238.0076294696255</v>
      </c>
    </row>
    <row r="4" spans="1:61" x14ac:dyDescent="0.2">
      <c r="A4" t="s">
        <v>845</v>
      </c>
      <c r="B4" t="s">
        <v>38</v>
      </c>
      <c r="C4" t="s">
        <v>846</v>
      </c>
      <c r="D4" t="s">
        <v>847</v>
      </c>
      <c r="E4">
        <v>40603</v>
      </c>
      <c r="F4">
        <v>49368</v>
      </c>
      <c r="G4" t="s">
        <v>847</v>
      </c>
      <c r="H4" s="1">
        <v>73.2</v>
      </c>
      <c r="I4" s="1">
        <v>29.2</v>
      </c>
      <c r="J4" s="11">
        <v>1.8520000000000001</v>
      </c>
      <c r="K4" s="11">
        <f t="shared" ca="1" si="0"/>
        <v>4.1628855377009832E-2</v>
      </c>
      <c r="L4" s="8">
        <v>0.17979999999999999</v>
      </c>
      <c r="M4" s="8">
        <f t="shared" ca="1" si="1"/>
        <v>4.0670893769377634E-3</v>
      </c>
      <c r="N4" s="8">
        <v>0.91805999999999999</v>
      </c>
      <c r="O4" s="9">
        <v>5.5617349999999997</v>
      </c>
      <c r="P4" s="9">
        <f t="shared" ca="1" si="2"/>
        <v>0.12580686156084692</v>
      </c>
      <c r="Q4" s="10">
        <v>7.4620000000000006E-2</v>
      </c>
      <c r="R4" s="10">
        <f t="shared" ca="1" si="3"/>
        <v>1.5646589916016847E-3</v>
      </c>
      <c r="S4" s="9">
        <f t="shared" si="4"/>
        <v>0.4457160687980809</v>
      </c>
      <c r="T4" s="12">
        <v>5.3449999999999998E-2</v>
      </c>
      <c r="U4" s="12">
        <f t="shared" ca="1" si="5"/>
        <v>1.2459377994105485E-3</v>
      </c>
      <c r="V4" s="6" t="e">
        <f ca="1">IF(agePb6U8(1/O4)&lt;1400,age7corr(1/O4,Q4,$W$2),agePb76(Q4))</f>
        <v>#NAME?</v>
      </c>
      <c r="W4" s="6" t="e">
        <f ca="1">IF(agePb6U8(1/O4)&lt;1400,ageer7corr(V4,1/O4,P4/O4*(1/O4),Q4,R4,$W$2,0.05),ageerPb76(Q4,R4))</f>
        <v>#NAME?</v>
      </c>
      <c r="X4" s="4" t="e">
        <f ca="1">agePb6U8(L4)/agePb7u5(J4)</f>
        <v>#NAME?</v>
      </c>
      <c r="Z4" s="1">
        <v>1.8520000000000001</v>
      </c>
      <c r="AA4" s="1">
        <v>1.9E-2</v>
      </c>
      <c r="AB4" s="1">
        <v>0.17979999999999999</v>
      </c>
      <c r="AC4" s="1">
        <v>1.9E-3</v>
      </c>
      <c r="AD4" s="1">
        <v>0.91805999999999999</v>
      </c>
      <c r="AE4" s="1">
        <v>5.5617349999999997</v>
      </c>
      <c r="AF4" s="1">
        <v>5.877251E-2</v>
      </c>
      <c r="AG4" s="1">
        <v>7.4620000000000006E-2</v>
      </c>
      <c r="AH4" s="1">
        <v>4.6999999999999999E-4</v>
      </c>
      <c r="AI4" s="1">
        <v>0.21892</v>
      </c>
      <c r="AJ4" s="1">
        <v>5.3449999999999998E-2</v>
      </c>
      <c r="AK4" s="1">
        <v>6.4000000000000005E-4</v>
      </c>
      <c r="AL4" s="1">
        <v>9.3520000000000003</v>
      </c>
      <c r="AM4" s="1">
        <v>8.3000000000000004E-2</v>
      </c>
      <c r="AN4" s="1">
        <v>1064.2</v>
      </c>
      <c r="AO4" s="1">
        <v>6.8</v>
      </c>
      <c r="AP4" s="1">
        <v>1066</v>
      </c>
      <c r="AQ4" s="1">
        <v>10</v>
      </c>
      <c r="AR4" s="1">
        <v>1052</v>
      </c>
      <c r="AS4" s="1">
        <v>12</v>
      </c>
      <c r="AT4" s="1">
        <v>1058</v>
      </c>
      <c r="AU4" s="1">
        <v>13</v>
      </c>
      <c r="AV4" s="1">
        <v>15.41</v>
      </c>
      <c r="AW4" s="1">
        <v>0.8899999999999999</v>
      </c>
      <c r="AX4" s="1">
        <v>2.21</v>
      </c>
      <c r="AY4" s="1">
        <v>0.1</v>
      </c>
      <c r="AZ4" s="1">
        <v>9439.1999999999989</v>
      </c>
      <c r="BA4" s="1">
        <v>422.28000000000003</v>
      </c>
      <c r="BB4" s="1">
        <v>7948.8</v>
      </c>
      <c r="BC4" s="1">
        <v>378.81</v>
      </c>
      <c r="BD4" s="1">
        <v>109109.70000000001</v>
      </c>
      <c r="BE4" s="1">
        <v>5154.3</v>
      </c>
      <c r="BF4" s="1">
        <v>-31.05</v>
      </c>
      <c r="BG4" s="1">
        <v>6.8310000000000004</v>
      </c>
      <c r="BH4" s="1">
        <f t="shared" si="6"/>
        <v>-3514.0000000000005</v>
      </c>
      <c r="BI4" s="1">
        <f t="shared" si="7"/>
        <v>-790.70138889469536</v>
      </c>
    </row>
    <row r="5" spans="1:61" x14ac:dyDescent="0.2">
      <c r="A5" t="s">
        <v>773</v>
      </c>
      <c r="B5" t="s">
        <v>38</v>
      </c>
      <c r="C5" t="s">
        <v>774</v>
      </c>
      <c r="D5" t="s">
        <v>775</v>
      </c>
      <c r="E5">
        <v>40641</v>
      </c>
      <c r="F5">
        <v>49370</v>
      </c>
      <c r="G5" t="s">
        <v>775</v>
      </c>
      <c r="H5" s="1">
        <v>79.7</v>
      </c>
      <c r="I5" s="1">
        <v>30.9</v>
      </c>
      <c r="J5" s="11">
        <v>1.847</v>
      </c>
      <c r="K5" s="11">
        <f t="shared" ca="1" si="0"/>
        <v>4.2006708987970001E-2</v>
      </c>
      <c r="L5" s="8">
        <v>0.17910000000000001</v>
      </c>
      <c r="M5" s="8">
        <f t="shared" ca="1" si="1"/>
        <v>3.9231013242076737E-3</v>
      </c>
      <c r="N5" s="8">
        <v>0.9304</v>
      </c>
      <c r="O5" s="9">
        <v>5.5834729999999997</v>
      </c>
      <c r="P5" s="9">
        <f t="shared" ca="1" si="2"/>
        <v>0.12230335086155447</v>
      </c>
      <c r="Q5" s="10">
        <v>7.4609999999999996E-2</v>
      </c>
      <c r="R5" s="10">
        <f t="shared" ca="1" si="3"/>
        <v>1.5614931443973744E-3</v>
      </c>
      <c r="S5" s="9">
        <f t="shared" si="4"/>
        <v>0.42223386838389065</v>
      </c>
      <c r="T5" s="12">
        <v>5.4809999999999998E-2</v>
      </c>
      <c r="U5" s="12">
        <f t="shared" ca="1" si="5"/>
        <v>1.2899823409644026E-3</v>
      </c>
      <c r="V5" s="6" t="e">
        <f ca="1">IF(agePb6U8(1/O5)&lt;1400,age7corr(1/O5,Q5,$W$2),agePb76(Q5))</f>
        <v>#NAME?</v>
      </c>
      <c r="W5" s="6" t="e">
        <f ca="1">IF(agePb6U8(1/O5)&lt;1400,ageer7corr(V5,1/O5,P5/O5*(1/O5),Q5,R5,$W$2,0.05),ageerPb76(Q5,R5))</f>
        <v>#NAME?</v>
      </c>
      <c r="X5" s="4" t="e">
        <f ca="1">agePb6U8(L5)/agePb7u5(J5)</f>
        <v>#NAME?</v>
      </c>
      <c r="Z5" s="1">
        <v>1.847</v>
      </c>
      <c r="AA5" s="1">
        <v>0.02</v>
      </c>
      <c r="AB5" s="1">
        <v>0.17910000000000001</v>
      </c>
      <c r="AC5" s="1">
        <v>1.6000000000000001E-3</v>
      </c>
      <c r="AD5" s="1">
        <v>0.9304</v>
      </c>
      <c r="AE5" s="1">
        <v>5.5834729999999997</v>
      </c>
      <c r="AF5" s="1">
        <v>4.9880269999999997E-2</v>
      </c>
      <c r="AG5" s="1">
        <v>7.4609999999999996E-2</v>
      </c>
      <c r="AH5" s="1">
        <v>4.6000000000000001E-4</v>
      </c>
      <c r="AI5" s="1">
        <v>-0.33817000000000003</v>
      </c>
      <c r="AJ5" s="1">
        <v>5.4809999999999998E-2</v>
      </c>
      <c r="AK5" s="1">
        <v>6.8000000000000005E-4</v>
      </c>
      <c r="AL5" s="1">
        <v>9.3140000000000001</v>
      </c>
      <c r="AM5" s="1">
        <v>7.5999999999999998E-2</v>
      </c>
      <c r="AN5" s="1">
        <v>1062.2</v>
      </c>
      <c r="AO5" s="1">
        <v>7</v>
      </c>
      <c r="AP5" s="1">
        <v>1062</v>
      </c>
      <c r="AQ5" s="1">
        <v>9</v>
      </c>
      <c r="AR5" s="1">
        <v>1078</v>
      </c>
      <c r="AS5" s="1">
        <v>13</v>
      </c>
      <c r="AT5" s="1">
        <v>1058</v>
      </c>
      <c r="AU5" s="1">
        <v>12</v>
      </c>
      <c r="AV5" s="1">
        <v>16.82</v>
      </c>
      <c r="AW5" s="1">
        <v>0.72000000000000008</v>
      </c>
      <c r="AX5" s="1">
        <v>2.347</v>
      </c>
      <c r="AY5" s="1">
        <v>8.5000000000000006E-2</v>
      </c>
      <c r="AZ5" s="1">
        <v>10339.650000000001</v>
      </c>
      <c r="BA5" s="1">
        <v>322.91999999999996</v>
      </c>
      <c r="BB5" s="1">
        <v>8681.58</v>
      </c>
      <c r="BC5" s="1">
        <v>267.02999999999997</v>
      </c>
      <c r="BD5" s="1">
        <v>118735.20000000001</v>
      </c>
      <c r="BE5" s="1">
        <v>3726.0000000000005</v>
      </c>
      <c r="BF5" s="1">
        <v>7.4519999999999991</v>
      </c>
      <c r="BG5" s="1">
        <v>3.1049999999999995</v>
      </c>
      <c r="BH5" s="1">
        <f t="shared" si="6"/>
        <v>15933.333333333338</v>
      </c>
      <c r="BI5" s="1">
        <f t="shared" si="7"/>
        <v>6657.6907166834026</v>
      </c>
    </row>
    <row r="6" spans="1:61" x14ac:dyDescent="0.2">
      <c r="A6" t="s">
        <v>701</v>
      </c>
      <c r="B6" t="s">
        <v>38</v>
      </c>
      <c r="C6" t="s">
        <v>702</v>
      </c>
      <c r="D6" t="s">
        <v>703</v>
      </c>
      <c r="E6">
        <v>40387</v>
      </c>
      <c r="F6">
        <v>49380</v>
      </c>
      <c r="G6" t="s">
        <v>703</v>
      </c>
      <c r="H6" s="1">
        <v>79.900000000000006</v>
      </c>
      <c r="I6" s="1">
        <v>31.9</v>
      </c>
      <c r="J6" s="11">
        <v>1.863</v>
      </c>
      <c r="K6" s="11">
        <f t="shared" ca="1" si="0"/>
        <v>4.4869896367163591E-2</v>
      </c>
      <c r="L6" s="8">
        <v>0.18010000000000001</v>
      </c>
      <c r="M6" s="8">
        <f t="shared" ca="1" si="1"/>
        <v>4.1200004854368647E-3</v>
      </c>
      <c r="N6" s="8">
        <v>0.96116000000000001</v>
      </c>
      <c r="O6" s="9">
        <v>5.5524709999999997</v>
      </c>
      <c r="P6" s="9">
        <f t="shared" ca="1" si="2"/>
        <v>0.12701934203401188</v>
      </c>
      <c r="Q6" s="10">
        <v>7.4690000000000006E-2</v>
      </c>
      <c r="R6" s="10">
        <f t="shared" ca="1" si="3"/>
        <v>1.5884075169804506E-3</v>
      </c>
      <c r="S6" s="9">
        <f t="shared" si="4"/>
        <v>0.40198818695800087</v>
      </c>
      <c r="T6" s="12">
        <v>5.5300000000000002E-2</v>
      </c>
      <c r="U6" s="12">
        <f t="shared" ca="1" si="5"/>
        <v>1.5598833289704715E-3</v>
      </c>
      <c r="V6" s="6" t="e">
        <f ca="1">IF(agePb6U8(1/O6)&lt;1400,age7corr(1/O6,Q6,$W$2),agePb76(Q6))</f>
        <v>#NAME?</v>
      </c>
      <c r="W6" s="6" t="e">
        <f ca="1">IF(agePb6U8(1/O6)&lt;1400,ageer7corr(V6,1/O6,P6/O6*(1/O6),Q6,R6,$W$2,0.05),ageerPb76(Q6,R6))</f>
        <v>#NAME?</v>
      </c>
      <c r="X6" s="4" t="e">
        <f ca="1">agePb6U8(L6)/agePb7u5(J6)</f>
        <v>#NAME?</v>
      </c>
      <c r="Z6" s="1">
        <v>1.863</v>
      </c>
      <c r="AA6" s="1">
        <v>2.5000000000000001E-2</v>
      </c>
      <c r="AB6" s="1">
        <v>0.18010000000000001</v>
      </c>
      <c r="AC6" s="1">
        <v>2E-3</v>
      </c>
      <c r="AD6" s="1">
        <v>0.96116000000000001</v>
      </c>
      <c r="AE6" s="1">
        <v>5.5524709999999997</v>
      </c>
      <c r="AF6" s="1">
        <v>6.1659869999999999E-2</v>
      </c>
      <c r="AG6" s="1">
        <v>7.4690000000000006E-2</v>
      </c>
      <c r="AH6" s="1">
        <v>5.4000000000000001E-4</v>
      </c>
      <c r="AI6" s="1">
        <v>0.17435999999999999</v>
      </c>
      <c r="AJ6" s="1">
        <v>5.5300000000000002E-2</v>
      </c>
      <c r="AK6" s="1">
        <v>1.1000000000000001E-3</v>
      </c>
      <c r="AL6" s="1">
        <v>9.2650000000000006</v>
      </c>
      <c r="AM6" s="1">
        <v>7.0000000000000007E-2</v>
      </c>
      <c r="AN6" s="1">
        <v>1067.7</v>
      </c>
      <c r="AO6" s="1">
        <v>8.8000000000000007</v>
      </c>
      <c r="AP6" s="1">
        <v>1067</v>
      </c>
      <c r="AQ6" s="1">
        <v>11</v>
      </c>
      <c r="AR6" s="1">
        <v>1088</v>
      </c>
      <c r="AS6" s="1">
        <v>21</v>
      </c>
      <c r="AT6" s="1">
        <v>1060</v>
      </c>
      <c r="AU6" s="1">
        <v>15</v>
      </c>
      <c r="AV6" s="1">
        <v>16.899999999999999</v>
      </c>
      <c r="AW6" s="1">
        <v>1.1000000000000001</v>
      </c>
      <c r="AX6" s="1">
        <v>2.4299999999999997</v>
      </c>
      <c r="AY6" s="1">
        <v>0.12000000000000001</v>
      </c>
      <c r="AZ6" s="1">
        <v>10550.79</v>
      </c>
      <c r="BA6" s="1">
        <v>503.01</v>
      </c>
      <c r="BB6" s="1">
        <v>8861.67</v>
      </c>
      <c r="BC6" s="1">
        <v>403.65</v>
      </c>
      <c r="BD6" s="1">
        <v>120846.59999999999</v>
      </c>
      <c r="BE6" s="1">
        <v>5464.7999999999993</v>
      </c>
      <c r="BF6" s="1">
        <v>-10.929599999999999</v>
      </c>
      <c r="BG6" s="1">
        <v>5.8995000000000006</v>
      </c>
      <c r="BH6" s="1">
        <f t="shared" si="6"/>
        <v>-11056.818181818182</v>
      </c>
      <c r="BI6" s="1">
        <f t="shared" si="7"/>
        <v>-5989.0767300240595</v>
      </c>
    </row>
    <row r="7" spans="1:61" x14ac:dyDescent="0.2">
      <c r="A7" t="s">
        <v>122</v>
      </c>
      <c r="B7" t="s">
        <v>38</v>
      </c>
      <c r="C7" t="s">
        <v>123</v>
      </c>
      <c r="D7" t="s">
        <v>124</v>
      </c>
      <c r="E7">
        <v>41468</v>
      </c>
      <c r="F7">
        <v>49330</v>
      </c>
      <c r="G7" t="s">
        <v>124</v>
      </c>
      <c r="H7" s="1">
        <v>87.3</v>
      </c>
      <c r="I7" s="1">
        <v>33.14</v>
      </c>
      <c r="J7" s="11">
        <v>1.8120000000000001</v>
      </c>
      <c r="K7" s="11">
        <f t="shared" ca="1" si="0"/>
        <v>6.5033357594391522E-2</v>
      </c>
      <c r="L7" s="8">
        <v>0.17599999999999999</v>
      </c>
      <c r="M7" s="8">
        <f t="shared" ca="1" si="1"/>
        <v>6.0332744011854789E-3</v>
      </c>
      <c r="N7" s="8">
        <v>0.97457000000000005</v>
      </c>
      <c r="O7" s="9">
        <v>5.6818179999999998</v>
      </c>
      <c r="P7" s="9">
        <f t="shared" ca="1" si="2"/>
        <v>0.19477255782848263</v>
      </c>
      <c r="Q7" s="10">
        <v>7.4370000000000006E-2</v>
      </c>
      <c r="R7" s="10">
        <f t="shared" ca="1" si="3"/>
        <v>1.5539815829024488E-3</v>
      </c>
      <c r="S7" s="9">
        <f t="shared" si="4"/>
        <v>0.45307795841504378</v>
      </c>
      <c r="T7" s="12">
        <v>5.3199999999999997E-2</v>
      </c>
      <c r="U7" s="12">
        <f t="shared" ca="1" si="5"/>
        <v>2.0055163923538492E-3</v>
      </c>
      <c r="V7" s="6" t="e">
        <f ca="1">IF(agePb6U8(1/O7)&lt;1400,age7corr(1/O7,Q7,$W$2),agePb76(Q7))</f>
        <v>#NAME?</v>
      </c>
      <c r="W7" s="6" t="e">
        <f ca="1">IF(agePb6U8(1/O7)&lt;1400,ageer7corr(V7,1/O7,P7/O7*(1/O7),Q7,R7,$W$2,0.05),ageerPb76(Q7,R7))</f>
        <v>#NAME?</v>
      </c>
      <c r="X7" s="4" t="e">
        <f ca="1">agePb6U8(L7)/agePb7u5(J7)</f>
        <v>#NAME?</v>
      </c>
      <c r="Z7" s="1">
        <v>1.8120000000000001</v>
      </c>
      <c r="AA7" s="1">
        <v>5.3999999999999999E-2</v>
      </c>
      <c r="AB7" s="1">
        <v>0.17599999999999999</v>
      </c>
      <c r="AC7" s="1">
        <v>4.8999999999999998E-3</v>
      </c>
      <c r="AD7" s="1">
        <v>0.97457000000000005</v>
      </c>
      <c r="AE7" s="1">
        <v>5.6818179999999998</v>
      </c>
      <c r="AF7" s="1">
        <v>0.15818699999999999</v>
      </c>
      <c r="AG7" s="1">
        <v>7.4370000000000006E-2</v>
      </c>
      <c r="AH7" s="1">
        <v>4.4999999999999999E-4</v>
      </c>
      <c r="AI7" s="1">
        <v>-0.21267</v>
      </c>
      <c r="AJ7" s="1">
        <v>5.3199999999999997E-2</v>
      </c>
      <c r="AK7" s="1">
        <v>1.6999999999999999E-3</v>
      </c>
      <c r="AL7" s="1">
        <v>9.3179999999999996</v>
      </c>
      <c r="AM7" s="1">
        <v>5.7000000000000002E-2</v>
      </c>
      <c r="AN7" s="1">
        <v>1049</v>
      </c>
      <c r="AO7" s="1">
        <v>20</v>
      </c>
      <c r="AP7" s="1">
        <v>1045</v>
      </c>
      <c r="AQ7" s="1">
        <v>27</v>
      </c>
      <c r="AR7" s="1">
        <v>1048</v>
      </c>
      <c r="AS7" s="1">
        <v>33</v>
      </c>
      <c r="AT7" s="1">
        <v>1051</v>
      </c>
      <c r="AU7" s="1">
        <v>12</v>
      </c>
      <c r="AV7" s="1">
        <v>18.8</v>
      </c>
      <c r="AW7" s="1">
        <v>0.37</v>
      </c>
      <c r="AX7" s="1">
        <v>2.5640000000000001</v>
      </c>
      <c r="AY7" s="1">
        <v>6.6000000000000003E-2</v>
      </c>
      <c r="AZ7" s="1">
        <v>11171.79</v>
      </c>
      <c r="BA7" s="1">
        <v>211.14000000000001</v>
      </c>
      <c r="BB7" s="1">
        <v>9470.25</v>
      </c>
      <c r="BC7" s="1">
        <v>186.3</v>
      </c>
      <c r="BD7" s="1">
        <v>128298.60000000002</v>
      </c>
      <c r="BE7" s="1">
        <v>2297.6999999999998</v>
      </c>
      <c r="BF7" s="1">
        <v>-1.1799000000000002</v>
      </c>
      <c r="BG7" s="1">
        <v>4.7196000000000007</v>
      </c>
      <c r="BH7" s="1">
        <f t="shared" si="6"/>
        <v>-108736.84210526316</v>
      </c>
      <c r="BI7" s="1">
        <f t="shared" si="7"/>
        <v>-434951.72782754432</v>
      </c>
    </row>
    <row r="8" spans="1:61" x14ac:dyDescent="0.2">
      <c r="A8" t="s">
        <v>194</v>
      </c>
      <c r="B8" t="s">
        <v>38</v>
      </c>
      <c r="C8" t="s">
        <v>195</v>
      </c>
      <c r="D8" t="s">
        <v>196</v>
      </c>
      <c r="E8">
        <v>41221</v>
      </c>
      <c r="F8">
        <v>49655</v>
      </c>
      <c r="G8" t="s">
        <v>196</v>
      </c>
      <c r="H8" s="1">
        <v>76.2</v>
      </c>
      <c r="I8" s="1">
        <v>27.92</v>
      </c>
      <c r="J8" s="11">
        <v>1.867</v>
      </c>
      <c r="K8" s="11">
        <f t="shared" ca="1" si="0"/>
        <v>5.6949763827429521E-2</v>
      </c>
      <c r="L8" s="8">
        <v>0.1784</v>
      </c>
      <c r="M8" s="8">
        <f t="shared" ca="1" si="1"/>
        <v>6.0614044577144005E-3</v>
      </c>
      <c r="N8" s="8">
        <v>0.93745999999999996</v>
      </c>
      <c r="O8" s="9">
        <v>5.6053810000000004</v>
      </c>
      <c r="P8" s="9">
        <f t="shared" ca="1" si="2"/>
        <v>0.19045116461264922</v>
      </c>
      <c r="Q8" s="10">
        <v>7.5439999999999993E-2</v>
      </c>
      <c r="R8" s="10">
        <f t="shared" ca="1" si="3"/>
        <v>1.7031081703755635E-3</v>
      </c>
      <c r="S8" s="9">
        <f t="shared" si="4"/>
        <v>0.447248781277576</v>
      </c>
      <c r="T8" s="12">
        <v>5.5199999999999999E-2</v>
      </c>
      <c r="U8" s="12">
        <f t="shared" ca="1" si="5"/>
        <v>1.8624757716544933E-3</v>
      </c>
      <c r="V8" s="6" t="e">
        <f ca="1">IF(agePb6U8(1/O8)&lt;1400,age7corr(1/O8,Q8,$W$2),agePb76(Q8))</f>
        <v>#NAME?</v>
      </c>
      <c r="W8" s="6" t="e">
        <f ca="1">IF(agePb6U8(1/O8)&lt;1400,ageer7corr(V8,1/O8,P8/O8*(1/O8),Q8,R8,$W$2,0.05),ageerPb76(Q8,R8))</f>
        <v>#NAME?</v>
      </c>
      <c r="X8" s="4" t="e">
        <f ca="1">agePb6U8(L8)/agePb7u5(J8)</f>
        <v>#NAME?</v>
      </c>
      <c r="Z8" s="1">
        <v>1.867</v>
      </c>
      <c r="AA8" s="1">
        <v>4.2999999999999997E-2</v>
      </c>
      <c r="AB8" s="1">
        <v>0.1784</v>
      </c>
      <c r="AC8" s="1">
        <v>4.8999999999999998E-3</v>
      </c>
      <c r="AD8" s="1">
        <v>0.93745999999999996</v>
      </c>
      <c r="AE8" s="1">
        <v>5.6053810000000004</v>
      </c>
      <c r="AF8" s="1">
        <v>0.1539595</v>
      </c>
      <c r="AG8" s="1">
        <v>7.5439999999999993E-2</v>
      </c>
      <c r="AH8" s="1">
        <v>7.9000000000000001E-4</v>
      </c>
      <c r="AI8" s="1">
        <v>0.33055000000000001</v>
      </c>
      <c r="AJ8" s="1">
        <v>5.5199999999999999E-2</v>
      </c>
      <c r="AK8" s="1">
        <v>1.5E-3</v>
      </c>
      <c r="AL8" s="1">
        <v>9.4030000000000005</v>
      </c>
      <c r="AM8" s="1">
        <v>6.8000000000000005E-2</v>
      </c>
      <c r="AN8" s="1">
        <v>1069</v>
      </c>
      <c r="AO8" s="1">
        <v>15</v>
      </c>
      <c r="AP8" s="1">
        <v>1058</v>
      </c>
      <c r="AQ8" s="1">
        <v>27</v>
      </c>
      <c r="AR8" s="1">
        <v>1086</v>
      </c>
      <c r="AS8" s="1">
        <v>28</v>
      </c>
      <c r="AT8" s="1">
        <v>1080</v>
      </c>
      <c r="AU8" s="1">
        <v>21</v>
      </c>
      <c r="AV8" s="1">
        <v>16.350000000000001</v>
      </c>
      <c r="AW8" s="1">
        <v>0.37</v>
      </c>
      <c r="AX8" s="1">
        <v>2.1560000000000001</v>
      </c>
      <c r="AY8" s="1">
        <v>5.8999999999999997E-2</v>
      </c>
      <c r="AZ8" s="1">
        <v>9762.1200000000008</v>
      </c>
      <c r="BA8" s="1">
        <v>192.51</v>
      </c>
      <c r="BB8" s="1">
        <v>8551.1700000000019</v>
      </c>
      <c r="BC8" s="1">
        <v>198.71999999999997</v>
      </c>
      <c r="BD8" s="1">
        <v>114388.20000000001</v>
      </c>
      <c r="BE8" s="1">
        <v>2359.7999999999997</v>
      </c>
      <c r="BF8" s="1">
        <v>4.968</v>
      </c>
      <c r="BG8" s="1">
        <v>5.6510999999999996</v>
      </c>
      <c r="BH8" s="1">
        <f t="shared" si="6"/>
        <v>23025.000000000004</v>
      </c>
      <c r="BI8" s="1">
        <f t="shared" si="7"/>
        <v>26195.244456368531</v>
      </c>
    </row>
    <row r="9" spans="1:61" x14ac:dyDescent="0.2">
      <c r="A9" t="s">
        <v>266</v>
      </c>
      <c r="B9" t="s">
        <v>38</v>
      </c>
      <c r="C9" t="s">
        <v>267</v>
      </c>
      <c r="D9" t="s">
        <v>268</v>
      </c>
      <c r="E9">
        <v>41330</v>
      </c>
      <c r="F9">
        <v>49598</v>
      </c>
      <c r="G9" t="s">
        <v>268</v>
      </c>
      <c r="H9" s="1">
        <v>76.5</v>
      </c>
      <c r="I9" s="1">
        <v>28.22</v>
      </c>
      <c r="J9" s="11">
        <v>1.857</v>
      </c>
      <c r="K9" s="11">
        <f t="shared" ca="1" si="0"/>
        <v>7.0564719229938122E-2</v>
      </c>
      <c r="L9" s="8">
        <v>0.18079999999999999</v>
      </c>
      <c r="M9" s="8">
        <f t="shared" ca="1" si="1"/>
        <v>6.7502189594116123E-3</v>
      </c>
      <c r="N9" s="8">
        <v>0.97158999999999995</v>
      </c>
      <c r="O9" s="9">
        <v>5.5309730000000004</v>
      </c>
      <c r="P9" s="9">
        <f t="shared" ca="1" si="2"/>
        <v>0.20650044476209151</v>
      </c>
      <c r="Q9" s="10">
        <v>7.5130000000000002E-2</v>
      </c>
      <c r="R9" s="10">
        <f t="shared" ca="1" si="3"/>
        <v>1.6411601871846638E-3</v>
      </c>
      <c r="S9" s="9">
        <f t="shared" si="4"/>
        <v>0.51131894821214696</v>
      </c>
      <c r="T9" s="12">
        <v>5.4199999999999998E-2</v>
      </c>
      <c r="U9" s="12">
        <f t="shared" ca="1" si="5"/>
        <v>1.7706089348018101E-3</v>
      </c>
      <c r="V9" s="6" t="e">
        <f ca="1">IF(agePb6U8(1/O9)&lt;1400,age7corr(1/O9,Q9,$W$2),agePb76(Q9))</f>
        <v>#NAME?</v>
      </c>
      <c r="W9" s="6" t="e">
        <f ca="1">IF(agePb6U8(1/O9)&lt;1400,ageer7corr(V9,1/O9,P9/O9*(1/O9),Q9,R9,$W$2,0.05),ageerPb76(Q9,R9))</f>
        <v>#NAME?</v>
      </c>
      <c r="X9" s="4" t="e">
        <f ca="1">agePb6U8(L9)/agePb7u5(J9)</f>
        <v>#NAME?</v>
      </c>
      <c r="Z9" s="1">
        <v>1.857</v>
      </c>
      <c r="AA9" s="1">
        <v>0.06</v>
      </c>
      <c r="AB9" s="1">
        <v>0.18079999999999999</v>
      </c>
      <c r="AC9" s="1">
        <v>5.7000000000000002E-3</v>
      </c>
      <c r="AD9" s="1">
        <v>0.97158999999999995</v>
      </c>
      <c r="AE9" s="1">
        <v>5.5309730000000004</v>
      </c>
      <c r="AF9" s="1">
        <v>0.17437250000000001</v>
      </c>
      <c r="AG9" s="1">
        <v>7.5130000000000002E-2</v>
      </c>
      <c r="AH9" s="1">
        <v>6.6E-4</v>
      </c>
      <c r="AI9" s="1">
        <v>0.20698</v>
      </c>
      <c r="AJ9" s="1">
        <v>5.4199999999999998E-2</v>
      </c>
      <c r="AK9" s="1">
        <v>1.4E-3</v>
      </c>
      <c r="AL9" s="1">
        <v>9.4290000000000003</v>
      </c>
      <c r="AM9" s="1">
        <v>7.9000000000000001E-2</v>
      </c>
      <c r="AN9" s="1">
        <v>1065</v>
      </c>
      <c r="AO9" s="1">
        <v>21</v>
      </c>
      <c r="AP9" s="1">
        <v>1071</v>
      </c>
      <c r="AQ9" s="1">
        <v>31</v>
      </c>
      <c r="AR9" s="1">
        <v>1066</v>
      </c>
      <c r="AS9" s="1">
        <v>26</v>
      </c>
      <c r="AT9" s="1">
        <v>1071</v>
      </c>
      <c r="AU9" s="1">
        <v>18</v>
      </c>
      <c r="AV9" s="1">
        <v>16.38</v>
      </c>
      <c r="AW9" s="1">
        <v>0.38</v>
      </c>
      <c r="AX9" s="1">
        <v>2.1749999999999998</v>
      </c>
      <c r="AY9" s="1">
        <v>6.8999999999999992E-2</v>
      </c>
      <c r="AZ9" s="1">
        <v>9668.9699999999993</v>
      </c>
      <c r="BA9" s="1">
        <v>173.88</v>
      </c>
      <c r="BB9" s="1">
        <v>8470.44</v>
      </c>
      <c r="BC9" s="1">
        <v>180.09</v>
      </c>
      <c r="BD9" s="1">
        <v>114698.7</v>
      </c>
      <c r="BE9" s="1">
        <v>2608.1999999999998</v>
      </c>
      <c r="BF9" s="1">
        <v>6.2099999999999991</v>
      </c>
      <c r="BG9" s="1">
        <v>6.2099999999999991</v>
      </c>
      <c r="BH9" s="1">
        <f t="shared" si="6"/>
        <v>18470.000000000004</v>
      </c>
      <c r="BI9" s="1">
        <f t="shared" si="7"/>
        <v>18474.774694160689</v>
      </c>
    </row>
    <row r="10" spans="1:61" x14ac:dyDescent="0.2">
      <c r="A10" t="s">
        <v>338</v>
      </c>
      <c r="B10" t="s">
        <v>38</v>
      </c>
      <c r="C10" t="s">
        <v>339</v>
      </c>
      <c r="D10" t="s">
        <v>340</v>
      </c>
      <c r="E10">
        <v>41406</v>
      </c>
      <c r="F10">
        <v>49366</v>
      </c>
      <c r="G10" t="s">
        <v>340</v>
      </c>
      <c r="H10" s="1">
        <v>84.4</v>
      </c>
      <c r="I10" s="1">
        <v>32.090000000000003</v>
      </c>
      <c r="J10" s="11">
        <v>1.8540000000000001</v>
      </c>
      <c r="K10" s="11">
        <f t="shared" ca="1" si="0"/>
        <v>8.5463011882334211E-2</v>
      </c>
      <c r="L10" s="8">
        <v>0.17910000000000001</v>
      </c>
      <c r="M10" s="8">
        <f t="shared" ca="1" si="1"/>
        <v>7.7743632536690739E-3</v>
      </c>
      <c r="N10" s="8">
        <v>0.9839</v>
      </c>
      <c r="O10" s="9">
        <v>5.5834729999999997</v>
      </c>
      <c r="P10" s="9">
        <f t="shared" ca="1" si="2"/>
        <v>0.24236712052665393</v>
      </c>
      <c r="Q10" s="10">
        <v>7.4469999999999995E-2</v>
      </c>
      <c r="R10" s="10">
        <f t="shared" ca="1" si="3"/>
        <v>1.5842702925953007E-3</v>
      </c>
      <c r="S10" s="9">
        <f t="shared" si="4"/>
        <v>0.51825018963159308</v>
      </c>
      <c r="T10" s="12">
        <v>5.33E-2</v>
      </c>
      <c r="U10" s="12">
        <f t="shared" ca="1" si="5"/>
        <v>2.355070274959964E-3</v>
      </c>
      <c r="V10" s="6" t="e">
        <f ca="1">IF(agePb6U8(1/O10)&lt;1400,age7corr(1/O10,Q10,$W$2),agePb76(Q10))</f>
        <v>#NAME?</v>
      </c>
      <c r="W10" s="6" t="e">
        <f ca="1">IF(agePb6U8(1/O10)&lt;1400,ageer7corr(V10,1/O10,P10/O10*(1/O10),Q10,R10,$W$2,0.05),ageerPb76(Q10,R10))</f>
        <v>#NAME?</v>
      </c>
      <c r="X10" s="4" t="e">
        <f ca="1">agePb6U8(L10)/agePb7u5(J10)</f>
        <v>#NAME?</v>
      </c>
      <c r="Z10" s="1">
        <v>1.8540000000000001</v>
      </c>
      <c r="AA10" s="1">
        <v>7.6999999999999999E-2</v>
      </c>
      <c r="AB10" s="1">
        <v>0.17910000000000001</v>
      </c>
      <c r="AC10" s="1">
        <v>6.8999999999999999E-3</v>
      </c>
      <c r="AD10" s="1">
        <v>0.9839</v>
      </c>
      <c r="AE10" s="1">
        <v>5.5834729999999997</v>
      </c>
      <c r="AF10" s="1">
        <v>0.21510870000000001</v>
      </c>
      <c r="AG10" s="1">
        <v>7.4469999999999995E-2</v>
      </c>
      <c r="AH10" s="1">
        <v>5.4000000000000001E-4</v>
      </c>
      <c r="AI10" s="1">
        <v>-0.23835999999999999</v>
      </c>
      <c r="AJ10" s="1">
        <v>5.33E-2</v>
      </c>
      <c r="AK10" s="1">
        <v>2.0999999999999999E-3</v>
      </c>
      <c r="AL10" s="1">
        <v>9.2739999999999991</v>
      </c>
      <c r="AM10" s="1">
        <v>6.6000000000000003E-2</v>
      </c>
      <c r="AN10" s="1">
        <v>1063</v>
      </c>
      <c r="AO10" s="1">
        <v>27</v>
      </c>
      <c r="AP10" s="1">
        <v>1062</v>
      </c>
      <c r="AQ10" s="1">
        <v>38</v>
      </c>
      <c r="AR10" s="1">
        <v>1049</v>
      </c>
      <c r="AS10" s="1">
        <v>39</v>
      </c>
      <c r="AT10" s="1">
        <v>1054</v>
      </c>
      <c r="AU10" s="1">
        <v>15</v>
      </c>
      <c r="AV10" s="1">
        <v>18.04</v>
      </c>
      <c r="AW10" s="1">
        <v>0.43</v>
      </c>
      <c r="AX10" s="1">
        <v>2.468</v>
      </c>
      <c r="AY10" s="1">
        <v>7.1000000000000008E-2</v>
      </c>
      <c r="AZ10" s="1">
        <v>10824.03</v>
      </c>
      <c r="BA10" s="1">
        <v>310.5</v>
      </c>
      <c r="BB10" s="1">
        <v>9252.9</v>
      </c>
      <c r="BC10" s="1">
        <v>273.24</v>
      </c>
      <c r="BD10" s="1">
        <v>125628.3</v>
      </c>
      <c r="BE10" s="1">
        <v>3477.6</v>
      </c>
      <c r="BF10" s="1">
        <v>-24.839999999999996</v>
      </c>
      <c r="BG10" s="1">
        <v>6.8310000000000004</v>
      </c>
      <c r="BH10" s="1">
        <f t="shared" si="6"/>
        <v>-5057.5000000000009</v>
      </c>
      <c r="BI10" s="1">
        <f t="shared" si="7"/>
        <v>-1397.8409817129602</v>
      </c>
    </row>
    <row r="11" spans="1:61" x14ac:dyDescent="0.2">
      <c r="A11" t="s">
        <v>410</v>
      </c>
      <c r="B11" t="s">
        <v>38</v>
      </c>
      <c r="C11" t="s">
        <v>411</v>
      </c>
      <c r="D11" t="s">
        <v>412</v>
      </c>
      <c r="E11">
        <v>41254</v>
      </c>
      <c r="F11">
        <v>49659</v>
      </c>
      <c r="G11" t="s">
        <v>412</v>
      </c>
      <c r="H11" s="1">
        <v>76.3</v>
      </c>
      <c r="I11" s="1">
        <v>28.01</v>
      </c>
      <c r="J11" s="11">
        <v>1.8460000000000001</v>
      </c>
      <c r="K11" s="11">
        <f t="shared" ca="1" si="0"/>
        <v>6.959947126235945E-2</v>
      </c>
      <c r="L11" s="8">
        <v>0.17630000000000001</v>
      </c>
      <c r="M11" s="8">
        <f t="shared" ca="1" si="1"/>
        <v>5.9558942233723386E-3</v>
      </c>
      <c r="N11" s="8">
        <v>0.98329999999999995</v>
      </c>
      <c r="O11" s="9">
        <v>5.6721500000000002</v>
      </c>
      <c r="P11" s="9">
        <f t="shared" ca="1" si="2"/>
        <v>0.1916207063452173</v>
      </c>
      <c r="Q11" s="10">
        <v>7.5009999999999993E-2</v>
      </c>
      <c r="R11" s="10">
        <f t="shared" ca="1" si="3"/>
        <v>1.5578831920269245E-3</v>
      </c>
      <c r="S11" s="9">
        <f t="shared" si="4"/>
        <v>0.50703155777360509</v>
      </c>
      <c r="T11" s="12">
        <v>5.3600000000000002E-2</v>
      </c>
      <c r="U11" s="12">
        <f t="shared" ca="1" si="5"/>
        <v>2.0950379471503613E-3</v>
      </c>
      <c r="V11" s="6" t="e">
        <f ca="1">IF(agePb6U8(1/O11)&lt;1400,age7corr(1/O11,Q11,$W$2),agePb76(Q11))</f>
        <v>#NAME?</v>
      </c>
      <c r="W11" s="6" t="e">
        <f ca="1">IF(agePb6U8(1/O11)&lt;1400,ageer7corr(V11,1/O11,P11/O11*(1/O11),Q11,R11,$W$2,0.05),ageerPb76(Q11,R11))</f>
        <v>#NAME?</v>
      </c>
      <c r="X11" s="4" t="e">
        <f ca="1">agePb6U8(L11)/agePb7u5(J11)</f>
        <v>#NAME?</v>
      </c>
      <c r="Z11" s="1">
        <v>1.8460000000000001</v>
      </c>
      <c r="AA11" s="1">
        <v>5.8999999999999997E-2</v>
      </c>
      <c r="AB11" s="1">
        <v>0.17630000000000001</v>
      </c>
      <c r="AC11" s="1">
        <v>4.7999999999999996E-3</v>
      </c>
      <c r="AD11" s="1">
        <v>0.98329999999999995</v>
      </c>
      <c r="AE11" s="1">
        <v>5.6721500000000002</v>
      </c>
      <c r="AF11" s="1">
        <v>0.15443180000000001</v>
      </c>
      <c r="AG11" s="1">
        <v>7.5009999999999993E-2</v>
      </c>
      <c r="AH11" s="1">
        <v>4.2000000000000002E-4</v>
      </c>
      <c r="AI11" s="1">
        <v>-6.3747999999999999E-2</v>
      </c>
      <c r="AJ11" s="1">
        <v>5.3600000000000002E-2</v>
      </c>
      <c r="AK11" s="1">
        <v>1.8E-3</v>
      </c>
      <c r="AL11" s="1">
        <v>9.3680000000000003</v>
      </c>
      <c r="AM11" s="1">
        <v>5.8000000000000003E-2</v>
      </c>
      <c r="AN11" s="1">
        <v>1061</v>
      </c>
      <c r="AO11" s="1">
        <v>21</v>
      </c>
      <c r="AP11" s="1">
        <v>1047</v>
      </c>
      <c r="AQ11" s="1">
        <v>26</v>
      </c>
      <c r="AR11" s="1">
        <v>1055</v>
      </c>
      <c r="AS11" s="1">
        <v>34</v>
      </c>
      <c r="AT11" s="1">
        <v>1069</v>
      </c>
      <c r="AU11" s="1">
        <v>11</v>
      </c>
      <c r="AV11" s="1">
        <v>16.27</v>
      </c>
      <c r="AW11" s="1">
        <v>0.31</v>
      </c>
      <c r="AX11" s="1">
        <v>2.1510000000000002</v>
      </c>
      <c r="AY11" s="1">
        <v>6.0999999999999999E-2</v>
      </c>
      <c r="AZ11" s="1">
        <v>9588.24</v>
      </c>
      <c r="BA11" s="1">
        <v>180.09</v>
      </c>
      <c r="BB11" s="1">
        <v>8426.9699999999993</v>
      </c>
      <c r="BC11" s="1">
        <v>149.04</v>
      </c>
      <c r="BD11" s="1">
        <v>113332.5</v>
      </c>
      <c r="BE11" s="1">
        <v>2111.4</v>
      </c>
      <c r="BF11" s="1">
        <v>43.47</v>
      </c>
      <c r="BG11" s="1">
        <v>7.4519999999999991</v>
      </c>
      <c r="BH11" s="1">
        <f t="shared" si="6"/>
        <v>2607.1428571428573</v>
      </c>
      <c r="BI11" s="1">
        <f t="shared" si="7"/>
        <v>449.57029787123389</v>
      </c>
    </row>
    <row r="12" spans="1:61" x14ac:dyDescent="0.2">
      <c r="A12" t="s">
        <v>482</v>
      </c>
      <c r="B12" t="s">
        <v>38</v>
      </c>
      <c r="C12" t="s">
        <v>483</v>
      </c>
      <c r="D12" t="s">
        <v>484</v>
      </c>
      <c r="E12">
        <v>41367</v>
      </c>
      <c r="F12">
        <v>49600</v>
      </c>
      <c r="G12" t="s">
        <v>484</v>
      </c>
      <c r="H12" s="1">
        <v>77</v>
      </c>
      <c r="I12" s="1">
        <v>28.07</v>
      </c>
      <c r="J12" s="11">
        <v>1.8580000000000001</v>
      </c>
      <c r="K12" s="11">
        <f t="shared" ca="1" si="0"/>
        <v>5.3868966947584959E-2</v>
      </c>
      <c r="L12" s="8">
        <v>0.17960000000000001</v>
      </c>
      <c r="M12" s="8">
        <f t="shared" ca="1" si="1"/>
        <v>5.0855151164852517E-3</v>
      </c>
      <c r="N12" s="8">
        <v>0.95916999999999997</v>
      </c>
      <c r="O12" s="9">
        <v>5.5679290000000004</v>
      </c>
      <c r="P12" s="9">
        <f t="shared" ca="1" si="2"/>
        <v>0.15766028828838416</v>
      </c>
      <c r="Q12" s="10">
        <v>7.51E-2</v>
      </c>
      <c r="R12" s="10">
        <f t="shared" ca="1" si="3"/>
        <v>1.5445400609890312E-3</v>
      </c>
      <c r="S12" s="9">
        <f t="shared" si="4"/>
        <v>0.3769537020942329</v>
      </c>
      <c r="T12" s="12">
        <v>5.45E-2</v>
      </c>
      <c r="U12" s="12">
        <f t="shared" ca="1" si="5"/>
        <v>1.6211415730897781E-3</v>
      </c>
      <c r="V12" s="6" t="e">
        <f ca="1">IF(agePb6U8(1/O12)&lt;1400,age7corr(1/O12,Q12,$W$2),agePb76(Q12))</f>
        <v>#NAME?</v>
      </c>
      <c r="W12" s="6" t="e">
        <f ca="1">IF(agePb6U8(1/O12)&lt;1400,ageer7corr(V12,1/O12,P12/O12*(1/O12),Q12,R12,$W$2,0.05),ageerPb76(Q12,R12))</f>
        <v>#NAME?</v>
      </c>
      <c r="X12" s="4" t="e">
        <f ca="1">agePb6U8(L12)/agePb7u5(J12)</f>
        <v>#NAME?</v>
      </c>
      <c r="Z12" s="1">
        <v>1.8580000000000001</v>
      </c>
      <c r="AA12" s="1">
        <v>3.9E-2</v>
      </c>
      <c r="AB12" s="1">
        <v>0.17960000000000001</v>
      </c>
      <c r="AC12" s="1">
        <v>3.5999999999999999E-3</v>
      </c>
      <c r="AD12" s="1">
        <v>0.95916999999999997</v>
      </c>
      <c r="AE12" s="1">
        <v>5.5679290000000004</v>
      </c>
      <c r="AF12" s="1">
        <v>0.1116066</v>
      </c>
      <c r="AG12" s="1">
        <v>7.51E-2</v>
      </c>
      <c r="AH12" s="1">
        <v>3.6000000000000002E-4</v>
      </c>
      <c r="AI12" s="1">
        <v>-1.8552999999999999E-4</v>
      </c>
      <c r="AJ12" s="1">
        <v>5.45E-2</v>
      </c>
      <c r="AK12" s="1">
        <v>1.1999999999999999E-3</v>
      </c>
      <c r="AL12" s="1">
        <v>9.4120000000000008</v>
      </c>
      <c r="AM12" s="1">
        <v>4.3999999999999997E-2</v>
      </c>
      <c r="AN12" s="1">
        <v>1066</v>
      </c>
      <c r="AO12" s="1">
        <v>14</v>
      </c>
      <c r="AP12" s="1">
        <v>1064</v>
      </c>
      <c r="AQ12" s="1">
        <v>20</v>
      </c>
      <c r="AR12" s="1">
        <v>1072</v>
      </c>
      <c r="AS12" s="1">
        <v>22</v>
      </c>
      <c r="AT12" s="1">
        <v>1071.0999999999999</v>
      </c>
      <c r="AU12" s="1">
        <v>9.5</v>
      </c>
      <c r="AV12" s="1">
        <v>16.389999999999997</v>
      </c>
      <c r="AW12" s="1">
        <v>0.33</v>
      </c>
      <c r="AX12" s="1">
        <v>2.1510000000000002</v>
      </c>
      <c r="AY12" s="1">
        <v>3.7999999999999999E-2</v>
      </c>
      <c r="AZ12" s="1">
        <v>9731.0699999999979</v>
      </c>
      <c r="BA12" s="1">
        <v>173.88</v>
      </c>
      <c r="BB12" s="1">
        <v>8451.81</v>
      </c>
      <c r="BC12" s="1">
        <v>161.45999999999998</v>
      </c>
      <c r="BD12" s="1">
        <v>113953.5</v>
      </c>
      <c r="BE12" s="1">
        <v>1738.8</v>
      </c>
      <c r="BF12" s="1">
        <v>-6.8310000000000004</v>
      </c>
      <c r="BG12" s="1">
        <v>8.0729999999999986</v>
      </c>
      <c r="BH12" s="1">
        <f t="shared" si="6"/>
        <v>-16681.81818181818</v>
      </c>
      <c r="BI12" s="1">
        <f t="shared" si="7"/>
        <v>-19716.519225950316</v>
      </c>
    </row>
    <row r="13" spans="1:61" x14ac:dyDescent="0.2">
      <c r="A13" t="s">
        <v>554</v>
      </c>
      <c r="B13" t="s">
        <v>38</v>
      </c>
      <c r="C13" t="s">
        <v>555</v>
      </c>
      <c r="D13" t="s">
        <v>556</v>
      </c>
      <c r="E13">
        <v>41438</v>
      </c>
      <c r="F13">
        <v>49369</v>
      </c>
      <c r="G13" t="s">
        <v>556</v>
      </c>
      <c r="H13" s="1">
        <v>82.5</v>
      </c>
      <c r="I13" s="1">
        <v>33.86</v>
      </c>
      <c r="J13" s="11">
        <v>1.86</v>
      </c>
      <c r="K13" s="11">
        <f t="shared" ca="1" si="0"/>
        <v>4.3218514551057866E-2</v>
      </c>
      <c r="L13" s="8">
        <v>0.17899999999999999</v>
      </c>
      <c r="M13" s="8">
        <f t="shared" ca="1" si="1"/>
        <v>4.0529495432339155E-3</v>
      </c>
      <c r="N13" s="8">
        <v>0.97236</v>
      </c>
      <c r="O13" s="9">
        <v>5.5865919999999996</v>
      </c>
      <c r="P13" s="9">
        <f t="shared" ca="1" si="2"/>
        <v>0.12649259995251105</v>
      </c>
      <c r="Q13" s="10">
        <v>7.5190000000000007E-2</v>
      </c>
      <c r="R13" s="10">
        <f t="shared" ca="1" si="3"/>
        <v>1.5462905419098962E-3</v>
      </c>
      <c r="S13" s="9">
        <f t="shared" si="4"/>
        <v>0.33842513070897295</v>
      </c>
      <c r="T13" s="12">
        <v>5.228E-2</v>
      </c>
      <c r="U13" s="12">
        <f t="shared" ca="1" si="5"/>
        <v>1.4262465985936655E-3</v>
      </c>
      <c r="V13" s="6" t="e">
        <f ca="1">IF(agePb6U8(1/O13)&lt;1400,age7corr(1/O13,Q13,$W$2),agePb76(Q13))</f>
        <v>#NAME?</v>
      </c>
      <c r="W13" s="6" t="e">
        <f ca="1">IF(agePb6U8(1/O13)&lt;1400,ageer7corr(V13,1/O13,P13/O13*(1/O13),Q13,R13,$W$2,0.05),ageerPb76(Q13,R13))</f>
        <v>#NAME?</v>
      </c>
      <c r="X13" s="4" t="e">
        <f ca="1">agePb6U8(L13)/agePb7u5(J13)</f>
        <v>#NAME?</v>
      </c>
      <c r="Z13" s="1">
        <v>1.86</v>
      </c>
      <c r="AA13" s="1">
        <v>2.1999999999999999E-2</v>
      </c>
      <c r="AB13" s="1">
        <v>0.17899999999999999</v>
      </c>
      <c r="AC13" s="1">
        <v>1.9E-3</v>
      </c>
      <c r="AD13" s="1">
        <v>0.97236</v>
      </c>
      <c r="AE13" s="1">
        <v>5.5865919999999996</v>
      </c>
      <c r="AF13" s="1">
        <v>5.9299020000000001E-2</v>
      </c>
      <c r="AG13" s="1">
        <v>7.5190000000000007E-2</v>
      </c>
      <c r="AH13" s="1">
        <v>3.6000000000000002E-4</v>
      </c>
      <c r="AI13" s="1">
        <v>-2.8663000000000001E-2</v>
      </c>
      <c r="AJ13" s="1">
        <v>5.228E-2</v>
      </c>
      <c r="AK13" s="1">
        <v>9.7000000000000005E-4</v>
      </c>
      <c r="AL13" s="1">
        <v>9.2629999999999999</v>
      </c>
      <c r="AM13" s="1">
        <v>5.1999999999999998E-2</v>
      </c>
      <c r="AN13" s="1">
        <v>1066.9000000000001</v>
      </c>
      <c r="AO13" s="1">
        <v>8</v>
      </c>
      <c r="AP13" s="1">
        <v>1061</v>
      </c>
      <c r="AQ13" s="1">
        <v>10</v>
      </c>
      <c r="AR13" s="1">
        <v>1030</v>
      </c>
      <c r="AS13" s="1">
        <v>19</v>
      </c>
      <c r="AT13" s="1">
        <v>1073.5</v>
      </c>
      <c r="AU13" s="1">
        <v>9.6</v>
      </c>
      <c r="AV13" s="1">
        <v>17.52</v>
      </c>
      <c r="AW13" s="1">
        <v>0.55999999999999994</v>
      </c>
      <c r="AX13" s="1">
        <v>2.589</v>
      </c>
      <c r="AY13" s="1">
        <v>0.05</v>
      </c>
      <c r="AZ13" s="1">
        <v>10817.82</v>
      </c>
      <c r="BA13" s="1">
        <v>192.51</v>
      </c>
      <c r="BB13" s="1">
        <v>9259.1099999999988</v>
      </c>
      <c r="BC13" s="1">
        <v>149.04</v>
      </c>
      <c r="BD13" s="1">
        <v>124945.2</v>
      </c>
      <c r="BE13" s="1">
        <v>2111.4</v>
      </c>
      <c r="BF13" s="1">
        <v>-37.26</v>
      </c>
      <c r="BG13" s="1">
        <v>6.8310000000000004</v>
      </c>
      <c r="BH13" s="1">
        <f t="shared" si="6"/>
        <v>-3353.3333333333335</v>
      </c>
      <c r="BI13" s="1">
        <f t="shared" si="7"/>
        <v>-617.38385722376472</v>
      </c>
    </row>
    <row r="14" spans="1:61" x14ac:dyDescent="0.2">
      <c r="A14" t="s">
        <v>629</v>
      </c>
      <c r="B14" t="s">
        <v>38</v>
      </c>
      <c r="C14" t="s">
        <v>630</v>
      </c>
      <c r="D14" t="s">
        <v>631</v>
      </c>
      <c r="E14">
        <v>41291</v>
      </c>
      <c r="F14">
        <v>49661</v>
      </c>
      <c r="G14" t="s">
        <v>631</v>
      </c>
      <c r="H14" s="1">
        <v>73.8</v>
      </c>
      <c r="I14" s="1">
        <v>28.78</v>
      </c>
      <c r="J14" s="11">
        <v>1.8720000000000001</v>
      </c>
      <c r="K14" s="11">
        <f t="shared" ca="1" si="0"/>
        <v>4.6752043805592079E-2</v>
      </c>
      <c r="L14" s="8">
        <v>0.1817</v>
      </c>
      <c r="M14" s="8">
        <f t="shared" ca="1" si="1"/>
        <v>4.148006268076267E-3</v>
      </c>
      <c r="N14" s="8">
        <v>0.89446000000000003</v>
      </c>
      <c r="O14" s="9">
        <v>5.5035769999999999</v>
      </c>
      <c r="P14" s="9">
        <f t="shared" ca="1" si="2"/>
        <v>0.12564046500385337</v>
      </c>
      <c r="Q14" s="10">
        <v>7.485E-2</v>
      </c>
      <c r="R14" s="10">
        <f t="shared" ca="1" si="3"/>
        <v>1.5720715632565839E-3</v>
      </c>
      <c r="S14" s="9">
        <f t="shared" si="4"/>
        <v>0.37138826560072596</v>
      </c>
      <c r="T14" s="12">
        <v>5.5169999999999997E-2</v>
      </c>
      <c r="U14" s="12">
        <f t="shared" ca="1" si="5"/>
        <v>1.4430493962439401E-3</v>
      </c>
      <c r="V14" s="6" t="e">
        <f ca="1">IF(agePb6U8(1/O14)&lt;1400,age7corr(1/O14,Q14,$W$2),agePb76(Q14))</f>
        <v>#NAME?</v>
      </c>
      <c r="W14" s="6" t="e">
        <f ca="1">IF(agePb6U8(1/O14)&lt;1400,ageer7corr(V14,1/O14,P14/O14*(1/O14),Q14,R14,$W$2,0.05),ageerPb76(Q14,R14))</f>
        <v>#NAME?</v>
      </c>
      <c r="X14" s="4" t="e">
        <f ca="1">agePb6U8(L14)/agePb7u5(J14)</f>
        <v>#NAME?</v>
      </c>
      <c r="Z14" s="1">
        <v>1.8720000000000001</v>
      </c>
      <c r="AA14" s="1">
        <v>2.8000000000000001E-2</v>
      </c>
      <c r="AB14" s="1">
        <v>0.1817</v>
      </c>
      <c r="AC14" s="1">
        <v>2E-3</v>
      </c>
      <c r="AD14" s="1">
        <v>0.89446000000000003</v>
      </c>
      <c r="AE14" s="1">
        <v>5.5035769999999999</v>
      </c>
      <c r="AF14" s="1">
        <v>6.0578729999999997E-2</v>
      </c>
      <c r="AG14" s="1">
        <v>7.485E-2</v>
      </c>
      <c r="AH14" s="1">
        <v>4.8000000000000001E-4</v>
      </c>
      <c r="AI14" s="1">
        <v>-0.10799</v>
      </c>
      <c r="AJ14" s="1">
        <v>5.5169999999999997E-2</v>
      </c>
      <c r="AK14" s="1">
        <v>9.3000000000000005E-4</v>
      </c>
      <c r="AL14" s="1">
        <v>9.4499999999999993</v>
      </c>
      <c r="AM14" s="1">
        <v>5.8999999999999997E-2</v>
      </c>
      <c r="AN14" s="1">
        <v>1071</v>
      </c>
      <c r="AO14" s="1">
        <v>10</v>
      </c>
      <c r="AP14" s="1">
        <v>1076</v>
      </c>
      <c r="AQ14" s="1">
        <v>11</v>
      </c>
      <c r="AR14" s="1">
        <v>1085</v>
      </c>
      <c r="AS14" s="1">
        <v>18</v>
      </c>
      <c r="AT14" s="1">
        <v>1064</v>
      </c>
      <c r="AU14" s="1">
        <v>13</v>
      </c>
      <c r="AV14" s="1">
        <v>15.64</v>
      </c>
      <c r="AW14" s="1">
        <v>0.47</v>
      </c>
      <c r="AX14" s="1">
        <v>2.1960000000000002</v>
      </c>
      <c r="AY14" s="1">
        <v>5.1999999999999998E-2</v>
      </c>
      <c r="AZ14" s="1">
        <v>9588.24</v>
      </c>
      <c r="BA14" s="1">
        <v>211.14000000000001</v>
      </c>
      <c r="BB14" s="1">
        <v>8246.8799999999992</v>
      </c>
      <c r="BC14" s="1">
        <v>180.09</v>
      </c>
      <c r="BD14" s="1">
        <v>112463.09999999999</v>
      </c>
      <c r="BE14" s="1">
        <v>2235.6000000000004</v>
      </c>
      <c r="BF14" s="1">
        <v>3.1049999999999995</v>
      </c>
      <c r="BG14" s="1">
        <v>6.0236999999999998</v>
      </c>
      <c r="BH14" s="1">
        <f t="shared" si="6"/>
        <v>36220</v>
      </c>
      <c r="BI14" s="1">
        <f t="shared" si="7"/>
        <v>70270.488700734117</v>
      </c>
    </row>
    <row r="15" spans="1:61" x14ac:dyDescent="0.2">
      <c r="X15" s="4"/>
    </row>
    <row r="16" spans="1:61" x14ac:dyDescent="0.2">
      <c r="X16" s="4"/>
    </row>
    <row r="17" spans="1:61" x14ac:dyDescent="0.2">
      <c r="A17" t="s">
        <v>995</v>
      </c>
      <c r="B17" t="s">
        <v>38</v>
      </c>
      <c r="C17" t="s">
        <v>996</v>
      </c>
      <c r="D17" t="s">
        <v>997</v>
      </c>
      <c r="E17">
        <v>43424</v>
      </c>
      <c r="F17">
        <v>47339</v>
      </c>
      <c r="G17" t="s">
        <v>997</v>
      </c>
      <c r="H17" s="1">
        <v>78.900000000000006</v>
      </c>
      <c r="I17" s="1">
        <v>55.4</v>
      </c>
      <c r="J17" s="11">
        <v>5.5399999999999998E-2</v>
      </c>
      <c r="K17" s="11">
        <f ca="1">SQRT(K$2^2+(AA17/Z17)^2)*J17</f>
        <v>2.7345317697916771E-3</v>
      </c>
      <c r="L17" s="8">
        <v>8.7340000000000004E-3</v>
      </c>
      <c r="M17" s="8">
        <f ca="1">SQRT(M$2^2+(AC17/AB17)^2)*L17</f>
        <v>1.9932160545209343E-4</v>
      </c>
      <c r="N17" s="8">
        <v>-0.13882</v>
      </c>
      <c r="O17" s="9">
        <v>114.49509999999999</v>
      </c>
      <c r="P17" s="9">
        <f ca="1">SQRT(P$2^2+(AF17/AE17)^2)*O17</f>
        <v>2.6129318805089428</v>
      </c>
      <c r="Q17" s="10">
        <v>4.5900000000000003E-2</v>
      </c>
      <c r="R17" s="10">
        <f ca="1">SQRT(R$2^2+(AH17/AG17)^2)*Q17</f>
        <v>2.3838464715664892E-3</v>
      </c>
      <c r="S17" s="9">
        <f>(((BE17/BD17)^2+(AW17/AV17)^2)+((BE17/BD17)^2+(BC17/BB17)^2)-((BC17/BB17)^2+(AW17/AV17)^2))/(2*SQRT((BE17/BD17)^2+(AW17/AV17)^2)*SQRT((BE17/BD17)^2+(BC17/BB17)^2))</f>
        <v>0.53918389285046953</v>
      </c>
      <c r="T17" s="12">
        <v>2.8159999999999999E-3</v>
      </c>
      <c r="U17" s="12">
        <f ca="1">SQRT(U$2^2+(AK17/AJ17)^2)*T17</f>
        <v>7.5979881547683401E-5</v>
      </c>
      <c r="V17" s="6" t="e">
        <f ca="1">IF(agePb6U8(1/O17)&lt;1400,age7corr(1/O17,Q17,$W$2),agePb76(Q17))</f>
        <v>#NAME?</v>
      </c>
      <c r="W17" s="6" t="e">
        <f ca="1">IF(agePb6U8(1/O17)&lt;1400,ageer7corr(V17,1/O17,P17/O17*(1/O17),Q17,R17,$W$2,0.05),ageerPb76(Q17,R17))</f>
        <v>#NAME?</v>
      </c>
      <c r="X17" s="4" t="e">
        <f ca="1">agePb6U8(L17)/agePb7u5(J17)</f>
        <v>#NAME?</v>
      </c>
      <c r="Z17" s="1">
        <v>5.5399999999999998E-2</v>
      </c>
      <c r="AA17" s="1">
        <v>2.5000000000000001E-3</v>
      </c>
      <c r="AB17" s="1">
        <v>8.7340000000000004E-3</v>
      </c>
      <c r="AC17" s="1">
        <v>9.6000000000000002E-5</v>
      </c>
      <c r="AD17" s="1">
        <v>-0.13882</v>
      </c>
      <c r="AE17" s="1">
        <v>114.49509999999999</v>
      </c>
      <c r="AF17" s="1">
        <v>1.2584759999999999</v>
      </c>
      <c r="AG17" s="1">
        <v>4.5900000000000003E-2</v>
      </c>
      <c r="AH17" s="1">
        <v>2.2000000000000001E-3</v>
      </c>
      <c r="AI17" s="1">
        <v>0.37581999999999999</v>
      </c>
      <c r="AJ17" s="1">
        <v>2.8159999999999999E-3</v>
      </c>
      <c r="AK17" s="1">
        <v>5.1E-5</v>
      </c>
      <c r="AL17" s="1">
        <v>4.7110000000000003</v>
      </c>
      <c r="AM17" s="1">
        <v>8.7999999999999995E-2</v>
      </c>
      <c r="AN17" s="1">
        <v>54.8</v>
      </c>
      <c r="AO17" s="1">
        <v>2.4</v>
      </c>
      <c r="AP17" s="1">
        <v>56.06</v>
      </c>
      <c r="AQ17" s="1">
        <v>0.61</v>
      </c>
      <c r="AR17" s="1">
        <v>56.8</v>
      </c>
      <c r="AS17" s="1">
        <v>1</v>
      </c>
      <c r="AT17" s="1">
        <v>14</v>
      </c>
      <c r="AU17" s="1">
        <v>95</v>
      </c>
      <c r="AV17" s="1">
        <v>16.54</v>
      </c>
      <c r="AW17" s="1">
        <v>0.43</v>
      </c>
      <c r="AX17" s="1">
        <v>4.18</v>
      </c>
      <c r="AY17" s="1">
        <v>0.23</v>
      </c>
      <c r="AZ17" s="1">
        <v>968.76</v>
      </c>
      <c r="BA17" s="1">
        <v>22.977</v>
      </c>
      <c r="BB17" s="1">
        <v>246.53700000000003</v>
      </c>
      <c r="BC17" s="1">
        <v>20.492999999999999</v>
      </c>
      <c r="BD17" s="1">
        <v>5458.5899999999992</v>
      </c>
      <c r="BE17" s="1">
        <v>329.13</v>
      </c>
      <c r="BF17" s="1">
        <v>-3.5397000000000003</v>
      </c>
      <c r="BG17" s="1">
        <v>6.0236999999999998</v>
      </c>
      <c r="BH17" s="1">
        <f>BD17/BF17</f>
        <v>-1542.1052631578943</v>
      </c>
      <c r="BI17" s="1">
        <f>SQRT((BG17/BF17)^2+(BE17/BD17)^2)*BH17</f>
        <v>-2625.9311346705881</v>
      </c>
    </row>
    <row r="18" spans="1:61" x14ac:dyDescent="0.2">
      <c r="A18" t="s">
        <v>776</v>
      </c>
      <c r="B18" t="s">
        <v>38</v>
      </c>
      <c r="C18" t="s">
        <v>777</v>
      </c>
      <c r="D18" t="s">
        <v>778</v>
      </c>
      <c r="E18">
        <v>43426</v>
      </c>
      <c r="F18">
        <v>47379</v>
      </c>
      <c r="G18" t="s">
        <v>778</v>
      </c>
      <c r="H18" s="1">
        <v>69.5</v>
      </c>
      <c r="I18" s="1">
        <v>49.4</v>
      </c>
      <c r="J18" s="11">
        <v>5.57E-2</v>
      </c>
      <c r="K18" s="11">
        <f ca="1">SQRT(K$2^2+(AA18/Z18)^2)*J18</f>
        <v>3.3883618460843288E-3</v>
      </c>
      <c r="L18" s="8">
        <v>8.6599999999999993E-3</v>
      </c>
      <c r="M18" s="8">
        <f ca="1">SQRT(M$2^2+(AC18/AB18)^2)*L18</f>
        <v>2.3579279039020681E-4</v>
      </c>
      <c r="N18" s="8">
        <v>0.47785</v>
      </c>
      <c r="O18" s="9">
        <v>115.4734</v>
      </c>
      <c r="P18" s="9">
        <f ca="1">SQRT(P$2^2+(AF18/AE18)^2)*O18</f>
        <v>3.1440873844071193</v>
      </c>
      <c r="Q18" s="10">
        <v>4.7600000000000003E-2</v>
      </c>
      <c r="R18" s="10">
        <f ca="1">SQRT(R$2^2+(AH18/AG18)^2)*Q18</f>
        <v>2.768809130294105E-3</v>
      </c>
      <c r="S18" s="9">
        <f>(((BE18/BD18)^2+(AW18/AV18)^2)+((BE18/BD18)^2+(BC18/BB18)^2)-((BC18/BB18)^2+(AW18/AV18)^2))/(2*SQRT((BE18/BD18)^2+(AW18/AV18)^2)*SQRT((BE18/BD18)^2+(BC18/BB18)^2))</f>
        <v>0.3886515964499716</v>
      </c>
      <c r="T18" s="12">
        <v>2.8189999999999999E-3</v>
      </c>
      <c r="U18" s="12">
        <f ca="1">SQRT(U$2^2+(AK18/AJ18)^2)*T18</f>
        <v>9.2237218084675554E-5</v>
      </c>
      <c r="V18" s="6" t="e">
        <f ca="1">IF(agePb6U8(1/O18)&lt;1400,age7corr(1/O18,Q18,$W$2),agePb76(Q18))</f>
        <v>#NAME?</v>
      </c>
      <c r="W18" s="6" t="e">
        <f ca="1">IF(agePb6U8(1/O18)&lt;1400,ageer7corr(V18,1/O18,P18/O18*(1/O18),Q18,R18,$W$2,0.05),ageerPb76(Q18,R18))</f>
        <v>#NAME?</v>
      </c>
      <c r="X18" s="4" t="e">
        <f ca="1">agePb6U8(L18)/agePb7u5(J18)</f>
        <v>#NAME?</v>
      </c>
      <c r="Z18" s="1">
        <v>5.57E-2</v>
      </c>
      <c r="AA18" s="1">
        <v>3.2000000000000002E-3</v>
      </c>
      <c r="AB18" s="1">
        <v>8.6599999999999993E-3</v>
      </c>
      <c r="AC18" s="1">
        <v>1.6000000000000001E-4</v>
      </c>
      <c r="AD18" s="1">
        <v>0.47785</v>
      </c>
      <c r="AE18" s="1">
        <v>115.4734</v>
      </c>
      <c r="AF18" s="1">
        <v>2.1334580000000001</v>
      </c>
      <c r="AG18" s="1">
        <v>4.7600000000000003E-2</v>
      </c>
      <c r="AH18" s="1">
        <v>2.5999999999999999E-3</v>
      </c>
      <c r="AI18" s="1">
        <v>-0.21525</v>
      </c>
      <c r="AJ18" s="1">
        <v>2.8189999999999999E-3</v>
      </c>
      <c r="AK18" s="1">
        <v>7.2999999999999999E-5</v>
      </c>
      <c r="AL18" s="1">
        <v>4.8099999999999996</v>
      </c>
      <c r="AM18" s="1">
        <v>0.14000000000000001</v>
      </c>
      <c r="AN18" s="1">
        <v>55</v>
      </c>
      <c r="AO18" s="1">
        <v>3.1</v>
      </c>
      <c r="AP18" s="1">
        <v>55.61</v>
      </c>
      <c r="AQ18" s="1">
        <v>0.99</v>
      </c>
      <c r="AR18" s="1">
        <v>56.9</v>
      </c>
      <c r="AS18" s="1">
        <v>1.5</v>
      </c>
      <c r="AT18" s="1">
        <v>90</v>
      </c>
      <c r="AU18" s="1">
        <v>110</v>
      </c>
      <c r="AV18" s="1">
        <v>14.65</v>
      </c>
      <c r="AW18" s="1">
        <v>0.91</v>
      </c>
      <c r="AX18" s="1">
        <v>3.76</v>
      </c>
      <c r="AY18" s="1">
        <v>0.19</v>
      </c>
      <c r="AZ18" s="1">
        <v>835.86599999999999</v>
      </c>
      <c r="BA18" s="1">
        <v>52.164000000000001</v>
      </c>
      <c r="BB18" s="1">
        <v>229.14899999999997</v>
      </c>
      <c r="BC18" s="1">
        <v>16.145999999999997</v>
      </c>
      <c r="BD18" s="1">
        <v>4936.95</v>
      </c>
      <c r="BE18" s="1">
        <v>260.82</v>
      </c>
      <c r="BF18" s="1">
        <v>4.968</v>
      </c>
      <c r="BG18" s="1">
        <v>5.8995000000000006</v>
      </c>
      <c r="BH18" s="1">
        <f>BD18/BF18</f>
        <v>993.75</v>
      </c>
      <c r="BI18" s="1">
        <f>SQRT((BG18/BF18)^2+(BE18/BD18)^2)*BH18</f>
        <v>1181.2453729448071</v>
      </c>
    </row>
    <row r="19" spans="1:61" x14ac:dyDescent="0.2">
      <c r="A19" t="s">
        <v>125</v>
      </c>
      <c r="B19" t="s">
        <v>38</v>
      </c>
      <c r="C19" t="s">
        <v>126</v>
      </c>
      <c r="D19" t="s">
        <v>127</v>
      </c>
      <c r="E19">
        <v>43447</v>
      </c>
      <c r="F19">
        <v>47596</v>
      </c>
      <c r="G19" t="s">
        <v>127</v>
      </c>
      <c r="H19" s="1">
        <v>32.01</v>
      </c>
      <c r="I19" s="1">
        <v>12</v>
      </c>
      <c r="J19" s="11">
        <v>5.1299999999999998E-2</v>
      </c>
      <c r="K19" s="11">
        <f ca="1">SQRT(K$2^2+(AA19/Z19)^2)*J19</f>
        <v>5.4966058618023542E-3</v>
      </c>
      <c r="L19" s="8">
        <v>8.6999999999999994E-3</v>
      </c>
      <c r="M19" s="8">
        <f ca="1">SQRT(M$2^2+(AC19/AB19)^2)*L19</f>
        <v>3.381952099010274E-4</v>
      </c>
      <c r="N19" s="8">
        <v>0.68006</v>
      </c>
      <c r="O19" s="9">
        <v>114.9425</v>
      </c>
      <c r="P19" s="9">
        <f ca="1">SQRT(P$2^2+(AF19/AE19)^2)*O19</f>
        <v>4.4681623978123266</v>
      </c>
      <c r="Q19" s="10">
        <v>4.3400000000000001E-2</v>
      </c>
      <c r="R19" s="10">
        <f ca="1">SQRT(R$2^2+(AH19/AG19)^2)*Q19</f>
        <v>3.9954253841111842E-3</v>
      </c>
      <c r="S19" s="9">
        <f>(((BE19/BD19)^2+(AW19/AV19)^2)+((BE19/BD19)^2+(BC19/BB19)^2)-((BC19/BB19)^2+(AW19/AV19)^2))/(2*SQRT((BE19/BD19)^2+(AW19/AV19)^2)*SQRT((BE19/BD19)^2+(BC19/BB19)^2))</f>
        <v>0.17854824877155154</v>
      </c>
      <c r="T19" s="12">
        <v>2.9299999999999999E-3</v>
      </c>
      <c r="U19" s="12">
        <f ca="1">SQRT(U$2^2+(AK19/AJ19)^2)*T19</f>
        <v>1.5176943038701832E-4</v>
      </c>
      <c r="V19" s="6" t="e">
        <f ca="1">IF(agePb6U8(1/O19)&lt;1400,age7corr(1/O19,Q19,$W$2),agePb76(Q19))</f>
        <v>#NAME?</v>
      </c>
      <c r="W19" s="6" t="e">
        <f ca="1">IF(agePb6U8(1/O19)&lt;1400,ageer7corr(V19,1/O19,P19/O19*(1/O19),Q19,R19,$W$2,0.05),ageerPb76(Q19,R19))</f>
        <v>#NAME?</v>
      </c>
      <c r="X19" s="4" t="e">
        <f ca="1">agePb6U8(L19)/agePb7u5(J19)</f>
        <v>#NAME?</v>
      </c>
      <c r="Z19" s="1">
        <v>5.1299999999999998E-2</v>
      </c>
      <c r="AA19" s="1">
        <v>5.4000000000000003E-3</v>
      </c>
      <c r="AB19" s="1">
        <v>8.6999999999999994E-3</v>
      </c>
      <c r="AC19" s="1">
        <v>2.9E-4</v>
      </c>
      <c r="AD19" s="1">
        <v>0.68006</v>
      </c>
      <c r="AE19" s="1">
        <v>114.9425</v>
      </c>
      <c r="AF19" s="1">
        <v>3.8314180000000002</v>
      </c>
      <c r="AG19" s="1">
        <v>4.3400000000000001E-2</v>
      </c>
      <c r="AH19" s="1">
        <v>3.8999999999999998E-3</v>
      </c>
      <c r="AI19" s="1">
        <v>-0.43031000000000003</v>
      </c>
      <c r="AJ19" s="1">
        <v>2.9299999999999999E-3</v>
      </c>
      <c r="AK19" s="1">
        <v>1.3999999999999999E-4</v>
      </c>
      <c r="AL19" s="1">
        <v>8.3699999999999992</v>
      </c>
      <c r="AM19" s="1">
        <v>0.32</v>
      </c>
      <c r="AN19" s="1">
        <v>50.8</v>
      </c>
      <c r="AO19" s="1">
        <v>5.2</v>
      </c>
      <c r="AP19" s="1">
        <v>55.8</v>
      </c>
      <c r="AQ19" s="1">
        <v>1.9</v>
      </c>
      <c r="AR19" s="1">
        <v>59.1</v>
      </c>
      <c r="AS19" s="1">
        <v>2.8</v>
      </c>
      <c r="AT19" s="1">
        <v>-80</v>
      </c>
      <c r="AU19" s="1">
        <v>160</v>
      </c>
      <c r="AV19" s="1">
        <v>6.8900000000000006</v>
      </c>
      <c r="AW19" s="1">
        <v>0.17</v>
      </c>
      <c r="AX19" s="1">
        <v>0.92900000000000005</v>
      </c>
      <c r="AY19" s="1">
        <v>2.4E-2</v>
      </c>
      <c r="AZ19" s="1">
        <v>227.286</v>
      </c>
      <c r="BA19" s="1">
        <v>8.6940000000000008</v>
      </c>
      <c r="BB19" s="1">
        <v>96.876000000000005</v>
      </c>
      <c r="BC19" s="1">
        <v>9.3149999999999995</v>
      </c>
      <c r="BD19" s="1">
        <v>2315.0880000000002</v>
      </c>
      <c r="BE19" s="1">
        <v>57.753</v>
      </c>
      <c r="BF19" s="1">
        <v>55.89</v>
      </c>
      <c r="BG19" s="1">
        <v>6.2099999999999991</v>
      </c>
      <c r="BH19" s="1">
        <f>BD19/BF19</f>
        <v>41.422222222222224</v>
      </c>
      <c r="BI19" s="1">
        <f>SQRT((BG19/BF19)^2+(BE19/BD19)^2)*BH19</f>
        <v>4.7170435575466225</v>
      </c>
    </row>
    <row r="20" spans="1:61" x14ac:dyDescent="0.2">
      <c r="A20" t="s">
        <v>341</v>
      </c>
      <c r="B20" t="s">
        <v>38</v>
      </c>
      <c r="C20" t="s">
        <v>342</v>
      </c>
      <c r="D20" t="s">
        <v>343</v>
      </c>
      <c r="E20">
        <v>43349</v>
      </c>
      <c r="F20">
        <v>47285</v>
      </c>
      <c r="G20" t="s">
        <v>343</v>
      </c>
      <c r="H20" s="1">
        <v>48</v>
      </c>
      <c r="I20" s="1">
        <v>26.47</v>
      </c>
      <c r="J20" s="11">
        <v>5.4699999999999999E-2</v>
      </c>
      <c r="K20" s="11">
        <f ca="1">SQRT(K$2^2+(AA20/Z20)^2)*J20</f>
        <v>2.8207864151686495E-3</v>
      </c>
      <c r="L20" s="8">
        <v>8.5900000000000004E-3</v>
      </c>
      <c r="M20" s="8">
        <f ca="1">SQRT(M$2^2+(AC20/AB20)^2)*L20</f>
        <v>3.1163318180193843E-4</v>
      </c>
      <c r="N20" s="8">
        <v>0.10185</v>
      </c>
      <c r="O20" s="9">
        <v>116.4144</v>
      </c>
      <c r="P20" s="9">
        <f ca="1">SQRT(P$2^2+(AF20/AE20)^2)*O20</f>
        <v>4.2233521179926496</v>
      </c>
      <c r="Q20" s="10">
        <v>4.53E-2</v>
      </c>
      <c r="R20" s="10">
        <f ca="1">SQRT(R$2^2+(AH20/AG20)^2)*Q20</f>
        <v>2.7533317998381522E-3</v>
      </c>
      <c r="S20" s="9">
        <f>(((BE20/BD20)^2+(AW20/AV20)^2)+((BE20/BD20)^2+(BC20/BB20)^2)-((BC20/BB20)^2+(AW20/AV20)^2))/(2*SQRT((BE20/BD20)^2+(AW20/AV20)^2)*SQRT((BE20/BD20)^2+(BC20/BB20)^2))</f>
        <v>0.33229107568434069</v>
      </c>
      <c r="T20" s="12">
        <v>2.7290000000000001E-3</v>
      </c>
      <c r="U20" s="12">
        <f ca="1">SQRT(U$2^2+(AK20/AJ20)^2)*T20</f>
        <v>7.6778749664213725E-5</v>
      </c>
      <c r="V20" s="6" t="e">
        <f ca="1">IF(agePb6U8(1/O20)&lt;1400,age7corr(1/O20,Q20,$W$2),agePb76(Q20))</f>
        <v>#NAME?</v>
      </c>
      <c r="W20" s="6" t="e">
        <f ca="1">IF(agePb6U8(1/O20)&lt;1400,ageer7corr(V20,1/O20,P20/O20*(1/O20),Q20,R20,$W$2,0.05),ageerPb76(Q20,R20))</f>
        <v>#NAME?</v>
      </c>
      <c r="X20" s="4" t="e">
        <f ca="1">agePb6U8(L20)/agePb7u5(J20)</f>
        <v>#NAME?</v>
      </c>
      <c r="Z20" s="1">
        <v>5.4699999999999999E-2</v>
      </c>
      <c r="AA20" s="1">
        <v>2.5999999999999999E-3</v>
      </c>
      <c r="AB20" s="1">
        <v>8.5900000000000004E-3</v>
      </c>
      <c r="AC20" s="1">
        <v>2.5999999999999998E-4</v>
      </c>
      <c r="AD20" s="1">
        <v>0.10185</v>
      </c>
      <c r="AE20" s="1">
        <v>116.4144</v>
      </c>
      <c r="AF20" s="1">
        <v>3.523603</v>
      </c>
      <c r="AG20" s="1">
        <v>4.53E-2</v>
      </c>
      <c r="AH20" s="1">
        <v>2.5999999999999999E-3</v>
      </c>
      <c r="AI20" s="1">
        <v>0.38224000000000002</v>
      </c>
      <c r="AJ20" s="1">
        <v>2.7290000000000001E-3</v>
      </c>
      <c r="AK20" s="1">
        <v>5.3999999999999998E-5</v>
      </c>
      <c r="AL20" s="1">
        <v>5.91</v>
      </c>
      <c r="AM20" s="1">
        <v>0.14000000000000001</v>
      </c>
      <c r="AN20" s="1">
        <v>54.1</v>
      </c>
      <c r="AO20" s="1">
        <v>2.6</v>
      </c>
      <c r="AP20" s="1">
        <v>55.2</v>
      </c>
      <c r="AQ20" s="1">
        <v>1.6</v>
      </c>
      <c r="AR20" s="1">
        <v>55.1</v>
      </c>
      <c r="AS20" s="1">
        <v>1.1000000000000001</v>
      </c>
      <c r="AT20" s="1">
        <v>-10</v>
      </c>
      <c r="AU20" s="1">
        <v>110</v>
      </c>
      <c r="AV20" s="1">
        <v>10.26</v>
      </c>
      <c r="AW20" s="1">
        <v>0.16</v>
      </c>
      <c r="AX20" s="1">
        <v>2.036</v>
      </c>
      <c r="AY20" s="1">
        <v>6.4000000000000001E-2</v>
      </c>
      <c r="AZ20" s="1">
        <v>460.161</v>
      </c>
      <c r="BA20" s="1">
        <v>10.556999999999999</v>
      </c>
      <c r="BB20" s="1">
        <v>154.00800000000001</v>
      </c>
      <c r="BC20" s="1">
        <v>7.4519999999999991</v>
      </c>
      <c r="BD20" s="1">
        <v>3434.13</v>
      </c>
      <c r="BE20" s="1">
        <v>74.52</v>
      </c>
      <c r="BF20" s="1">
        <v>-24.839999999999996</v>
      </c>
      <c r="BG20" s="1">
        <v>6.8310000000000004</v>
      </c>
      <c r="BH20" s="1">
        <f>BD20/BF20</f>
        <v>-138.25000000000003</v>
      </c>
      <c r="BI20" s="1">
        <f>SQRT((BG20/BF20)^2+(BE20/BD20)^2)*BH20</f>
        <v>-38.136928973928953</v>
      </c>
    </row>
    <row r="21" spans="1:61" x14ac:dyDescent="0.2">
      <c r="A21" t="s">
        <v>557</v>
      </c>
      <c r="B21" t="s">
        <v>38</v>
      </c>
      <c r="C21" t="s">
        <v>558</v>
      </c>
      <c r="D21" t="s">
        <v>559</v>
      </c>
      <c r="E21">
        <v>43381</v>
      </c>
      <c r="F21">
        <v>47284</v>
      </c>
      <c r="G21" t="s">
        <v>559</v>
      </c>
      <c r="H21" s="1">
        <v>58.1</v>
      </c>
      <c r="I21" s="1">
        <v>37.82</v>
      </c>
      <c r="J21" s="11">
        <v>5.6000000000000001E-2</v>
      </c>
      <c r="K21" s="11">
        <f ca="1">SQRT(K$2^2+(AA21/Z21)^2)*J21</f>
        <v>3.484881633570931E-3</v>
      </c>
      <c r="L21" s="8">
        <v>8.5800000000000008E-3</v>
      </c>
      <c r="M21" s="8">
        <f ca="1">SQRT(M$2^2+(AC21/AB21)^2)*L21</f>
        <v>2.3462003324524529E-4</v>
      </c>
      <c r="N21" s="8">
        <v>-2.2540000000000001E-2</v>
      </c>
      <c r="O21" s="9">
        <v>116.5501</v>
      </c>
      <c r="P21" s="9">
        <f ca="1">SQRT(P$2^2+(AF21/AE21)^2)*O21</f>
        <v>3.1870619608104578</v>
      </c>
      <c r="Q21" s="10">
        <v>4.6300000000000001E-2</v>
      </c>
      <c r="R21" s="10">
        <f ca="1">SQRT(R$2^2+(AH21/AG21)^2)*Q21</f>
        <v>2.8543783911738124E-3</v>
      </c>
      <c r="S21" s="9">
        <f>(((BE21/BD21)^2+(AW21/AV21)^2)+((BE21/BD21)^2+(BC21/BB21)^2)-((BC21/BB21)^2+(AW21/AV21)^2))/(2*SQRT((BE21/BD21)^2+(AW21/AV21)^2)*SQRT((BE21/BD21)^2+(BC21/BB21)^2))</f>
        <v>0.22696832047014479</v>
      </c>
      <c r="T21" s="12">
        <v>2.6700000000000001E-3</v>
      </c>
      <c r="U21" s="12">
        <f ca="1">SQRT(U$2^2+(AK21/AJ21)^2)*T21</f>
        <v>9.125546558973878E-5</v>
      </c>
      <c r="V21" s="6" t="e">
        <f ca="1">IF(agePb6U8(1/O21)&lt;1400,age7corr(1/O21,Q21,$W$2),agePb76(Q21))</f>
        <v>#NAME?</v>
      </c>
      <c r="W21" s="6" t="e">
        <f ca="1">IF(agePb6U8(1/O21)&lt;1400,ageer7corr(V21,1/O21,P21/O21*(1/O21),Q21,R21,$W$2,0.05),ageerPb76(Q21,R21))</f>
        <v>#NAME?</v>
      </c>
      <c r="X21" s="4" t="e">
        <f ca="1">agePb6U8(L21)/agePb7u5(J21)</f>
        <v>#NAME?</v>
      </c>
      <c r="Z21" s="1">
        <v>5.6000000000000001E-2</v>
      </c>
      <c r="AA21" s="1">
        <v>3.3E-3</v>
      </c>
      <c r="AB21" s="1">
        <v>8.5800000000000008E-3</v>
      </c>
      <c r="AC21" s="1">
        <v>1.6000000000000001E-4</v>
      </c>
      <c r="AD21" s="1">
        <v>-2.2540000000000001E-2</v>
      </c>
      <c r="AE21" s="1">
        <v>116.5501</v>
      </c>
      <c r="AF21" s="1">
        <v>2.1734290000000001</v>
      </c>
      <c r="AG21" s="1">
        <v>4.6300000000000001E-2</v>
      </c>
      <c r="AH21" s="1">
        <v>2.7000000000000001E-3</v>
      </c>
      <c r="AI21" s="1">
        <v>0.34025</v>
      </c>
      <c r="AJ21" s="1">
        <v>2.6700000000000001E-3</v>
      </c>
      <c r="AK21" s="1">
        <v>7.3999999999999996E-5</v>
      </c>
      <c r="AL21" s="1">
        <v>5.51</v>
      </c>
      <c r="AM21" s="1">
        <v>0.16</v>
      </c>
      <c r="AN21" s="1">
        <v>55.3</v>
      </c>
      <c r="AO21" s="1">
        <v>3.2</v>
      </c>
      <c r="AP21" s="1">
        <v>55.1</v>
      </c>
      <c r="AQ21" s="1">
        <v>1</v>
      </c>
      <c r="AR21" s="1">
        <v>53.9</v>
      </c>
      <c r="AS21" s="1">
        <v>1.5</v>
      </c>
      <c r="AT21" s="1">
        <v>30</v>
      </c>
      <c r="AU21" s="1">
        <v>120</v>
      </c>
      <c r="AV21" s="1">
        <v>12.33</v>
      </c>
      <c r="AW21" s="1">
        <v>0.36000000000000004</v>
      </c>
      <c r="AX21" s="1">
        <v>2.891</v>
      </c>
      <c r="AY21" s="1">
        <v>5.7000000000000002E-2</v>
      </c>
      <c r="AZ21" s="1">
        <v>613.548</v>
      </c>
      <c r="BA21" s="1">
        <v>19.251000000000001</v>
      </c>
      <c r="BB21" s="1">
        <v>191.88899999999998</v>
      </c>
      <c r="BC21" s="1">
        <v>14.283000000000001</v>
      </c>
      <c r="BD21" s="1">
        <v>4197.96</v>
      </c>
      <c r="BE21" s="1">
        <v>111.78</v>
      </c>
      <c r="BF21" s="1">
        <v>31.05</v>
      </c>
      <c r="BG21" s="1">
        <v>6.2099999999999991</v>
      </c>
      <c r="BH21" s="1">
        <f>BD21/BF21</f>
        <v>135.19999999999999</v>
      </c>
      <c r="BI21" s="1">
        <f>SQRT((BG21/BF21)^2+(BE21/BD21)^2)*BH21</f>
        <v>27.278592339048576</v>
      </c>
    </row>
    <row r="22" spans="1:61" x14ac:dyDescent="0.2">
      <c r="X22" s="4"/>
    </row>
    <row r="23" spans="1:61" x14ac:dyDescent="0.2">
      <c r="X23" s="4"/>
    </row>
    <row r="24" spans="1:61" x14ac:dyDescent="0.2">
      <c r="A24" t="s">
        <v>563</v>
      </c>
      <c r="B24" t="s">
        <v>38</v>
      </c>
      <c r="C24" t="s">
        <v>564</v>
      </c>
      <c r="D24" t="s">
        <v>565</v>
      </c>
      <c r="E24">
        <v>10247</v>
      </c>
      <c r="F24">
        <v>56071</v>
      </c>
      <c r="G24" t="s">
        <v>565</v>
      </c>
      <c r="H24" s="1">
        <v>384</v>
      </c>
      <c r="I24" s="1">
        <v>263</v>
      </c>
      <c r="J24" s="11">
        <v>2.93E-2</v>
      </c>
      <c r="K24" s="11">
        <f t="shared" ref="K24:K55" ca="1" si="8">SQRT(K$2^2+(AA24/Z24)^2)*J24</f>
        <v>1.3354385047616381E-3</v>
      </c>
      <c r="L24" s="8">
        <v>4.1700000000000001E-3</v>
      </c>
      <c r="M24" s="8">
        <f t="shared" ref="M24:M55" ca="1" si="9">SQRT(M$2^2+(AC24/AB24)^2)*L24</f>
        <v>1.3804187770383302E-4</v>
      </c>
      <c r="N24" s="8">
        <v>0.64922999999999997</v>
      </c>
      <c r="O24" s="9">
        <v>239.8082</v>
      </c>
      <c r="P24" s="9">
        <f t="shared" ref="P24:P55" ca="1" si="10">SQRT(P$2^2+(AF24/AE24)^2)*O24</f>
        <v>7.9385063853675275</v>
      </c>
      <c r="Q24" s="10">
        <v>5.1299999999999998E-2</v>
      </c>
      <c r="R24" s="10">
        <f t="shared" ref="R24:R55" ca="1" si="11">SQRT(R$2^2+(AH24/AG24)^2)*Q24</f>
        <v>2.0718774095008614E-3</v>
      </c>
      <c r="S24" s="9">
        <f t="shared" ref="S24:S55" si="12">(((BE24/BD24)^2+(AW24/AV24)^2)+((BE24/BD24)^2+(BC24/BB24)^2)-((BC24/BB24)^2+(AW24/AV24)^2))/(2*SQRT((BE24/BD24)^2+(AW24/AV24)^2)*SQRT((BE24/BD24)^2+(BC24/BB24)^2))</f>
        <v>0.47575881638409195</v>
      </c>
      <c r="T24" s="12">
        <v>1.601E-3</v>
      </c>
      <c r="U24" s="12">
        <f t="shared" ref="U24:U55" ca="1" si="13">SQRT(U$2^2+(AK24/AJ24)^2)*T24</f>
        <v>5.361231574927538E-5</v>
      </c>
      <c r="V24" s="6" t="e">
        <f ca="1">IF(agePb6U8(1/O24)&lt;1400,age7corr(1/O24,Q24,$W$2),agePb76(Q24))</f>
        <v>#NAME?</v>
      </c>
      <c r="W24" s="6" t="e">
        <f ca="1">IF(agePb6U8(1/O24)&lt;1400,ageer7corr(V24,1/O24,P24/O24*(1/O24),Q24,R24,$W$2,0.05),ageerPb76(Q24,R24))</f>
        <v>#NAME?</v>
      </c>
      <c r="X24" s="4" t="e">
        <f ca="1">agePb6U8(L24)/agePb7u5(J24)</f>
        <v>#NAME?</v>
      </c>
      <c r="Z24" s="1">
        <v>2.93E-2</v>
      </c>
      <c r="AA24" s="1">
        <v>1.1999999999999999E-3</v>
      </c>
      <c r="AB24" s="1">
        <v>4.1700000000000001E-3</v>
      </c>
      <c r="AC24" s="1">
        <v>1.1E-4</v>
      </c>
      <c r="AD24" s="1">
        <v>0.64922999999999997</v>
      </c>
      <c r="AE24" s="1">
        <v>239.8082</v>
      </c>
      <c r="AF24" s="1">
        <v>6.3258749999999999</v>
      </c>
      <c r="AG24" s="1">
        <v>5.1299999999999998E-2</v>
      </c>
      <c r="AH24" s="1">
        <v>1.8E-3</v>
      </c>
      <c r="AI24" s="1">
        <v>-0.26416000000000001</v>
      </c>
      <c r="AJ24" s="1">
        <v>1.601E-3</v>
      </c>
      <c r="AK24" s="1">
        <v>4.3000000000000002E-5</v>
      </c>
      <c r="AL24" s="1">
        <v>3.8820000000000001</v>
      </c>
      <c r="AM24" s="1">
        <v>6.3E-2</v>
      </c>
      <c r="AN24" s="1">
        <v>29.4</v>
      </c>
      <c r="AO24" s="1">
        <v>1.2</v>
      </c>
      <c r="AP24" s="1">
        <v>26.84</v>
      </c>
      <c r="AQ24" s="1">
        <v>0.71</v>
      </c>
      <c r="AR24" s="1">
        <v>32.33</v>
      </c>
      <c r="AS24" s="1">
        <v>0.86</v>
      </c>
      <c r="AT24" s="1">
        <v>250</v>
      </c>
      <c r="AU24" s="1">
        <v>80</v>
      </c>
      <c r="AV24" s="1">
        <v>81.5</v>
      </c>
      <c r="AW24" s="1">
        <v>2.8</v>
      </c>
      <c r="AX24" s="1">
        <v>20.100000000000001</v>
      </c>
      <c r="AY24" s="1">
        <v>1.1000000000000001</v>
      </c>
      <c r="AZ24" s="1">
        <v>2639.25</v>
      </c>
      <c r="BA24" s="1">
        <v>93.15</v>
      </c>
      <c r="BB24" s="1">
        <v>661.98599999999999</v>
      </c>
      <c r="BC24" s="1">
        <v>31.671000000000003</v>
      </c>
      <c r="BD24" s="1">
        <v>12854.699999999999</v>
      </c>
      <c r="BE24" s="1">
        <v>503.01</v>
      </c>
      <c r="BF24" s="1">
        <v>8.6940000000000008</v>
      </c>
      <c r="BG24" s="1">
        <v>9.3149999999999995</v>
      </c>
      <c r="BH24" s="1">
        <f t="shared" ref="BH24:BH55" si="14">BD24/BF24</f>
        <v>1478.5714285714282</v>
      </c>
      <c r="BI24" s="1">
        <f t="shared" ref="BI24:BI55" si="15">SQRT((BG24/BF24)^2+(BE24/BD24)^2)*BH24</f>
        <v>1585.2398431362219</v>
      </c>
    </row>
    <row r="25" spans="1:61" x14ac:dyDescent="0.2">
      <c r="A25" t="s">
        <v>599</v>
      </c>
      <c r="B25" t="s">
        <v>38</v>
      </c>
      <c r="C25" t="s">
        <v>600</v>
      </c>
      <c r="D25" t="s">
        <v>601</v>
      </c>
      <c r="E25">
        <v>10299</v>
      </c>
      <c r="F25">
        <v>52545</v>
      </c>
      <c r="G25" t="s">
        <v>601</v>
      </c>
      <c r="H25" s="1">
        <v>754</v>
      </c>
      <c r="I25" s="1">
        <v>465</v>
      </c>
      <c r="J25" s="11">
        <v>2.7490000000000001E-2</v>
      </c>
      <c r="K25" s="11">
        <f t="shared" ca="1" si="8"/>
        <v>7.7767605080778987E-4</v>
      </c>
      <c r="L25" s="8">
        <v>4.2379999999999996E-3</v>
      </c>
      <c r="M25" s="8">
        <f t="shared" ca="1" si="9"/>
        <v>9.7904328811345207E-5</v>
      </c>
      <c r="N25" s="8">
        <v>0.44507999999999998</v>
      </c>
      <c r="O25" s="9">
        <v>235.96039999999999</v>
      </c>
      <c r="P25" s="9">
        <f t="shared" ca="1" si="10"/>
        <v>5.4510483812045729</v>
      </c>
      <c r="Q25" s="10">
        <v>4.7899999999999998E-2</v>
      </c>
      <c r="R25" s="10">
        <f t="shared" ca="1" si="11"/>
        <v>1.5355012211001331E-3</v>
      </c>
      <c r="S25" s="9">
        <f t="shared" si="12"/>
        <v>0.4379376577677826</v>
      </c>
      <c r="T25" s="12">
        <v>1.5460000000000001E-3</v>
      </c>
      <c r="U25" s="12">
        <f t="shared" ca="1" si="13"/>
        <v>4.3784088434041882E-5</v>
      </c>
      <c r="V25" s="6" t="e">
        <f ca="1">IF(agePb6U8(1/O25)&lt;1400,age7corr(1/O25,Q25,$W$2),agePb76(Q25))</f>
        <v>#NAME?</v>
      </c>
      <c r="W25" s="6" t="e">
        <f ca="1">IF(agePb6U8(1/O25)&lt;1400,ageer7corr(V25,1/O25,P25/O25*(1/O25),Q25,R25,$W$2,0.05),ageerPb76(Q25,R25))</f>
        <v>#NAME?</v>
      </c>
      <c r="X25" s="4" t="e">
        <f ca="1">agePb6U8(L25)/agePb7u5(J25)</f>
        <v>#NAME?</v>
      </c>
      <c r="Z25" s="1">
        <v>2.7490000000000001E-2</v>
      </c>
      <c r="AA25" s="1">
        <v>5.5000000000000003E-4</v>
      </c>
      <c r="AB25" s="1">
        <v>4.2379999999999996E-3</v>
      </c>
      <c r="AC25" s="1">
        <v>4.8999999999999998E-5</v>
      </c>
      <c r="AD25" s="1">
        <v>0.44507999999999998</v>
      </c>
      <c r="AE25" s="1">
        <v>235.96039999999999</v>
      </c>
      <c r="AF25" s="1">
        <v>2.7281870000000001</v>
      </c>
      <c r="AG25" s="1">
        <v>4.7899999999999998E-2</v>
      </c>
      <c r="AH25" s="1">
        <v>1.1999999999999999E-3</v>
      </c>
      <c r="AI25" s="1">
        <v>3.9920999999999998E-2</v>
      </c>
      <c r="AJ25" s="1">
        <v>1.5460000000000001E-3</v>
      </c>
      <c r="AK25" s="1">
        <v>3.1000000000000001E-5</v>
      </c>
      <c r="AL25" s="1">
        <v>4.58</v>
      </c>
      <c r="AM25" s="1">
        <v>0.12</v>
      </c>
      <c r="AN25" s="1">
        <v>27.53</v>
      </c>
      <c r="AO25" s="1">
        <v>0.54</v>
      </c>
      <c r="AP25" s="1">
        <v>27.27</v>
      </c>
      <c r="AQ25" s="1">
        <v>0.31</v>
      </c>
      <c r="AR25" s="1">
        <v>31.23</v>
      </c>
      <c r="AS25" s="1">
        <v>0.62</v>
      </c>
      <c r="AT25" s="1">
        <v>93</v>
      </c>
      <c r="AU25" s="1">
        <v>53</v>
      </c>
      <c r="AV25" s="1">
        <v>159.89999999999998</v>
      </c>
      <c r="AW25" s="1">
        <v>4.5999999999999996</v>
      </c>
      <c r="AX25" s="1">
        <v>35.5</v>
      </c>
      <c r="AY25" s="1">
        <v>2.5</v>
      </c>
      <c r="AZ25" s="1">
        <v>4601.6099999999997</v>
      </c>
      <c r="BA25" s="1">
        <v>223.56</v>
      </c>
      <c r="BB25" s="1">
        <v>1227.096</v>
      </c>
      <c r="BC25" s="1">
        <v>50.921999999999997</v>
      </c>
      <c r="BD25" s="1">
        <v>26082.000000000004</v>
      </c>
      <c r="BE25" s="1">
        <v>807.3</v>
      </c>
      <c r="BF25" s="1">
        <v>4.5953999999999997</v>
      </c>
      <c r="BG25" s="1">
        <v>5.3406000000000002</v>
      </c>
      <c r="BH25" s="1">
        <f t="shared" si="14"/>
        <v>5675.6756756756768</v>
      </c>
      <c r="BI25" s="1">
        <f t="shared" si="15"/>
        <v>6598.3945244012793</v>
      </c>
    </row>
    <row r="26" spans="1:61" x14ac:dyDescent="0.2">
      <c r="A26" t="s">
        <v>602</v>
      </c>
      <c r="B26" t="s">
        <v>38</v>
      </c>
      <c r="C26" t="s">
        <v>603</v>
      </c>
      <c r="D26" t="s">
        <v>604</v>
      </c>
      <c r="E26">
        <v>10303</v>
      </c>
      <c r="F26">
        <v>51631</v>
      </c>
      <c r="G26" t="s">
        <v>604</v>
      </c>
      <c r="H26" s="1">
        <v>485</v>
      </c>
      <c r="I26" s="1">
        <v>428.9</v>
      </c>
      <c r="J26" s="11">
        <v>3.5999999999999997E-2</v>
      </c>
      <c r="K26" s="11">
        <f t="shared" ca="1" si="8"/>
        <v>4.2612674170955283E-3</v>
      </c>
      <c r="L26" s="8">
        <v>4.3600000000000002E-3</v>
      </c>
      <c r="M26" s="8">
        <f t="shared" ca="1" si="9"/>
        <v>1.4833691381446493E-4</v>
      </c>
      <c r="N26" s="8">
        <v>0.58206000000000002</v>
      </c>
      <c r="O26" s="9">
        <v>229.3578</v>
      </c>
      <c r="P26" s="9">
        <f t="shared" ca="1" si="10"/>
        <v>7.8032633512099281</v>
      </c>
      <c r="Q26" s="10">
        <v>5.8000000000000003E-2</v>
      </c>
      <c r="R26" s="10">
        <f t="shared" ca="1" si="11"/>
        <v>5.2302581198254445E-3</v>
      </c>
      <c r="S26" s="9">
        <f t="shared" si="12"/>
        <v>0.24755427161383084</v>
      </c>
      <c r="T26" s="12">
        <v>1.7030000000000001E-3</v>
      </c>
      <c r="U26" s="12">
        <f t="shared" ca="1" si="13"/>
        <v>5.2536497789631929E-5</v>
      </c>
      <c r="V26" s="6" t="e">
        <f ca="1">IF(agePb6U8(1/O26)&lt;1400,age7corr(1/O26,Q26,$W$2),agePb76(Q26))</f>
        <v>#NAME?</v>
      </c>
      <c r="W26" s="6" t="e">
        <f ca="1">IF(agePb6U8(1/O26)&lt;1400,ageer7corr(V26,1/O26,P26/O26*(1/O26),Q26,R26,$W$2,0.05),ageerPb76(Q26,R26))</f>
        <v>#NAME?</v>
      </c>
      <c r="X26" s="4" t="e">
        <f ca="1">agePb6U8(L26)/agePb7u5(J26)</f>
        <v>#NAME?</v>
      </c>
      <c r="Z26" s="1">
        <v>3.5999999999999997E-2</v>
      </c>
      <c r="AA26" s="1">
        <v>4.1999999999999997E-3</v>
      </c>
      <c r="AB26" s="1">
        <v>4.3600000000000002E-3</v>
      </c>
      <c r="AC26" s="1">
        <v>1.2E-4</v>
      </c>
      <c r="AD26" s="1">
        <v>0.58206000000000002</v>
      </c>
      <c r="AE26" s="1">
        <v>229.3578</v>
      </c>
      <c r="AF26" s="1">
        <v>6.3125999999999998</v>
      </c>
      <c r="AG26" s="1">
        <v>5.8000000000000003E-2</v>
      </c>
      <c r="AH26" s="1">
        <v>5.1000000000000004E-3</v>
      </c>
      <c r="AI26" s="1">
        <v>-0.45966000000000001</v>
      </c>
      <c r="AJ26" s="1">
        <v>1.7030000000000001E-3</v>
      </c>
      <c r="AK26" s="1">
        <v>4.0000000000000003E-5</v>
      </c>
      <c r="AL26" s="1">
        <v>3.1429999999999998</v>
      </c>
      <c r="AM26" s="1">
        <v>9.1999999999999998E-2</v>
      </c>
      <c r="AN26" s="1">
        <v>35.9</v>
      </c>
      <c r="AO26" s="1">
        <v>4</v>
      </c>
      <c r="AP26" s="1">
        <v>28.04</v>
      </c>
      <c r="AQ26" s="1">
        <v>0.79</v>
      </c>
      <c r="AR26" s="1">
        <v>34.39</v>
      </c>
      <c r="AS26" s="1">
        <v>0.81</v>
      </c>
      <c r="AT26" s="1">
        <v>470</v>
      </c>
      <c r="AU26" s="1">
        <v>160</v>
      </c>
      <c r="AV26" s="1">
        <v>103</v>
      </c>
      <c r="AW26" s="1">
        <v>2.6</v>
      </c>
      <c r="AX26" s="1">
        <v>32.76</v>
      </c>
      <c r="AY26" s="1">
        <v>0.45</v>
      </c>
      <c r="AZ26" s="1">
        <v>4620.2400000000007</v>
      </c>
      <c r="BA26" s="1">
        <v>192.51</v>
      </c>
      <c r="BB26" s="1">
        <v>1030.8599999999999</v>
      </c>
      <c r="BC26" s="1">
        <v>93.15</v>
      </c>
      <c r="BD26" s="1">
        <v>17648.82</v>
      </c>
      <c r="BE26" s="1">
        <v>540.27</v>
      </c>
      <c r="BF26" s="1">
        <v>31.05</v>
      </c>
      <c r="BG26" s="1">
        <v>8.6940000000000008</v>
      </c>
      <c r="BH26" s="1">
        <f t="shared" si="14"/>
        <v>568.4</v>
      </c>
      <c r="BI26" s="1">
        <f t="shared" si="15"/>
        <v>160.10034073667677</v>
      </c>
    </row>
    <row r="27" spans="1:61" x14ac:dyDescent="0.2">
      <c r="A27" t="s">
        <v>605</v>
      </c>
      <c r="B27" t="s">
        <v>38</v>
      </c>
      <c r="C27" t="s">
        <v>606</v>
      </c>
      <c r="D27" t="s">
        <v>607</v>
      </c>
      <c r="E27">
        <v>10271</v>
      </c>
      <c r="F27">
        <v>51370</v>
      </c>
      <c r="G27" t="s">
        <v>607</v>
      </c>
      <c r="H27" s="1">
        <v>210.1</v>
      </c>
      <c r="I27" s="1">
        <v>178.8</v>
      </c>
      <c r="J27" s="11">
        <v>2.75E-2</v>
      </c>
      <c r="K27" s="11">
        <f t="shared" ca="1" si="8"/>
        <v>1.3200378782444084E-3</v>
      </c>
      <c r="L27" s="8">
        <v>4.078E-3</v>
      </c>
      <c r="M27" s="8">
        <f t="shared" ca="1" si="9"/>
        <v>9.9503937610528754E-5</v>
      </c>
      <c r="N27" s="8">
        <v>7.2882000000000002E-2</v>
      </c>
      <c r="O27" s="9">
        <v>245.2182</v>
      </c>
      <c r="P27" s="9">
        <f t="shared" ca="1" si="10"/>
        <v>5.9833686297958444</v>
      </c>
      <c r="Q27" s="10">
        <v>4.9399999999999999E-2</v>
      </c>
      <c r="R27" s="10">
        <f t="shared" ca="1" si="11"/>
        <v>2.3208067562810997E-3</v>
      </c>
      <c r="S27" s="9">
        <f t="shared" si="12"/>
        <v>0.32333945391191754</v>
      </c>
      <c r="T27" s="12">
        <v>1.317E-3</v>
      </c>
      <c r="U27" s="12">
        <f t="shared" ca="1" si="13"/>
        <v>3.77199628843932E-5</v>
      </c>
      <c r="V27" s="6" t="e">
        <f ca="1">IF(agePb6U8(1/O27)&lt;1400,age7corr(1/O27,Q27,$W$2),agePb76(Q27))</f>
        <v>#NAME?</v>
      </c>
      <c r="W27" s="6" t="e">
        <f ca="1">IF(agePb6U8(1/O27)&lt;1400,ageer7corr(V27,1/O27,P27/O27*(1/O27),Q27,R27,$W$2,0.05),ageerPb76(Q27,R27))</f>
        <v>#NAME?</v>
      </c>
      <c r="X27" s="4" t="e">
        <f ca="1">agePb6U8(L27)/agePb7u5(J27)</f>
        <v>#NAME?</v>
      </c>
      <c r="Z27" s="1">
        <v>2.75E-2</v>
      </c>
      <c r="AA27" s="1">
        <v>1.1999999999999999E-3</v>
      </c>
      <c r="AB27" s="1">
        <v>4.078E-3</v>
      </c>
      <c r="AC27" s="1">
        <v>5.7000000000000003E-5</v>
      </c>
      <c r="AD27" s="1">
        <v>7.2882000000000002E-2</v>
      </c>
      <c r="AE27" s="1">
        <v>245.2182</v>
      </c>
      <c r="AF27" s="1">
        <v>3.4275229999999999</v>
      </c>
      <c r="AG27" s="1">
        <v>4.9399999999999999E-2</v>
      </c>
      <c r="AH27" s="1">
        <v>2.0999999999999999E-3</v>
      </c>
      <c r="AI27" s="1">
        <v>0.26541999999999999</v>
      </c>
      <c r="AJ27" s="1">
        <v>1.317E-3</v>
      </c>
      <c r="AK27" s="1">
        <v>2.6999999999999999E-5</v>
      </c>
      <c r="AL27" s="1">
        <v>3.8279999999999998</v>
      </c>
      <c r="AM27" s="1">
        <v>5.6000000000000001E-2</v>
      </c>
      <c r="AN27" s="1">
        <v>27.5</v>
      </c>
      <c r="AO27" s="1">
        <v>1.1000000000000001</v>
      </c>
      <c r="AP27" s="1">
        <v>26.23</v>
      </c>
      <c r="AQ27" s="1">
        <v>0.36</v>
      </c>
      <c r="AR27" s="1">
        <v>26.59</v>
      </c>
      <c r="AS27" s="1">
        <v>0.54</v>
      </c>
      <c r="AT27" s="1">
        <v>162</v>
      </c>
      <c r="AU27" s="1">
        <v>92</v>
      </c>
      <c r="AV27" s="1">
        <v>44.6</v>
      </c>
      <c r="AW27" s="1">
        <v>1</v>
      </c>
      <c r="AX27" s="1">
        <v>13.66</v>
      </c>
      <c r="AY27" s="1">
        <v>0.28999999999999998</v>
      </c>
      <c r="AZ27" s="1">
        <v>1474.2540000000001</v>
      </c>
      <c r="BA27" s="1">
        <v>37.881</v>
      </c>
      <c r="BB27" s="1">
        <v>346.51799999999997</v>
      </c>
      <c r="BC27" s="1">
        <v>18.63</v>
      </c>
      <c r="BD27" s="1">
        <v>7035.93</v>
      </c>
      <c r="BE27" s="1">
        <v>180.09</v>
      </c>
      <c r="BF27" s="1">
        <v>24.839999999999996</v>
      </c>
      <c r="BG27" s="1">
        <v>6.2099999999999991</v>
      </c>
      <c r="BH27" s="1">
        <f t="shared" si="14"/>
        <v>283.25000000000006</v>
      </c>
      <c r="BI27" s="1">
        <f t="shared" si="15"/>
        <v>71.182671039024669</v>
      </c>
    </row>
    <row r="28" spans="1:61" s="24" customFormat="1" x14ac:dyDescent="0.2">
      <c r="A28" s="24" t="s">
        <v>608</v>
      </c>
      <c r="B28" s="24" t="s">
        <v>38</v>
      </c>
      <c r="C28" s="24" t="s">
        <v>609</v>
      </c>
      <c r="D28" s="24" t="s">
        <v>610</v>
      </c>
      <c r="E28" s="24">
        <v>10342</v>
      </c>
      <c r="F28" s="24">
        <v>50836</v>
      </c>
      <c r="G28" s="24" t="s">
        <v>610</v>
      </c>
      <c r="H28" s="25">
        <v>409</v>
      </c>
      <c r="I28" s="25">
        <v>45.5</v>
      </c>
      <c r="J28" s="26">
        <v>9.4E-2</v>
      </c>
      <c r="K28" s="26">
        <f t="shared" ca="1" si="8"/>
        <v>3.5050455061239938E-2</v>
      </c>
      <c r="L28" s="27">
        <v>4.6600000000000001E-3</v>
      </c>
      <c r="M28" s="27">
        <f t="shared" ca="1" si="9"/>
        <v>2.9510377835602174E-4</v>
      </c>
      <c r="N28" s="27">
        <v>0.95143999999999995</v>
      </c>
      <c r="O28" s="27">
        <v>214.59229999999999</v>
      </c>
      <c r="P28" s="27">
        <f t="shared" ca="1" si="10"/>
        <v>13.589486619049154</v>
      </c>
      <c r="Q28" s="26">
        <v>0.14699999999999999</v>
      </c>
      <c r="R28" s="26">
        <f t="shared" ca="1" si="11"/>
        <v>4.4098113338327749E-2</v>
      </c>
      <c r="S28" s="27">
        <f t="shared" si="12"/>
        <v>1.300064379097398E-2</v>
      </c>
      <c r="T28" s="26">
        <v>1.23E-2</v>
      </c>
      <c r="U28" s="26">
        <f t="shared" ca="1" si="13"/>
        <v>5.0060479422394666E-3</v>
      </c>
      <c r="V28" s="25" t="e">
        <f ca="1">IF(agePb6U8(1/O28)&lt;1400,age7corr(1/O28,Q28,$W$2),agePb76(Q28))</f>
        <v>#NAME?</v>
      </c>
      <c r="W28" s="25" t="e">
        <f ca="1">IF(agePb6U8(1/O28)&lt;1400,ageer7corr(V28,1/O28,P28/O28*(1/O28),Q28,R28,$W$2,0.05),ageerPb76(Q28,R28))</f>
        <v>#NAME?</v>
      </c>
      <c r="X28" s="27" t="e">
        <f ca="1">agePb6U8(L28)/agePb7u5(J28)</f>
        <v>#NAME?</v>
      </c>
      <c r="Y28" s="25"/>
      <c r="Z28" s="25">
        <v>9.4E-2</v>
      </c>
      <c r="AA28" s="25">
        <v>3.5000000000000003E-2</v>
      </c>
      <c r="AB28" s="25">
        <v>4.6600000000000001E-3</v>
      </c>
      <c r="AC28" s="25">
        <v>2.7999999999999998E-4</v>
      </c>
      <c r="AD28" s="25">
        <v>0.95143999999999995</v>
      </c>
      <c r="AE28" s="25">
        <v>214.59229999999999</v>
      </c>
      <c r="AF28" s="25">
        <v>12.89396</v>
      </c>
      <c r="AG28" s="25">
        <v>0.14699999999999999</v>
      </c>
      <c r="AH28" s="25">
        <v>4.3999999999999997E-2</v>
      </c>
      <c r="AI28" s="25">
        <v>-0.91859000000000002</v>
      </c>
      <c r="AJ28" s="25">
        <v>1.23E-2</v>
      </c>
      <c r="AK28" s="25">
        <v>5.0000000000000001E-3</v>
      </c>
      <c r="AL28" s="25">
        <v>7.3</v>
      </c>
      <c r="AM28" s="25">
        <v>3</v>
      </c>
      <c r="AN28" s="25">
        <v>89</v>
      </c>
      <c r="AO28" s="25">
        <v>31</v>
      </c>
      <c r="AP28" s="25">
        <v>29.9</v>
      </c>
      <c r="AQ28" s="25">
        <v>1.8</v>
      </c>
      <c r="AR28" s="25">
        <v>250</v>
      </c>
      <c r="AS28" s="25">
        <v>100</v>
      </c>
      <c r="AT28" s="25">
        <v>1880</v>
      </c>
      <c r="AU28" s="25">
        <v>540</v>
      </c>
      <c r="AV28" s="25">
        <v>86.7</v>
      </c>
      <c r="AW28" s="25">
        <v>4.5999999999999996</v>
      </c>
      <c r="AX28" s="25">
        <v>3.4769999999999999</v>
      </c>
      <c r="AY28" s="25">
        <v>9.4E-2</v>
      </c>
      <c r="AZ28" s="25">
        <v>3415.5</v>
      </c>
      <c r="BA28" s="25">
        <v>1428.3</v>
      </c>
      <c r="BB28" s="25">
        <v>2111.4</v>
      </c>
      <c r="BC28" s="25">
        <v>683.09999999999991</v>
      </c>
      <c r="BD28" s="25">
        <v>15885.179999999998</v>
      </c>
      <c r="BE28" s="25">
        <v>242.19</v>
      </c>
      <c r="BF28" s="25">
        <v>104.949</v>
      </c>
      <c r="BG28" s="25">
        <v>47.196000000000005</v>
      </c>
      <c r="BH28" s="25">
        <f t="shared" si="14"/>
        <v>151.36094674556213</v>
      </c>
      <c r="BI28" s="25">
        <f t="shared" si="15"/>
        <v>68.106752216454566</v>
      </c>
    </row>
    <row r="29" spans="1:61" x14ac:dyDescent="0.2">
      <c r="A29" t="s">
        <v>611</v>
      </c>
      <c r="B29" t="s">
        <v>38</v>
      </c>
      <c r="C29" t="s">
        <v>612</v>
      </c>
      <c r="D29" t="s">
        <v>613</v>
      </c>
      <c r="E29">
        <v>10256</v>
      </c>
      <c r="F29">
        <v>50594</v>
      </c>
      <c r="G29" t="s">
        <v>613</v>
      </c>
      <c r="H29" s="1">
        <v>234</v>
      </c>
      <c r="I29" s="1">
        <v>84.1</v>
      </c>
      <c r="J29" s="11">
        <v>2.6599999999999999E-2</v>
      </c>
      <c r="K29" s="11">
        <f t="shared" ca="1" si="8"/>
        <v>1.1327064933158986E-3</v>
      </c>
      <c r="L29" s="8">
        <v>4.3309999999999998E-3</v>
      </c>
      <c r="M29" s="8">
        <f t="shared" ca="1" si="9"/>
        <v>1.132785257672433E-4</v>
      </c>
      <c r="N29" s="8">
        <v>0.44978000000000001</v>
      </c>
      <c r="O29" s="9">
        <v>230.89359999999999</v>
      </c>
      <c r="P29" s="9">
        <f t="shared" ca="1" si="10"/>
        <v>6.0390867554689089</v>
      </c>
      <c r="Q29" s="10">
        <v>4.4499999999999998E-2</v>
      </c>
      <c r="R29" s="10">
        <f t="shared" ca="1" si="11"/>
        <v>1.7441616897524151E-3</v>
      </c>
      <c r="S29" s="9">
        <f t="shared" si="12"/>
        <v>0.43244202865436226</v>
      </c>
      <c r="T29" s="12">
        <v>1.7279999999999999E-3</v>
      </c>
      <c r="U29" s="12">
        <f t="shared" ca="1" si="13"/>
        <v>9.0831677293772361E-5</v>
      </c>
      <c r="V29" s="6" t="e">
        <f ca="1">IF(agePb6U8(1/O29)&lt;1400,age7corr(1/O29,Q29,$W$2),agePb76(Q29))</f>
        <v>#NAME?</v>
      </c>
      <c r="W29" s="6" t="e">
        <f ca="1">IF(agePb6U8(1/O29)&lt;1400,ageer7corr(V29,1/O29,P29/O29*(1/O29),Q29,R29,$W$2,0.05),ageerPb76(Q29,R29))</f>
        <v>#NAME?</v>
      </c>
      <c r="X29" s="4" t="e">
        <f ca="1">agePb6U8(L29)/agePb7u5(J29)</f>
        <v>#NAME?</v>
      </c>
      <c r="Z29" s="1">
        <v>2.6599999999999999E-2</v>
      </c>
      <c r="AA29" s="1">
        <v>1E-3</v>
      </c>
      <c r="AB29" s="1">
        <v>4.3309999999999998E-3</v>
      </c>
      <c r="AC29" s="1">
        <v>7.2999999999999999E-5</v>
      </c>
      <c r="AD29" s="1">
        <v>0.44978000000000001</v>
      </c>
      <c r="AE29" s="1">
        <v>230.89359999999999</v>
      </c>
      <c r="AF29" s="1">
        <v>3.8917639999999998</v>
      </c>
      <c r="AG29" s="1">
        <v>4.4499999999999998E-2</v>
      </c>
      <c r="AH29" s="1">
        <v>1.5E-3</v>
      </c>
      <c r="AI29" s="1">
        <v>-4.9292999999999997E-2</v>
      </c>
      <c r="AJ29" s="1">
        <v>1.7279999999999999E-3</v>
      </c>
      <c r="AK29" s="1">
        <v>8.3999999999999995E-5</v>
      </c>
      <c r="AL29" s="1">
        <v>7.78</v>
      </c>
      <c r="AM29" s="1">
        <v>0.23</v>
      </c>
      <c r="AN29" s="1">
        <v>26.7</v>
      </c>
      <c r="AO29" s="1">
        <v>1</v>
      </c>
      <c r="AP29" s="1">
        <v>27.86</v>
      </c>
      <c r="AQ29" s="1">
        <v>0.47</v>
      </c>
      <c r="AR29" s="1">
        <v>34.9</v>
      </c>
      <c r="AS29" s="1">
        <v>1.7</v>
      </c>
      <c r="AT29" s="1">
        <v>-54</v>
      </c>
      <c r="AU29" s="1">
        <v>62</v>
      </c>
      <c r="AV29" s="1">
        <v>49.6</v>
      </c>
      <c r="AW29" s="1">
        <v>1.1000000000000001</v>
      </c>
      <c r="AX29" s="1">
        <v>6.42</v>
      </c>
      <c r="AY29" s="1">
        <v>0.32</v>
      </c>
      <c r="AZ29" s="1">
        <v>881.19899999999996</v>
      </c>
      <c r="BA29" s="1">
        <v>37.881</v>
      </c>
      <c r="BB29" s="1">
        <v>371.358</v>
      </c>
      <c r="BC29" s="1">
        <v>13.041</v>
      </c>
      <c r="BD29" s="1">
        <v>8470.44</v>
      </c>
      <c r="BE29" s="1">
        <v>211.14000000000001</v>
      </c>
      <c r="BF29" s="1">
        <v>8.0729999999999986</v>
      </c>
      <c r="BG29" s="1">
        <v>9.3149999999999995</v>
      </c>
      <c r="BH29" s="1">
        <f t="shared" si="14"/>
        <v>1049.2307692307695</v>
      </c>
      <c r="BI29" s="1">
        <f t="shared" si="15"/>
        <v>1210.9333570648173</v>
      </c>
    </row>
    <row r="30" spans="1:61" x14ac:dyDescent="0.2">
      <c r="A30" t="s">
        <v>614</v>
      </c>
      <c r="B30" t="s">
        <v>38</v>
      </c>
      <c r="C30" t="s">
        <v>615</v>
      </c>
      <c r="D30" t="s">
        <v>616</v>
      </c>
      <c r="E30">
        <v>10363</v>
      </c>
      <c r="F30">
        <v>50386</v>
      </c>
      <c r="G30" t="s">
        <v>616</v>
      </c>
      <c r="H30" s="1">
        <v>248.5</v>
      </c>
      <c r="I30" s="1">
        <v>164.5</v>
      </c>
      <c r="J30" s="11">
        <v>3.4299999999999997E-2</v>
      </c>
      <c r="K30" s="11">
        <f t="shared" ca="1" si="8"/>
        <v>1.9262907361039764E-3</v>
      </c>
      <c r="L30" s="8">
        <v>4.3169999999999997E-3</v>
      </c>
      <c r="M30" s="8">
        <f t="shared" ca="1" si="9"/>
        <v>1.1052418558849461E-4</v>
      </c>
      <c r="N30" s="8">
        <v>0.61680000000000001</v>
      </c>
      <c r="O30" s="9">
        <v>231.64230000000001</v>
      </c>
      <c r="P30" s="9">
        <f t="shared" ca="1" si="10"/>
        <v>5.9305253972234198</v>
      </c>
      <c r="Q30" s="10">
        <v>5.8200000000000002E-2</v>
      </c>
      <c r="R30" s="10">
        <f t="shared" ca="1" si="11"/>
        <v>2.8486656525468202E-3</v>
      </c>
      <c r="S30" s="9">
        <f t="shared" si="12"/>
        <v>0.52948627878929599</v>
      </c>
      <c r="T30" s="12">
        <v>1.637E-3</v>
      </c>
      <c r="U30" s="12">
        <f t="shared" ca="1" si="13"/>
        <v>6.4007090232254745E-5</v>
      </c>
      <c r="V30" s="6" t="e">
        <f ca="1">IF(agePb6U8(1/O30)&lt;1400,age7corr(1/O30,Q30,$W$2),agePb76(Q30))</f>
        <v>#NAME?</v>
      </c>
      <c r="W30" s="6" t="e">
        <f ca="1">IF(agePb6U8(1/O30)&lt;1400,ageer7corr(V30,1/O30,P30/O30*(1/O30),Q30,R30,$W$2,0.05),ageerPb76(Q30,R30))</f>
        <v>#NAME?</v>
      </c>
      <c r="X30" s="4" t="e">
        <f ca="1">agePb6U8(L30)/agePb7u5(J30)</f>
        <v>#NAME?</v>
      </c>
      <c r="Z30" s="1">
        <v>3.4299999999999997E-2</v>
      </c>
      <c r="AA30" s="1">
        <v>1.8E-3</v>
      </c>
      <c r="AB30" s="1">
        <v>4.3169999999999997E-3</v>
      </c>
      <c r="AC30" s="1">
        <v>6.8999999999999997E-5</v>
      </c>
      <c r="AD30" s="1">
        <v>0.61680000000000001</v>
      </c>
      <c r="AE30" s="1">
        <v>231.64230000000001</v>
      </c>
      <c r="AF30" s="1">
        <v>3.7024140000000001</v>
      </c>
      <c r="AG30" s="1">
        <v>5.8200000000000002E-2</v>
      </c>
      <c r="AH30" s="1">
        <v>2.5999999999999999E-3</v>
      </c>
      <c r="AI30" s="1">
        <v>-0.36487000000000003</v>
      </c>
      <c r="AJ30" s="1">
        <v>1.637E-3</v>
      </c>
      <c r="AK30" s="1">
        <v>5.5000000000000002E-5</v>
      </c>
      <c r="AL30" s="1">
        <v>4.0789999999999997</v>
      </c>
      <c r="AM30" s="1">
        <v>5.8000000000000003E-2</v>
      </c>
      <c r="AN30" s="1">
        <v>34.200000000000003</v>
      </c>
      <c r="AO30" s="1">
        <v>1.8</v>
      </c>
      <c r="AP30" s="1">
        <v>27.77</v>
      </c>
      <c r="AQ30" s="1">
        <v>0.44</v>
      </c>
      <c r="AR30" s="1">
        <v>33.1</v>
      </c>
      <c r="AS30" s="1">
        <v>1.1000000000000001</v>
      </c>
      <c r="AT30" s="1">
        <v>524</v>
      </c>
      <c r="AU30" s="1">
        <v>93</v>
      </c>
      <c r="AV30" s="1">
        <v>52.699999999999996</v>
      </c>
      <c r="AW30" s="1">
        <v>1.2</v>
      </c>
      <c r="AX30" s="1">
        <v>12.56</v>
      </c>
      <c r="AY30" s="1">
        <v>0.75</v>
      </c>
      <c r="AZ30" s="1">
        <v>1710.8549999999998</v>
      </c>
      <c r="BA30" s="1">
        <v>50.921999999999997</v>
      </c>
      <c r="BB30" s="1">
        <v>496.17900000000003</v>
      </c>
      <c r="BC30" s="1">
        <v>17.388000000000002</v>
      </c>
      <c r="BD30" s="1">
        <v>8694</v>
      </c>
      <c r="BE30" s="1">
        <v>267.02999999999997</v>
      </c>
      <c r="BF30" s="1">
        <v>15.525</v>
      </c>
      <c r="BG30" s="1">
        <v>8.6940000000000008</v>
      </c>
      <c r="BH30" s="1">
        <f t="shared" si="14"/>
        <v>560</v>
      </c>
      <c r="BI30" s="1">
        <f t="shared" si="15"/>
        <v>314.07132947787517</v>
      </c>
    </row>
    <row r="31" spans="1:61" x14ac:dyDescent="0.2">
      <c r="A31" t="s">
        <v>617</v>
      </c>
      <c r="B31" t="s">
        <v>38</v>
      </c>
      <c r="C31" t="s">
        <v>618</v>
      </c>
      <c r="D31" t="s">
        <v>619</v>
      </c>
      <c r="E31">
        <v>10373</v>
      </c>
      <c r="F31">
        <v>50076</v>
      </c>
      <c r="G31" t="s">
        <v>619</v>
      </c>
      <c r="H31" s="1">
        <v>346.5</v>
      </c>
      <c r="I31" s="1">
        <v>223.1</v>
      </c>
      <c r="J31" s="11">
        <v>4.2799999999999998E-2</v>
      </c>
      <c r="K31" s="11">
        <f t="shared" ca="1" si="8"/>
        <v>2.1754852332295893E-3</v>
      </c>
      <c r="L31" s="8">
        <v>4.5560000000000002E-3</v>
      </c>
      <c r="M31" s="8">
        <f t="shared" ca="1" si="9"/>
        <v>1.3381649524628867E-4</v>
      </c>
      <c r="N31" s="8">
        <v>0.72170999999999996</v>
      </c>
      <c r="O31" s="9">
        <v>219.49080000000001</v>
      </c>
      <c r="P31" s="9">
        <f t="shared" ca="1" si="10"/>
        <v>6.446770977914448</v>
      </c>
      <c r="Q31" s="10">
        <v>6.8000000000000005E-2</v>
      </c>
      <c r="R31" s="10">
        <f t="shared" ca="1" si="11"/>
        <v>2.7585503439306663E-3</v>
      </c>
      <c r="S31" s="9">
        <f t="shared" si="12"/>
        <v>0.31914509667120722</v>
      </c>
      <c r="T31" s="12">
        <v>2.0999999999999999E-3</v>
      </c>
      <c r="U31" s="12">
        <f t="shared" ca="1" si="13"/>
        <v>7.6550636836018548E-5</v>
      </c>
      <c r="V31" s="6" t="e">
        <f ca="1">IF(agePb6U8(1/O31)&lt;1400,age7corr(1/O31,Q31,$W$2),agePb76(Q31))</f>
        <v>#NAME?</v>
      </c>
      <c r="W31" s="6" t="e">
        <f ca="1">IF(agePb6U8(1/O31)&lt;1400,ageer7corr(V31,1/O31,P31/O31*(1/O31),Q31,R31,$W$2,0.05),ageerPb76(Q31,R31))</f>
        <v>#NAME?</v>
      </c>
      <c r="X31" s="4" t="e">
        <f ca="1">agePb6U8(L31)/agePb7u5(J31)</f>
        <v>#NAME?</v>
      </c>
      <c r="Z31" s="1">
        <v>4.2799999999999998E-2</v>
      </c>
      <c r="AA31" s="1">
        <v>2E-3</v>
      </c>
      <c r="AB31" s="1">
        <v>4.5560000000000002E-3</v>
      </c>
      <c r="AC31" s="1">
        <v>9.7999999999999997E-5</v>
      </c>
      <c r="AD31" s="1">
        <v>0.72170999999999996</v>
      </c>
      <c r="AE31" s="1">
        <v>219.49080000000001</v>
      </c>
      <c r="AF31" s="1">
        <v>4.7212680000000002</v>
      </c>
      <c r="AG31" s="1">
        <v>6.8000000000000005E-2</v>
      </c>
      <c r="AH31" s="1">
        <v>2.3999999999999998E-3</v>
      </c>
      <c r="AI31" s="1">
        <v>-0.53164999999999996</v>
      </c>
      <c r="AJ31" s="1">
        <v>2.0999999999999999E-3</v>
      </c>
      <c r="AK31" s="1">
        <v>6.3999999999999997E-5</v>
      </c>
      <c r="AL31" s="1">
        <v>3.5939999999999999</v>
      </c>
      <c r="AM31" s="1">
        <v>6.6000000000000003E-2</v>
      </c>
      <c r="AN31" s="1">
        <v>42.5</v>
      </c>
      <c r="AO31" s="1">
        <v>1.9</v>
      </c>
      <c r="AP31" s="1">
        <v>29.3</v>
      </c>
      <c r="AQ31" s="1">
        <v>0.63</v>
      </c>
      <c r="AR31" s="1">
        <v>42.4</v>
      </c>
      <c r="AS31" s="1">
        <v>1.3</v>
      </c>
      <c r="AT31" s="1">
        <v>861</v>
      </c>
      <c r="AU31" s="1">
        <v>70</v>
      </c>
      <c r="AV31" s="1">
        <v>73.400000000000006</v>
      </c>
      <c r="AW31" s="1">
        <v>1.8</v>
      </c>
      <c r="AX31" s="1">
        <v>17.03</v>
      </c>
      <c r="AY31" s="1">
        <v>0.5</v>
      </c>
      <c r="AZ31" s="1">
        <v>2980.8</v>
      </c>
      <c r="BA31" s="1">
        <v>105.57000000000001</v>
      </c>
      <c r="BB31" s="1">
        <v>879.33600000000001</v>
      </c>
      <c r="BC31" s="1">
        <v>40.364999999999995</v>
      </c>
      <c r="BD31" s="1">
        <v>13090.679999999998</v>
      </c>
      <c r="BE31" s="1">
        <v>310.5</v>
      </c>
      <c r="BF31" s="1">
        <v>21.113999999999997</v>
      </c>
      <c r="BG31" s="1">
        <v>6.8310000000000004</v>
      </c>
      <c r="BH31" s="1">
        <f t="shared" si="14"/>
        <v>620</v>
      </c>
      <c r="BI31" s="1">
        <f t="shared" si="15"/>
        <v>201.12658480217596</v>
      </c>
    </row>
    <row r="32" spans="1:61" x14ac:dyDescent="0.2">
      <c r="A32" t="s">
        <v>620</v>
      </c>
      <c r="B32" t="s">
        <v>38</v>
      </c>
      <c r="C32" t="s">
        <v>621</v>
      </c>
      <c r="D32" t="s">
        <v>622</v>
      </c>
      <c r="E32">
        <v>10405</v>
      </c>
      <c r="F32">
        <v>49781</v>
      </c>
      <c r="G32" t="s">
        <v>622</v>
      </c>
      <c r="H32" s="1">
        <v>843</v>
      </c>
      <c r="I32" s="1">
        <v>495</v>
      </c>
      <c r="J32" s="11">
        <v>2.8240000000000001E-2</v>
      </c>
      <c r="K32" s="11">
        <f t="shared" ca="1" si="8"/>
        <v>8.6110338519831638E-4</v>
      </c>
      <c r="L32" s="8">
        <v>4.3439999999999998E-3</v>
      </c>
      <c r="M32" s="8">
        <f t="shared" ca="1" si="9"/>
        <v>1.2366136987758142E-4</v>
      </c>
      <c r="N32" s="8">
        <v>0.81520999999999999</v>
      </c>
      <c r="O32" s="9">
        <v>230.20259999999999</v>
      </c>
      <c r="P32" s="9">
        <f t="shared" ca="1" si="10"/>
        <v>6.553215370024092</v>
      </c>
      <c r="Q32" s="10">
        <v>4.7530000000000003E-2</v>
      </c>
      <c r="R32" s="10">
        <f t="shared" ca="1" si="11"/>
        <v>1.1924933375075939E-3</v>
      </c>
      <c r="S32" s="9">
        <f t="shared" si="12"/>
        <v>0.45367987788027009</v>
      </c>
      <c r="T32" s="12">
        <v>1.56E-3</v>
      </c>
      <c r="U32" s="12">
        <f t="shared" ca="1" si="13"/>
        <v>4.9944369051976216E-5</v>
      </c>
      <c r="V32" s="6" t="e">
        <f ca="1">IF(agePb6U8(1/O32)&lt;1400,age7corr(1/O32,Q32,$W$2),agePb76(Q32))</f>
        <v>#NAME?</v>
      </c>
      <c r="W32" s="6" t="e">
        <f ca="1">IF(agePb6U8(1/O32)&lt;1400,ageer7corr(V32,1/O32,P32/O32*(1/O32),Q32,R32,$W$2,0.05),ageerPb76(Q32,R32))</f>
        <v>#NAME?</v>
      </c>
      <c r="X32" s="4" t="e">
        <f ca="1">agePb6U8(L32)/agePb7u5(J32)</f>
        <v>#NAME?</v>
      </c>
      <c r="Z32" s="1">
        <v>2.8240000000000001E-2</v>
      </c>
      <c r="AA32" s="1">
        <v>6.4999999999999997E-4</v>
      </c>
      <c r="AB32" s="1">
        <v>4.3439999999999998E-3</v>
      </c>
      <c r="AC32" s="1">
        <v>8.7999999999999998E-5</v>
      </c>
      <c r="AD32" s="1">
        <v>0.81520999999999999</v>
      </c>
      <c r="AE32" s="1">
        <v>230.20259999999999</v>
      </c>
      <c r="AF32" s="1">
        <v>4.6634039999999999</v>
      </c>
      <c r="AG32" s="1">
        <v>4.7530000000000003E-2</v>
      </c>
      <c r="AH32" s="1">
        <v>7.2000000000000005E-4</v>
      </c>
      <c r="AI32" s="1">
        <v>0.19650000000000001</v>
      </c>
      <c r="AJ32" s="1">
        <v>1.56E-3</v>
      </c>
      <c r="AK32" s="1">
        <v>3.8999999999999999E-5</v>
      </c>
      <c r="AL32" s="1">
        <v>4.8090000000000002</v>
      </c>
      <c r="AM32" s="1">
        <v>4.5999999999999999E-2</v>
      </c>
      <c r="AN32" s="1">
        <v>28.28</v>
      </c>
      <c r="AO32" s="1">
        <v>0.64</v>
      </c>
      <c r="AP32" s="1">
        <v>27.94</v>
      </c>
      <c r="AQ32" s="1">
        <v>0.56999999999999995</v>
      </c>
      <c r="AR32" s="1">
        <v>31.52</v>
      </c>
      <c r="AS32" s="1">
        <v>0.79</v>
      </c>
      <c r="AT32" s="1">
        <v>77</v>
      </c>
      <c r="AU32" s="1">
        <v>34</v>
      </c>
      <c r="AV32" s="1">
        <v>179</v>
      </c>
      <c r="AW32" s="1">
        <v>18</v>
      </c>
      <c r="AX32" s="1">
        <v>37.799999999999997</v>
      </c>
      <c r="AY32" s="1">
        <v>2.8</v>
      </c>
      <c r="AZ32" s="1">
        <v>4924.5300000000007</v>
      </c>
      <c r="BA32" s="1">
        <v>465.75000000000006</v>
      </c>
      <c r="BB32" s="1">
        <v>1359.99</v>
      </c>
      <c r="BC32" s="1">
        <v>124.2</v>
      </c>
      <c r="BD32" s="1">
        <v>29124.9</v>
      </c>
      <c r="BE32" s="1">
        <v>2546.1</v>
      </c>
      <c r="BF32" s="1">
        <v>11.053800000000001</v>
      </c>
      <c r="BG32" s="1">
        <v>4.4712000000000005</v>
      </c>
      <c r="BH32" s="1">
        <f t="shared" si="14"/>
        <v>2634.8314606741574</v>
      </c>
      <c r="BI32" s="1">
        <f t="shared" si="15"/>
        <v>1090.3808988469482</v>
      </c>
    </row>
    <row r="33" spans="1:61" x14ac:dyDescent="0.2">
      <c r="A33" t="s">
        <v>623</v>
      </c>
      <c r="B33" t="s">
        <v>38</v>
      </c>
      <c r="C33" t="s">
        <v>624</v>
      </c>
      <c r="D33" t="s">
        <v>625</v>
      </c>
      <c r="E33">
        <v>10431</v>
      </c>
      <c r="F33">
        <v>49559</v>
      </c>
      <c r="G33" t="s">
        <v>625</v>
      </c>
      <c r="H33" s="1">
        <v>217.3</v>
      </c>
      <c r="I33" s="1">
        <v>77.099999999999994</v>
      </c>
      <c r="J33" s="11">
        <v>2.7029999999999998E-2</v>
      </c>
      <c r="K33" s="11">
        <f t="shared" ca="1" si="8"/>
        <v>1.1104721338241676E-3</v>
      </c>
      <c r="L33" s="8">
        <v>4.2709999999999996E-3</v>
      </c>
      <c r="M33" s="8">
        <f t="shared" ca="1" si="9"/>
        <v>1.1236359018828118E-4</v>
      </c>
      <c r="N33" s="8">
        <v>0.26086999999999999</v>
      </c>
      <c r="O33" s="9">
        <v>234.13720000000001</v>
      </c>
      <c r="P33" s="9">
        <f t="shared" ca="1" si="10"/>
        <v>6.1597979587535985</v>
      </c>
      <c r="Q33" s="10">
        <v>4.7E-2</v>
      </c>
      <c r="R33" s="10">
        <f t="shared" ca="1" si="11"/>
        <v>1.9425756098540926E-3</v>
      </c>
      <c r="S33" s="9">
        <f t="shared" si="12"/>
        <v>0.39925325309178722</v>
      </c>
      <c r="T33" s="12">
        <v>1.66E-3</v>
      </c>
      <c r="U33" s="12">
        <f t="shared" ca="1" si="13"/>
        <v>4.8971828636472213E-5</v>
      </c>
      <c r="V33" s="6" t="e">
        <f ca="1">IF(agePb6U8(1/O33)&lt;1400,age7corr(1/O33,Q33,$W$2),agePb76(Q33))</f>
        <v>#NAME?</v>
      </c>
      <c r="W33" s="6" t="e">
        <f ca="1">IF(agePb6U8(1/O33)&lt;1400,ageer7corr(V33,1/O33,P33/O33*(1/O33),Q33,R33,$W$2,0.05),ageerPb76(Q33,R33))</f>
        <v>#NAME?</v>
      </c>
      <c r="X33" s="4" t="e">
        <f ca="1">agePb6U8(L33)/agePb7u5(J33)</f>
        <v>#NAME?</v>
      </c>
      <c r="Z33" s="1">
        <v>2.7029999999999998E-2</v>
      </c>
      <c r="AA33" s="1">
        <v>9.7000000000000005E-4</v>
      </c>
      <c r="AB33" s="1">
        <v>4.2709999999999996E-3</v>
      </c>
      <c r="AC33" s="1">
        <v>7.2999999999999999E-5</v>
      </c>
      <c r="AD33" s="1">
        <v>0.26086999999999999</v>
      </c>
      <c r="AE33" s="1">
        <v>234.13720000000001</v>
      </c>
      <c r="AF33" s="1">
        <v>4.0018770000000004</v>
      </c>
      <c r="AG33" s="1">
        <v>4.7E-2</v>
      </c>
      <c r="AH33" s="1">
        <v>1.6999999999999999E-3</v>
      </c>
      <c r="AI33" s="1">
        <v>0.28936000000000001</v>
      </c>
      <c r="AJ33" s="1">
        <v>1.66E-3</v>
      </c>
      <c r="AK33" s="1">
        <v>3.6000000000000001E-5</v>
      </c>
      <c r="AL33" s="1">
        <v>7.84</v>
      </c>
      <c r="AM33" s="1">
        <v>0.21</v>
      </c>
      <c r="AN33" s="1">
        <v>27.08</v>
      </c>
      <c r="AO33" s="1">
        <v>0.95</v>
      </c>
      <c r="AP33" s="1">
        <v>27.47</v>
      </c>
      <c r="AQ33" s="1">
        <v>0.47</v>
      </c>
      <c r="AR33" s="1">
        <v>33.520000000000003</v>
      </c>
      <c r="AS33" s="1">
        <v>0.73</v>
      </c>
      <c r="AT33" s="1">
        <v>56</v>
      </c>
      <c r="AU33" s="1">
        <v>74</v>
      </c>
      <c r="AV33" s="1">
        <v>46.1</v>
      </c>
      <c r="AW33" s="1">
        <v>2.1</v>
      </c>
      <c r="AX33" s="1">
        <v>5.88</v>
      </c>
      <c r="AY33" s="1">
        <v>0.19</v>
      </c>
      <c r="AZ33" s="1">
        <v>787.428</v>
      </c>
      <c r="BA33" s="1">
        <v>22.355999999999998</v>
      </c>
      <c r="BB33" s="1">
        <v>345.89699999999999</v>
      </c>
      <c r="BC33" s="1">
        <v>14.283000000000001</v>
      </c>
      <c r="BD33" s="1">
        <v>7545.15</v>
      </c>
      <c r="BE33" s="1">
        <v>267.02999999999997</v>
      </c>
      <c r="BF33" s="1">
        <v>6.7067999999999994</v>
      </c>
      <c r="BG33" s="1">
        <v>4.968</v>
      </c>
      <c r="BH33" s="1">
        <f t="shared" si="14"/>
        <v>1125</v>
      </c>
      <c r="BI33" s="1">
        <f t="shared" si="15"/>
        <v>834.28392284832057</v>
      </c>
    </row>
    <row r="34" spans="1:61" x14ac:dyDescent="0.2">
      <c r="A34" t="s">
        <v>626</v>
      </c>
      <c r="B34" t="s">
        <v>38</v>
      </c>
      <c r="C34" t="s">
        <v>627</v>
      </c>
      <c r="D34" t="s">
        <v>628</v>
      </c>
      <c r="E34">
        <v>10313</v>
      </c>
      <c r="F34">
        <v>49434</v>
      </c>
      <c r="G34" t="s">
        <v>628</v>
      </c>
      <c r="H34" s="1">
        <v>157.5</v>
      </c>
      <c r="I34" s="1">
        <v>115.1</v>
      </c>
      <c r="J34" s="11">
        <v>3.3099999999999997E-2</v>
      </c>
      <c r="K34" s="11">
        <f t="shared" ca="1" si="8"/>
        <v>3.0721725211973368E-3</v>
      </c>
      <c r="L34" s="8">
        <v>4.3039999999999997E-3</v>
      </c>
      <c r="M34" s="8">
        <f t="shared" ca="1" si="9"/>
        <v>1.0324130181279196E-4</v>
      </c>
      <c r="N34" s="8">
        <v>0.5554</v>
      </c>
      <c r="O34" s="9">
        <v>232.34200000000001</v>
      </c>
      <c r="P34" s="9">
        <f t="shared" ca="1" si="10"/>
        <v>5.5732552485957427</v>
      </c>
      <c r="Q34" s="10">
        <v>5.5399999999999998E-2</v>
      </c>
      <c r="R34" s="10">
        <f t="shared" ca="1" si="11"/>
        <v>4.2470771125563524E-3</v>
      </c>
      <c r="S34" s="9">
        <f t="shared" si="12"/>
        <v>0.22573382843637263</v>
      </c>
      <c r="T34" s="12">
        <v>1.5679999999999999E-3</v>
      </c>
      <c r="U34" s="12">
        <f t="shared" ca="1" si="13"/>
        <v>6.3312317916816157E-5</v>
      </c>
      <c r="V34" s="6" t="e">
        <f ca="1">IF(agePb6U8(1/O34)&lt;1400,age7corr(1/O34,Q34,$W$2),agePb76(Q34))</f>
        <v>#NAME?</v>
      </c>
      <c r="W34" s="6" t="e">
        <f ca="1">IF(agePb6U8(1/O34)&lt;1400,ageer7corr(V34,1/O34,P34/O34*(1/O34),Q34,R34,$W$2,0.05),ageerPb76(Q34,R34))</f>
        <v>#NAME?</v>
      </c>
      <c r="X34" s="4" t="e">
        <f ca="1">agePb6U8(L34)/agePb7u5(J34)</f>
        <v>#NAME?</v>
      </c>
      <c r="Z34" s="1">
        <v>3.3099999999999997E-2</v>
      </c>
      <c r="AA34" s="1">
        <v>3.0000000000000001E-3</v>
      </c>
      <c r="AB34" s="1">
        <v>4.3039999999999997E-3</v>
      </c>
      <c r="AC34" s="1">
        <v>5.7000000000000003E-5</v>
      </c>
      <c r="AD34" s="1">
        <v>0.5554</v>
      </c>
      <c r="AE34" s="1">
        <v>232.34200000000001</v>
      </c>
      <c r="AF34" s="1">
        <v>3.0770200000000001</v>
      </c>
      <c r="AG34" s="1">
        <v>5.5399999999999998E-2</v>
      </c>
      <c r="AH34" s="1">
        <v>4.1000000000000003E-3</v>
      </c>
      <c r="AI34" s="1">
        <v>-0.45129999999999998</v>
      </c>
      <c r="AJ34" s="1">
        <v>1.5679999999999999E-3</v>
      </c>
      <c r="AK34" s="1">
        <v>5.5000000000000002E-5</v>
      </c>
      <c r="AL34" s="1">
        <v>3.91</v>
      </c>
      <c r="AM34" s="1">
        <v>0.16</v>
      </c>
      <c r="AN34" s="1">
        <v>33</v>
      </c>
      <c r="AO34" s="1">
        <v>2.9</v>
      </c>
      <c r="AP34" s="1">
        <v>27.69</v>
      </c>
      <c r="AQ34" s="1">
        <v>0.37</v>
      </c>
      <c r="AR34" s="1">
        <v>31.7</v>
      </c>
      <c r="AS34" s="1">
        <v>1.1000000000000001</v>
      </c>
      <c r="AT34" s="1">
        <v>390</v>
      </c>
      <c r="AU34" s="1">
        <v>140</v>
      </c>
      <c r="AV34" s="1">
        <v>33.39</v>
      </c>
      <c r="AW34" s="1">
        <v>0.83</v>
      </c>
      <c r="AX34" s="1">
        <v>8.7899999999999991</v>
      </c>
      <c r="AY34" s="1">
        <v>0.25</v>
      </c>
      <c r="AZ34" s="1">
        <v>1147.6079999999999</v>
      </c>
      <c r="BA34" s="1">
        <v>47.817000000000007</v>
      </c>
      <c r="BB34" s="1">
        <v>298.08</v>
      </c>
      <c r="BC34" s="1">
        <v>19.872</v>
      </c>
      <c r="BD34" s="1">
        <v>5595.21</v>
      </c>
      <c r="BE34" s="1">
        <v>130.41</v>
      </c>
      <c r="BF34" s="1">
        <v>18.6921</v>
      </c>
      <c r="BG34" s="1">
        <v>5.3406000000000002</v>
      </c>
      <c r="BH34" s="1">
        <f t="shared" si="14"/>
        <v>299.33554817275746</v>
      </c>
      <c r="BI34" s="1">
        <f t="shared" si="15"/>
        <v>85.80853801436578</v>
      </c>
    </row>
    <row r="35" spans="1:61" x14ac:dyDescent="0.2">
      <c r="A35" t="s">
        <v>566</v>
      </c>
      <c r="B35" t="s">
        <v>38</v>
      </c>
      <c r="C35" t="s">
        <v>567</v>
      </c>
      <c r="D35" t="s">
        <v>568</v>
      </c>
      <c r="E35">
        <v>10314</v>
      </c>
      <c r="F35">
        <v>56042</v>
      </c>
      <c r="G35" t="s">
        <v>568</v>
      </c>
      <c r="H35" s="1">
        <v>602</v>
      </c>
      <c r="I35" s="1">
        <v>60.83</v>
      </c>
      <c r="J35" s="11">
        <v>2.879E-2</v>
      </c>
      <c r="K35" s="11">
        <f t="shared" ca="1" si="8"/>
        <v>1.0019708778203087E-3</v>
      </c>
      <c r="L35" s="8">
        <v>4.2160000000000001E-3</v>
      </c>
      <c r="M35" s="8">
        <f t="shared" ca="1" si="9"/>
        <v>1.1554593199243321E-4</v>
      </c>
      <c r="N35" s="8">
        <v>0.83953999999999995</v>
      </c>
      <c r="O35" s="9">
        <v>237.1917</v>
      </c>
      <c r="P35" s="9">
        <f t="shared" ca="1" si="10"/>
        <v>6.5006005830581532</v>
      </c>
      <c r="Q35" s="10">
        <v>4.9430000000000002E-2</v>
      </c>
      <c r="R35" s="10">
        <f t="shared" ca="1" si="11"/>
        <v>1.3710689114701713E-3</v>
      </c>
      <c r="S35" s="9">
        <f t="shared" si="12"/>
        <v>0.45526942515013702</v>
      </c>
      <c r="T35" s="12">
        <v>1.3680000000000001E-3</v>
      </c>
      <c r="U35" s="12">
        <f t="shared" ca="1" si="13"/>
        <v>5.9645365285158576E-5</v>
      </c>
      <c r="V35" s="6" t="e">
        <f ca="1">IF(agePb6U8(1/O35)&lt;1400,age7corr(1/O35,Q35,$W$2),agePb76(Q35))</f>
        <v>#NAME?</v>
      </c>
      <c r="W35" s="6" t="e">
        <f ca="1">IF(agePb6U8(1/O35)&lt;1400,ageer7corr(V35,1/O35,P35/O35*(1/O35),Q35,R35,$W$2,0.05),ageerPb76(Q35,R35))</f>
        <v>#NAME?</v>
      </c>
      <c r="X35" s="4" t="e">
        <f ca="1">agePb6U8(L35)/agePb7u5(J35)</f>
        <v>#NAME?</v>
      </c>
      <c r="Z35" s="1">
        <v>2.879E-2</v>
      </c>
      <c r="AA35" s="1">
        <v>8.1999999999999998E-4</v>
      </c>
      <c r="AB35" s="1">
        <v>4.2160000000000001E-3</v>
      </c>
      <c r="AC35" s="1">
        <v>7.8999999999999996E-5</v>
      </c>
      <c r="AD35" s="1">
        <v>0.83953999999999995</v>
      </c>
      <c r="AE35" s="1">
        <v>237.1917</v>
      </c>
      <c r="AF35" s="1">
        <v>4.4445300000000003</v>
      </c>
      <c r="AG35" s="1">
        <v>4.9430000000000002E-2</v>
      </c>
      <c r="AH35" s="1">
        <v>9.5E-4</v>
      </c>
      <c r="AI35" s="1">
        <v>-0.32240999999999997</v>
      </c>
      <c r="AJ35" s="1">
        <v>1.3680000000000001E-3</v>
      </c>
      <c r="AK35" s="1">
        <v>5.3000000000000001E-5</v>
      </c>
      <c r="AL35" s="1">
        <v>32.1</v>
      </c>
      <c r="AM35" s="1">
        <v>1.1000000000000001</v>
      </c>
      <c r="AN35" s="1">
        <v>28.82</v>
      </c>
      <c r="AO35" s="1">
        <v>0.81</v>
      </c>
      <c r="AP35" s="1">
        <v>27.12</v>
      </c>
      <c r="AQ35" s="1">
        <v>0.51</v>
      </c>
      <c r="AR35" s="1">
        <v>27.6</v>
      </c>
      <c r="AS35" s="1">
        <v>1.1000000000000001</v>
      </c>
      <c r="AT35" s="1">
        <v>165</v>
      </c>
      <c r="AU35" s="1">
        <v>45</v>
      </c>
      <c r="AV35" s="1">
        <v>127.7</v>
      </c>
      <c r="AW35" s="1">
        <v>5.2</v>
      </c>
      <c r="AX35" s="1">
        <v>4.649</v>
      </c>
      <c r="AY35" s="1">
        <v>6.8999999999999992E-2</v>
      </c>
      <c r="AZ35" s="1">
        <v>519.77699999999993</v>
      </c>
      <c r="BA35" s="1">
        <v>20.492999999999999</v>
      </c>
      <c r="BB35" s="1">
        <v>1030.8599999999999</v>
      </c>
      <c r="BC35" s="1">
        <v>50.921999999999997</v>
      </c>
      <c r="BD35" s="1">
        <v>21114</v>
      </c>
      <c r="BE35" s="1">
        <v>869.4</v>
      </c>
      <c r="BF35" s="1">
        <v>3.7259999999999995</v>
      </c>
      <c r="BG35" s="1">
        <v>4.7196000000000007</v>
      </c>
      <c r="BH35" s="1">
        <f t="shared" si="14"/>
        <v>5666.666666666667</v>
      </c>
      <c r="BI35" s="1">
        <f t="shared" si="15"/>
        <v>7181.5693460137936</v>
      </c>
    </row>
    <row r="36" spans="1:61" x14ac:dyDescent="0.2">
      <c r="A36" t="s">
        <v>635</v>
      </c>
      <c r="B36" t="s">
        <v>38</v>
      </c>
      <c r="C36" t="s">
        <v>636</v>
      </c>
      <c r="D36" t="s">
        <v>637</v>
      </c>
      <c r="E36">
        <v>10386</v>
      </c>
      <c r="F36">
        <v>49284</v>
      </c>
      <c r="G36" t="s">
        <v>637</v>
      </c>
      <c r="H36" s="1">
        <v>456</v>
      </c>
      <c r="I36" s="1">
        <v>241.6</v>
      </c>
      <c r="J36" s="11">
        <v>4.7600000000000003E-2</v>
      </c>
      <c r="K36" s="11">
        <f t="shared" ca="1" si="8"/>
        <v>2.8629187903257058E-3</v>
      </c>
      <c r="L36" s="8">
        <v>4.6039999999999996E-3</v>
      </c>
      <c r="M36" s="8">
        <f t="shared" ca="1" si="9"/>
        <v>1.3158543384432793E-4</v>
      </c>
      <c r="N36" s="8">
        <v>0.65520999999999996</v>
      </c>
      <c r="O36" s="9">
        <v>217.20240000000001</v>
      </c>
      <c r="P36" s="9">
        <f t="shared" ca="1" si="10"/>
        <v>6.2077917591272342</v>
      </c>
      <c r="Q36" s="10">
        <v>7.4499999999999997E-2</v>
      </c>
      <c r="R36" s="10">
        <f t="shared" ca="1" si="11"/>
        <v>3.3496417718914362E-3</v>
      </c>
      <c r="S36" s="9">
        <f t="shared" si="12"/>
        <v>0.32839022445024074</v>
      </c>
      <c r="T36" s="12">
        <v>2.3800000000000002E-3</v>
      </c>
      <c r="U36" s="12">
        <f t="shared" ca="1" si="13"/>
        <v>1.2909593332092223E-4</v>
      </c>
      <c r="V36" s="6" t="e">
        <f ca="1">IF(agePb6U8(1/O36)&lt;1400,age7corr(1/O36,Q36,$W$2),agePb76(Q36))</f>
        <v>#NAME?</v>
      </c>
      <c r="W36" s="6" t="e">
        <f ca="1">IF(agePb6U8(1/O36)&lt;1400,ageer7corr(V36,1/O36,P36/O36*(1/O36),Q36,R36,$W$2,0.05),ageerPb76(Q36,R36))</f>
        <v>#NAME?</v>
      </c>
      <c r="X36" s="4" t="e">
        <f ca="1">agePb6U8(L36)/agePb7u5(J36)</f>
        <v>#NAME?</v>
      </c>
      <c r="Z36" s="1">
        <v>4.7600000000000003E-2</v>
      </c>
      <c r="AA36" s="1">
        <v>2.7000000000000001E-3</v>
      </c>
      <c r="AB36" s="1">
        <v>4.6039999999999996E-3</v>
      </c>
      <c r="AC36" s="1">
        <v>9.3999999999999994E-5</v>
      </c>
      <c r="AD36" s="1">
        <v>0.65520999999999996</v>
      </c>
      <c r="AE36" s="1">
        <v>217.20240000000001</v>
      </c>
      <c r="AF36" s="1">
        <v>4.434628</v>
      </c>
      <c r="AG36" s="1">
        <v>7.4499999999999997E-2</v>
      </c>
      <c r="AH36" s="1">
        <v>3.0000000000000001E-3</v>
      </c>
      <c r="AI36" s="1">
        <v>-0.48805999999999999</v>
      </c>
      <c r="AJ36" s="1">
        <v>2.3800000000000002E-3</v>
      </c>
      <c r="AK36" s="1">
        <v>1.2E-4</v>
      </c>
      <c r="AL36" s="1">
        <v>4.13</v>
      </c>
      <c r="AM36" s="1">
        <v>0.12</v>
      </c>
      <c r="AN36" s="1">
        <v>47.3</v>
      </c>
      <c r="AO36" s="1">
        <v>2.6</v>
      </c>
      <c r="AP36" s="1">
        <v>29.61</v>
      </c>
      <c r="AQ36" s="1">
        <v>0.6</v>
      </c>
      <c r="AR36" s="1">
        <v>48.1</v>
      </c>
      <c r="AS36" s="1">
        <v>2.5</v>
      </c>
      <c r="AT36" s="1">
        <v>1048</v>
      </c>
      <c r="AU36" s="1">
        <v>80</v>
      </c>
      <c r="AV36" s="1">
        <v>96.699999999999989</v>
      </c>
      <c r="AW36" s="1">
        <v>3.1</v>
      </c>
      <c r="AX36" s="1">
        <v>18.440000000000001</v>
      </c>
      <c r="AY36" s="1">
        <v>0.55999999999999994</v>
      </c>
      <c r="AZ36" s="1">
        <v>3446.55</v>
      </c>
      <c r="BA36" s="1">
        <v>192.51</v>
      </c>
      <c r="BB36" s="1">
        <v>1285.47</v>
      </c>
      <c r="BC36" s="1">
        <v>86.94</v>
      </c>
      <c r="BD36" s="1">
        <v>17648.82</v>
      </c>
      <c r="BE36" s="1">
        <v>602.37</v>
      </c>
      <c r="BF36" s="1">
        <v>42.848999999999997</v>
      </c>
      <c r="BG36" s="1">
        <v>11.799000000000001</v>
      </c>
      <c r="BH36" s="1">
        <f t="shared" si="14"/>
        <v>411.8840579710145</v>
      </c>
      <c r="BI36" s="1">
        <f t="shared" si="15"/>
        <v>114.28526445022686</v>
      </c>
    </row>
    <row r="37" spans="1:61" x14ac:dyDescent="0.2">
      <c r="A37" t="s">
        <v>638</v>
      </c>
      <c r="B37" t="s">
        <v>38</v>
      </c>
      <c r="C37" t="s">
        <v>639</v>
      </c>
      <c r="D37" t="s">
        <v>640</v>
      </c>
      <c r="E37">
        <v>10365</v>
      </c>
      <c r="F37">
        <v>48666</v>
      </c>
      <c r="G37" t="s">
        <v>640</v>
      </c>
      <c r="H37" s="1">
        <v>550</v>
      </c>
      <c r="I37" s="1">
        <v>312</v>
      </c>
      <c r="J37" s="11">
        <v>3.1300000000000001E-2</v>
      </c>
      <c r="K37" s="11">
        <f t="shared" ca="1" si="8"/>
        <v>1.8115948774491497E-3</v>
      </c>
      <c r="L37" s="8">
        <v>4.3899999999999998E-3</v>
      </c>
      <c r="M37" s="8">
        <f t="shared" ca="1" si="9"/>
        <v>1.4074388086165595E-4</v>
      </c>
      <c r="N37" s="8">
        <v>0.40625</v>
      </c>
      <c r="O37" s="9">
        <v>227.79040000000001</v>
      </c>
      <c r="P37" s="9">
        <f t="shared" ca="1" si="10"/>
        <v>7.3029858641622063</v>
      </c>
      <c r="Q37" s="10">
        <v>5.2200000000000003E-2</v>
      </c>
      <c r="R37" s="10">
        <f t="shared" ca="1" si="11"/>
        <v>2.7092316253875376E-3</v>
      </c>
      <c r="S37" s="9">
        <f t="shared" si="12"/>
        <v>0.3275477327832671</v>
      </c>
      <c r="T37" s="12">
        <v>1.578E-3</v>
      </c>
      <c r="U37" s="12">
        <f t="shared" ca="1" si="13"/>
        <v>7.8613189733021274E-5</v>
      </c>
      <c r="V37" s="6" t="e">
        <f ca="1">IF(agePb6U8(1/O37)&lt;1400,age7corr(1/O37,Q37,$W$2),agePb76(Q37))</f>
        <v>#NAME?</v>
      </c>
      <c r="W37" s="6" t="e">
        <f ca="1">IF(agePb6U8(1/O37)&lt;1400,ageer7corr(V37,1/O37,P37/O37*(1/O37),Q37,R37,$W$2,0.05),ageerPb76(Q37,R37))</f>
        <v>#NAME?</v>
      </c>
      <c r="X37" s="4" t="e">
        <f ca="1">agePb6U8(L37)/agePb7u5(J37)</f>
        <v>#NAME?</v>
      </c>
      <c r="Z37" s="1">
        <v>3.1300000000000001E-2</v>
      </c>
      <c r="AA37" s="1">
        <v>1.6999999999999999E-3</v>
      </c>
      <c r="AB37" s="1">
        <v>4.3899999999999998E-3</v>
      </c>
      <c r="AC37" s="1">
        <v>1.1E-4</v>
      </c>
      <c r="AD37" s="1">
        <v>0.40625</v>
      </c>
      <c r="AE37" s="1">
        <v>227.79040000000001</v>
      </c>
      <c r="AF37" s="1">
        <v>5.7077330000000002</v>
      </c>
      <c r="AG37" s="1">
        <v>5.2200000000000003E-2</v>
      </c>
      <c r="AH37" s="1">
        <v>2.5000000000000001E-3</v>
      </c>
      <c r="AI37" s="1">
        <v>-5.5309999999999998E-2</v>
      </c>
      <c r="AJ37" s="1">
        <v>1.578E-3</v>
      </c>
      <c r="AK37" s="1">
        <v>7.2000000000000002E-5</v>
      </c>
      <c r="AL37" s="1">
        <v>5.0999999999999996</v>
      </c>
      <c r="AM37" s="1">
        <v>0.11</v>
      </c>
      <c r="AN37" s="1">
        <v>31.3</v>
      </c>
      <c r="AO37" s="1">
        <v>1.7</v>
      </c>
      <c r="AP37" s="1">
        <v>28.26</v>
      </c>
      <c r="AQ37" s="1">
        <v>0.69</v>
      </c>
      <c r="AR37" s="1">
        <v>31.9</v>
      </c>
      <c r="AS37" s="1">
        <v>1.4</v>
      </c>
      <c r="AT37" s="1">
        <v>310</v>
      </c>
      <c r="AU37" s="1">
        <v>110</v>
      </c>
      <c r="AV37" s="1">
        <v>116.6</v>
      </c>
      <c r="AW37" s="1">
        <v>3</v>
      </c>
      <c r="AX37" s="1">
        <v>23.8</v>
      </c>
      <c r="AY37" s="1">
        <v>0.96000000000000008</v>
      </c>
      <c r="AZ37" s="1">
        <v>3154.6800000000003</v>
      </c>
      <c r="BA37" s="1">
        <v>117.99</v>
      </c>
      <c r="BB37" s="1">
        <v>1024.6500000000001</v>
      </c>
      <c r="BC37" s="1">
        <v>61.478999999999999</v>
      </c>
      <c r="BD37" s="1">
        <v>19816.11</v>
      </c>
      <c r="BE37" s="1">
        <v>577.53000000000009</v>
      </c>
      <c r="BF37" s="1">
        <v>13.041</v>
      </c>
      <c r="BG37" s="1">
        <v>6.8310000000000004</v>
      </c>
      <c r="BH37" s="1">
        <f t="shared" si="14"/>
        <v>1519.5238095238096</v>
      </c>
      <c r="BI37" s="1">
        <f t="shared" si="15"/>
        <v>797.17210723612448</v>
      </c>
    </row>
    <row r="38" spans="1:61" x14ac:dyDescent="0.2">
      <c r="A38" t="s">
        <v>641</v>
      </c>
      <c r="B38" t="s">
        <v>38</v>
      </c>
      <c r="C38" t="s">
        <v>642</v>
      </c>
      <c r="D38" t="s">
        <v>643</v>
      </c>
      <c r="E38">
        <v>10219</v>
      </c>
      <c r="F38">
        <v>48043</v>
      </c>
      <c r="G38" t="s">
        <v>643</v>
      </c>
      <c r="H38" s="1">
        <v>104.5</v>
      </c>
      <c r="I38" s="1">
        <v>33.5</v>
      </c>
      <c r="J38" s="11">
        <v>3.1800000000000002E-2</v>
      </c>
      <c r="K38" s="11">
        <f t="shared" ca="1" si="8"/>
        <v>1.909056311374811E-3</v>
      </c>
      <c r="L38" s="8">
        <v>4.64E-3</v>
      </c>
      <c r="M38" s="8">
        <f t="shared" ca="1" si="9"/>
        <v>2.6666803332983132E-4</v>
      </c>
      <c r="N38" s="8">
        <v>0.57686999999999999</v>
      </c>
      <c r="O38" s="9">
        <v>215.5172</v>
      </c>
      <c r="P38" s="9">
        <f t="shared" ca="1" si="10"/>
        <v>12.386111233342611</v>
      </c>
      <c r="Q38" s="10">
        <v>5.0799999999999998E-2</v>
      </c>
      <c r="R38" s="10">
        <f t="shared" ca="1" si="11"/>
        <v>2.3328643338179781E-3</v>
      </c>
      <c r="S38" s="9">
        <f t="shared" si="12"/>
        <v>0.45765813482154799</v>
      </c>
      <c r="T38" s="12">
        <v>2.0820000000000001E-3</v>
      </c>
      <c r="U38" s="12">
        <f t="shared" ca="1" si="13"/>
        <v>8.2309717530799494E-5</v>
      </c>
      <c r="V38" s="6" t="e">
        <f ca="1">IF(agePb6U8(1/O38)&lt;1400,age7corr(1/O38,Q38,$W$2),agePb76(Q38))</f>
        <v>#NAME?</v>
      </c>
      <c r="W38" s="6" t="e">
        <f ca="1">IF(agePb6U8(1/O38)&lt;1400,ageer7corr(V38,1/O38,P38/O38*(1/O38),Q38,R38,$W$2,0.05),ageerPb76(Q38,R38))</f>
        <v>#NAME?</v>
      </c>
      <c r="X38" s="4" t="e">
        <f ca="1">agePb6U8(L38)/agePb7u5(J38)</f>
        <v>#NAME?</v>
      </c>
      <c r="Z38" s="1">
        <v>3.1800000000000002E-2</v>
      </c>
      <c r="AA38" s="1">
        <v>1.8E-3</v>
      </c>
      <c r="AB38" s="1">
        <v>4.64E-3</v>
      </c>
      <c r="AC38" s="1">
        <v>2.5000000000000001E-4</v>
      </c>
      <c r="AD38" s="1">
        <v>0.57686999999999999</v>
      </c>
      <c r="AE38" s="1">
        <v>215.5172</v>
      </c>
      <c r="AF38" s="1">
        <v>11.61192</v>
      </c>
      <c r="AG38" s="1">
        <v>5.0799999999999998E-2</v>
      </c>
      <c r="AH38" s="1">
        <v>2.0999999999999999E-3</v>
      </c>
      <c r="AI38" s="1">
        <v>0.27393000000000001</v>
      </c>
      <c r="AJ38" s="1">
        <v>2.0820000000000001E-3</v>
      </c>
      <c r="AK38" s="1">
        <v>7.1000000000000005E-5</v>
      </c>
      <c r="AL38" s="1">
        <v>7.4</v>
      </c>
      <c r="AM38" s="1">
        <v>0.26</v>
      </c>
      <c r="AN38" s="1">
        <v>31.8</v>
      </c>
      <c r="AO38" s="1">
        <v>1.8</v>
      </c>
      <c r="AP38" s="1">
        <v>29.8</v>
      </c>
      <c r="AQ38" s="1">
        <v>1.6</v>
      </c>
      <c r="AR38" s="1">
        <v>42</v>
      </c>
      <c r="AS38" s="1">
        <v>1.4</v>
      </c>
      <c r="AT38" s="1">
        <v>225</v>
      </c>
      <c r="AU38" s="1">
        <v>89</v>
      </c>
      <c r="AV38" s="1">
        <v>22.1</v>
      </c>
      <c r="AW38" s="1">
        <v>1.3</v>
      </c>
      <c r="AX38" s="1">
        <v>2.56</v>
      </c>
      <c r="AY38" s="1">
        <v>0.18000000000000002</v>
      </c>
      <c r="AZ38" s="1">
        <v>436.56299999999999</v>
      </c>
      <c r="BA38" s="1">
        <v>27.945</v>
      </c>
      <c r="BB38" s="1">
        <v>194.37299999999999</v>
      </c>
      <c r="BC38" s="1">
        <v>13.662000000000001</v>
      </c>
      <c r="BD38" s="1">
        <v>3980.61</v>
      </c>
      <c r="BE38" s="1">
        <v>235.98</v>
      </c>
      <c r="BF38" s="1">
        <v>-0.3105</v>
      </c>
      <c r="BG38" s="1">
        <v>8.0729999999999986</v>
      </c>
      <c r="BH38" s="1">
        <f t="shared" si="14"/>
        <v>-12820</v>
      </c>
      <c r="BI38" s="1">
        <f t="shared" si="15"/>
        <v>-333320.86643353122</v>
      </c>
    </row>
    <row r="39" spans="1:61" x14ac:dyDescent="0.2">
      <c r="A39" t="s">
        <v>644</v>
      </c>
      <c r="B39" t="s">
        <v>38</v>
      </c>
      <c r="C39" t="s">
        <v>645</v>
      </c>
      <c r="D39" t="s">
        <v>646</v>
      </c>
      <c r="E39">
        <v>10331</v>
      </c>
      <c r="F39">
        <v>47581</v>
      </c>
      <c r="G39" t="s">
        <v>646</v>
      </c>
      <c r="H39" s="1">
        <v>807</v>
      </c>
      <c r="I39" s="1">
        <v>662</v>
      </c>
      <c r="J39" s="11">
        <v>2.6530000000000001E-2</v>
      </c>
      <c r="K39" s="11">
        <f t="shared" ca="1" si="8"/>
        <v>8.8636130330695291E-4</v>
      </c>
      <c r="L39" s="8">
        <v>4.0870000000000004E-3</v>
      </c>
      <c r="M39" s="8">
        <f t="shared" ca="1" si="9"/>
        <v>9.3794603256264187E-5</v>
      </c>
      <c r="N39" s="8">
        <v>0.53413999999999995</v>
      </c>
      <c r="O39" s="9">
        <v>244.6782</v>
      </c>
      <c r="P39" s="9">
        <f t="shared" ca="1" si="10"/>
        <v>5.6152421895854143</v>
      </c>
      <c r="Q39" s="10">
        <v>4.7300000000000002E-2</v>
      </c>
      <c r="R39" s="10">
        <f t="shared" ca="1" si="11"/>
        <v>1.4508328642541843E-3</v>
      </c>
      <c r="S39" s="9">
        <f t="shared" si="12"/>
        <v>0.49537222055317454</v>
      </c>
      <c r="T39" s="12">
        <v>1.3979999999999999E-3</v>
      </c>
      <c r="U39" s="12">
        <f t="shared" ca="1" si="13"/>
        <v>3.3252993850178363E-5</v>
      </c>
      <c r="V39" s="6" t="e">
        <f ca="1">IF(agePb6U8(1/O39)&lt;1400,age7corr(1/O39,Q39,$W$2),agePb76(Q39))</f>
        <v>#NAME?</v>
      </c>
      <c r="W39" s="6" t="e">
        <f ca="1">IF(agePb6U8(1/O39)&lt;1400,ageer7corr(V39,1/O39,P39/O39*(1/O39),Q39,R39,$W$2,0.05),ageerPb76(Q39,R39))</f>
        <v>#NAME?</v>
      </c>
      <c r="X39" s="4" t="e">
        <f ca="1">agePb6U8(L39)/agePb7u5(J39)</f>
        <v>#NAME?</v>
      </c>
      <c r="Z39" s="1">
        <v>2.6530000000000001E-2</v>
      </c>
      <c r="AA39" s="1">
        <v>7.1000000000000002E-4</v>
      </c>
      <c r="AB39" s="1">
        <v>4.0870000000000004E-3</v>
      </c>
      <c r="AC39" s="1">
        <v>4.6E-5</v>
      </c>
      <c r="AD39" s="1">
        <v>0.53413999999999995</v>
      </c>
      <c r="AE39" s="1">
        <v>244.6782</v>
      </c>
      <c r="AF39" s="1">
        <v>2.7539020000000001</v>
      </c>
      <c r="AG39" s="1">
        <v>4.7300000000000002E-2</v>
      </c>
      <c r="AH39" s="1">
        <v>1.1000000000000001E-3</v>
      </c>
      <c r="AI39" s="1">
        <v>-0.1179</v>
      </c>
      <c r="AJ39" s="1">
        <v>1.3979999999999999E-3</v>
      </c>
      <c r="AK39" s="1">
        <v>1.8E-5</v>
      </c>
      <c r="AL39" s="1">
        <v>3.84</v>
      </c>
      <c r="AM39" s="1">
        <v>0.14000000000000001</v>
      </c>
      <c r="AN39" s="1">
        <v>26.59</v>
      </c>
      <c r="AO39" s="1">
        <v>0.7</v>
      </c>
      <c r="AP39" s="1">
        <v>26.3</v>
      </c>
      <c r="AQ39" s="1">
        <v>0.3</v>
      </c>
      <c r="AR39" s="1">
        <v>28.25</v>
      </c>
      <c r="AS39" s="1">
        <v>0.36</v>
      </c>
      <c r="AT39" s="1">
        <v>55</v>
      </c>
      <c r="AU39" s="1">
        <v>52</v>
      </c>
      <c r="AV39" s="1">
        <v>170.8</v>
      </c>
      <c r="AW39" s="1">
        <v>5.7</v>
      </c>
      <c r="AX39" s="1">
        <v>50.5</v>
      </c>
      <c r="AY39" s="1">
        <v>5.4</v>
      </c>
      <c r="AZ39" s="1">
        <v>5651.0999999999995</v>
      </c>
      <c r="BA39" s="1">
        <v>428.49</v>
      </c>
      <c r="BB39" s="1">
        <v>1266.8400000000001</v>
      </c>
      <c r="BC39" s="1">
        <v>62.1</v>
      </c>
      <c r="BD39" s="1">
        <v>27386.1</v>
      </c>
      <c r="BE39" s="1">
        <v>1117.8000000000002</v>
      </c>
      <c r="BF39" s="1">
        <v>4.2848999999999995</v>
      </c>
      <c r="BG39" s="1">
        <v>4.7816999999999998</v>
      </c>
      <c r="BH39" s="1">
        <f t="shared" si="14"/>
        <v>6391.304347826087</v>
      </c>
      <c r="BI39" s="1">
        <f t="shared" si="15"/>
        <v>7137.0942867584517</v>
      </c>
    </row>
    <row r="40" spans="1:61" x14ac:dyDescent="0.2">
      <c r="A40" t="s">
        <v>647</v>
      </c>
      <c r="B40" t="s">
        <v>38</v>
      </c>
      <c r="C40" t="s">
        <v>648</v>
      </c>
      <c r="D40" t="s">
        <v>649</v>
      </c>
      <c r="E40">
        <v>10424</v>
      </c>
      <c r="F40">
        <v>46246</v>
      </c>
      <c r="G40" t="s">
        <v>649</v>
      </c>
      <c r="H40" s="1">
        <v>214</v>
      </c>
      <c r="I40" s="1">
        <v>189</v>
      </c>
      <c r="J40" s="11">
        <v>3.3399999999999999E-2</v>
      </c>
      <c r="K40" s="11">
        <f t="shared" ca="1" si="8"/>
        <v>2.2991789838983832E-3</v>
      </c>
      <c r="L40" s="8">
        <v>4.2240000000000003E-3</v>
      </c>
      <c r="M40" s="8">
        <f t="shared" ca="1" si="9"/>
        <v>1.0538439353149024E-4</v>
      </c>
      <c r="N40" s="8">
        <v>0.81111</v>
      </c>
      <c r="O40" s="9">
        <v>236.7424</v>
      </c>
      <c r="P40" s="9">
        <f t="shared" ca="1" si="10"/>
        <v>5.9064758564464652</v>
      </c>
      <c r="Q40" s="10">
        <v>5.7200000000000001E-2</v>
      </c>
      <c r="R40" s="10">
        <f t="shared" ca="1" si="11"/>
        <v>3.3983431257011117E-3</v>
      </c>
      <c r="S40" s="9">
        <f t="shared" si="12"/>
        <v>0.52121011534450201</v>
      </c>
      <c r="T40" s="12">
        <v>1.271E-3</v>
      </c>
      <c r="U40" s="12">
        <f t="shared" ca="1" si="13"/>
        <v>6.0590233536437212E-5</v>
      </c>
      <c r="V40" s="6" t="e">
        <f ca="1">IF(agePb6U8(1/O40)&lt;1400,age7corr(1/O40,Q40,$W$2),agePb76(Q40))</f>
        <v>#NAME?</v>
      </c>
      <c r="W40" s="6" t="e">
        <f ca="1">IF(agePb6U8(1/O40)&lt;1400,ageer7corr(V40,1/O40,P40/O40*(1/O40),Q40,R40,$W$2,0.05),ageerPb76(Q40,R40))</f>
        <v>#NAME?</v>
      </c>
      <c r="X40" s="4" t="e">
        <f ca="1">agePb6U8(L40)/agePb7u5(J40)</f>
        <v>#NAME?</v>
      </c>
      <c r="Z40" s="1">
        <v>3.3399999999999999E-2</v>
      </c>
      <c r="AA40" s="1">
        <v>2.2000000000000001E-3</v>
      </c>
      <c r="AB40" s="1">
        <v>4.2240000000000003E-3</v>
      </c>
      <c r="AC40" s="1">
        <v>6.3E-5</v>
      </c>
      <c r="AD40" s="1">
        <v>0.81111</v>
      </c>
      <c r="AE40" s="1">
        <v>236.7424</v>
      </c>
      <c r="AF40" s="1">
        <v>3.5309590000000002</v>
      </c>
      <c r="AG40" s="1">
        <v>5.7200000000000001E-2</v>
      </c>
      <c r="AH40" s="1">
        <v>3.2000000000000002E-3</v>
      </c>
      <c r="AI40" s="1">
        <v>-0.72667999999999999</v>
      </c>
      <c r="AJ40" s="1">
        <v>1.271E-3</v>
      </c>
      <c r="AK40" s="1">
        <v>5.5000000000000002E-5</v>
      </c>
      <c r="AL40" s="1">
        <v>4.0540000000000003</v>
      </c>
      <c r="AM40" s="1">
        <v>7.6999999999999999E-2</v>
      </c>
      <c r="AN40" s="1">
        <v>33.299999999999997</v>
      </c>
      <c r="AO40" s="1">
        <v>2.2000000000000002</v>
      </c>
      <c r="AP40" s="1">
        <v>27.18</v>
      </c>
      <c r="AQ40" s="1">
        <v>0.4</v>
      </c>
      <c r="AR40" s="1">
        <v>25.7</v>
      </c>
      <c r="AS40" s="1">
        <v>1.1000000000000001</v>
      </c>
      <c r="AT40" s="1">
        <v>480</v>
      </c>
      <c r="AU40" s="1">
        <v>120</v>
      </c>
      <c r="AV40" s="1">
        <v>45.400000000000006</v>
      </c>
      <c r="AW40" s="1">
        <v>2.4</v>
      </c>
      <c r="AX40" s="1">
        <v>14.4</v>
      </c>
      <c r="AY40" s="1">
        <v>1.4</v>
      </c>
      <c r="AZ40" s="1">
        <v>1509.0300000000002</v>
      </c>
      <c r="BA40" s="1">
        <v>68.31</v>
      </c>
      <c r="BB40" s="1">
        <v>427.86900000000003</v>
      </c>
      <c r="BC40" s="1">
        <v>21.113999999999997</v>
      </c>
      <c r="BD40" s="1">
        <v>7569.99</v>
      </c>
      <c r="BE40" s="1">
        <v>403.65</v>
      </c>
      <c r="BF40" s="1">
        <v>7.4519999999999991</v>
      </c>
      <c r="BG40" s="1">
        <v>6.8310000000000004</v>
      </c>
      <c r="BH40" s="1">
        <f t="shared" si="14"/>
        <v>1015.8333333333335</v>
      </c>
      <c r="BI40" s="1">
        <f t="shared" si="15"/>
        <v>932.75465950191403</v>
      </c>
    </row>
    <row r="41" spans="1:61" x14ac:dyDescent="0.2">
      <c r="A41" t="s">
        <v>650</v>
      </c>
      <c r="B41" t="s">
        <v>38</v>
      </c>
      <c r="C41" t="s">
        <v>651</v>
      </c>
      <c r="D41" t="s">
        <v>652</v>
      </c>
      <c r="E41">
        <v>10366</v>
      </c>
      <c r="F41">
        <v>46026</v>
      </c>
      <c r="G41" t="s">
        <v>652</v>
      </c>
      <c r="H41" s="1">
        <v>245.5</v>
      </c>
      <c r="I41" s="1">
        <v>137.30000000000001</v>
      </c>
      <c r="J41" s="11">
        <v>3.73E-2</v>
      </c>
      <c r="K41" s="11">
        <f t="shared" ca="1" si="8"/>
        <v>2.801163329761405E-3</v>
      </c>
      <c r="L41" s="8">
        <v>4.3930000000000002E-3</v>
      </c>
      <c r="M41" s="8">
        <f t="shared" ca="1" si="9"/>
        <v>1.1422950406965794E-4</v>
      </c>
      <c r="N41" s="8">
        <v>0.69886000000000004</v>
      </c>
      <c r="O41" s="9">
        <v>227.63489999999999</v>
      </c>
      <c r="P41" s="9">
        <f t="shared" ca="1" si="10"/>
        <v>5.9191029741991317</v>
      </c>
      <c r="Q41" s="10">
        <v>6.3399999999999998E-2</v>
      </c>
      <c r="R41" s="10">
        <f t="shared" ca="1" si="11"/>
        <v>5.1582772317896996E-3</v>
      </c>
      <c r="S41" s="9">
        <f t="shared" si="12"/>
        <v>0.21212985255351813</v>
      </c>
      <c r="T41" s="12">
        <v>1.441E-3</v>
      </c>
      <c r="U41" s="12">
        <f t="shared" ca="1" si="13"/>
        <v>7.9414056690235889E-5</v>
      </c>
      <c r="V41" s="6" t="e">
        <f ca="1">IF(agePb6U8(1/O41)&lt;1400,age7corr(1/O41,Q41,$W$2),agePb76(Q41))</f>
        <v>#NAME?</v>
      </c>
      <c r="W41" s="6" t="e">
        <f ca="1">IF(agePb6U8(1/O41)&lt;1400,ageer7corr(V41,1/O41,P41/O41*(1/O41),Q41,R41,$W$2,0.05),ageerPb76(Q41,R41))</f>
        <v>#NAME?</v>
      </c>
      <c r="X41" s="4" t="e">
        <f ca="1">agePb6U8(L41)/agePb7u5(J41)</f>
        <v>#NAME?</v>
      </c>
      <c r="Z41" s="1">
        <v>3.73E-2</v>
      </c>
      <c r="AA41" s="1">
        <v>2.7000000000000001E-3</v>
      </c>
      <c r="AB41" s="1">
        <v>4.3930000000000002E-3</v>
      </c>
      <c r="AC41" s="1">
        <v>7.2999999999999999E-5</v>
      </c>
      <c r="AD41" s="1">
        <v>0.69886000000000004</v>
      </c>
      <c r="AE41" s="1">
        <v>227.63489999999999</v>
      </c>
      <c r="AF41" s="1">
        <v>3.7826870000000001</v>
      </c>
      <c r="AG41" s="1">
        <v>6.3399999999999998E-2</v>
      </c>
      <c r="AH41" s="1">
        <v>5.0000000000000001E-3</v>
      </c>
      <c r="AI41" s="1">
        <v>-0.57242000000000004</v>
      </c>
      <c r="AJ41" s="1">
        <v>1.441E-3</v>
      </c>
      <c r="AK41" s="1">
        <v>7.3999999999999996E-5</v>
      </c>
      <c r="AL41" s="1">
        <v>5.91</v>
      </c>
      <c r="AM41" s="1">
        <v>0.28999999999999998</v>
      </c>
      <c r="AN41" s="1">
        <v>37.200000000000003</v>
      </c>
      <c r="AO41" s="1">
        <v>2.6</v>
      </c>
      <c r="AP41" s="1">
        <v>28.26</v>
      </c>
      <c r="AQ41" s="1">
        <v>0.47</v>
      </c>
      <c r="AR41" s="1">
        <v>29.1</v>
      </c>
      <c r="AS41" s="1">
        <v>1.5</v>
      </c>
      <c r="AT41" s="1">
        <v>690</v>
      </c>
      <c r="AU41" s="1">
        <v>150</v>
      </c>
      <c r="AV41" s="1">
        <v>52</v>
      </c>
      <c r="AW41" s="1">
        <v>1.2</v>
      </c>
      <c r="AX41" s="1">
        <v>10.47</v>
      </c>
      <c r="AY41" s="1">
        <v>0.24000000000000002</v>
      </c>
      <c r="AZ41" s="1">
        <v>1242</v>
      </c>
      <c r="BA41" s="1">
        <v>74.52</v>
      </c>
      <c r="BB41" s="1">
        <v>558.279</v>
      </c>
      <c r="BC41" s="1">
        <v>42.848999999999997</v>
      </c>
      <c r="BD41" s="1">
        <v>8886.51</v>
      </c>
      <c r="BE41" s="1">
        <v>211.14000000000001</v>
      </c>
      <c r="BF41" s="1">
        <v>17.388000000000002</v>
      </c>
      <c r="BG41" s="1">
        <v>8.6940000000000008</v>
      </c>
      <c r="BH41" s="1">
        <f t="shared" si="14"/>
        <v>511.07142857142856</v>
      </c>
      <c r="BI41" s="1">
        <f t="shared" si="15"/>
        <v>255.82406113401854</v>
      </c>
    </row>
    <row r="42" spans="1:61" x14ac:dyDescent="0.2">
      <c r="A42" t="s">
        <v>653</v>
      </c>
      <c r="B42" t="s">
        <v>38</v>
      </c>
      <c r="C42" t="s">
        <v>654</v>
      </c>
      <c r="D42" t="s">
        <v>655</v>
      </c>
      <c r="E42">
        <v>10419</v>
      </c>
      <c r="F42">
        <v>45779</v>
      </c>
      <c r="G42" t="s">
        <v>655</v>
      </c>
      <c r="H42" s="1">
        <v>273.5</v>
      </c>
      <c r="I42" s="1">
        <v>221.7</v>
      </c>
      <c r="J42" s="11">
        <v>6.9800000000000001E-2</v>
      </c>
      <c r="K42" s="11">
        <f t="shared" ca="1" si="8"/>
        <v>3.3998258778943366E-3</v>
      </c>
      <c r="L42" s="8">
        <v>4.4710000000000001E-3</v>
      </c>
      <c r="M42" s="8">
        <f t="shared" ca="1" si="9"/>
        <v>1.1931863391775822E-4</v>
      </c>
      <c r="N42" s="8">
        <v>0.45522000000000001</v>
      </c>
      <c r="O42" s="9">
        <v>223.6636</v>
      </c>
      <c r="P42" s="9">
        <f t="shared" ca="1" si="10"/>
        <v>5.9689632026033639</v>
      </c>
      <c r="Q42" s="10">
        <v>0.114</v>
      </c>
      <c r="R42" s="10">
        <f t="shared" ca="1" si="11"/>
        <v>4.177128200091541E-3</v>
      </c>
      <c r="S42" s="9">
        <f t="shared" si="12"/>
        <v>0.31942745311355869</v>
      </c>
      <c r="T42" s="12">
        <v>2.3140000000000001E-3</v>
      </c>
      <c r="U42" s="12">
        <f t="shared" ca="1" si="13"/>
        <v>1.0837821921400995E-4</v>
      </c>
      <c r="V42" s="6" t="e">
        <f ca="1">IF(agePb6U8(1/O42)&lt;1400,age7corr(1/O42,Q42,$W$2),agePb76(Q42))</f>
        <v>#NAME?</v>
      </c>
      <c r="W42" s="6" t="e">
        <f ca="1">IF(agePb6U8(1/O42)&lt;1400,ageer7corr(V42,1/O42,P42/O42*(1/O42),Q42,R42,$W$2,0.05),ageerPb76(Q42,R42))</f>
        <v>#NAME?</v>
      </c>
      <c r="X42" s="4" t="e">
        <f ca="1">agePb6U8(L42)/agePb7u5(J42)</f>
        <v>#NAME?</v>
      </c>
      <c r="Z42" s="1">
        <v>6.9800000000000001E-2</v>
      </c>
      <c r="AA42" s="1">
        <v>3.0999999999999999E-3</v>
      </c>
      <c r="AB42" s="1">
        <v>4.4710000000000001E-3</v>
      </c>
      <c r="AC42" s="1">
        <v>7.8999999999999996E-5</v>
      </c>
      <c r="AD42" s="1">
        <v>0.45522000000000001</v>
      </c>
      <c r="AE42" s="1">
        <v>223.6636</v>
      </c>
      <c r="AF42" s="1">
        <v>3.952007</v>
      </c>
      <c r="AG42" s="1">
        <v>0.114</v>
      </c>
      <c r="AH42" s="1">
        <v>3.5000000000000001E-3</v>
      </c>
      <c r="AI42" s="1">
        <v>-0.24052999999999999</v>
      </c>
      <c r="AJ42" s="1">
        <v>2.3140000000000001E-3</v>
      </c>
      <c r="AK42" s="1">
        <v>9.7999999999999997E-5</v>
      </c>
      <c r="AL42" s="1">
        <v>2.605</v>
      </c>
      <c r="AM42" s="1">
        <v>5.1999999999999998E-2</v>
      </c>
      <c r="AN42" s="1">
        <v>68.5</v>
      </c>
      <c r="AO42" s="1">
        <v>2.9</v>
      </c>
      <c r="AP42" s="1">
        <v>28.76</v>
      </c>
      <c r="AQ42" s="1">
        <v>0.51</v>
      </c>
      <c r="AR42" s="1">
        <v>46.7</v>
      </c>
      <c r="AS42" s="1">
        <v>2</v>
      </c>
      <c r="AT42" s="1">
        <v>1862</v>
      </c>
      <c r="AU42" s="1">
        <v>52</v>
      </c>
      <c r="AV42" s="1">
        <v>57.9</v>
      </c>
      <c r="AW42" s="1">
        <v>1.3</v>
      </c>
      <c r="AX42" s="1">
        <v>16.899999999999999</v>
      </c>
      <c r="AY42" s="1">
        <v>0.4</v>
      </c>
      <c r="AZ42" s="1">
        <v>3111.21</v>
      </c>
      <c r="BA42" s="1">
        <v>136.62</v>
      </c>
      <c r="BB42" s="1">
        <v>1124.01</v>
      </c>
      <c r="BC42" s="1">
        <v>68.31</v>
      </c>
      <c r="BD42" s="1">
        <v>10159.56</v>
      </c>
      <c r="BE42" s="1">
        <v>279.45000000000005</v>
      </c>
      <c r="BF42" s="1">
        <v>58.373999999999995</v>
      </c>
      <c r="BG42" s="1">
        <v>12.419999999999998</v>
      </c>
      <c r="BH42" s="1">
        <f t="shared" si="14"/>
        <v>174.04255319148936</v>
      </c>
      <c r="BI42" s="1">
        <f t="shared" si="15"/>
        <v>37.338491991772578</v>
      </c>
    </row>
    <row r="43" spans="1:61" x14ac:dyDescent="0.2">
      <c r="A43" t="s">
        <v>656</v>
      </c>
      <c r="B43" t="s">
        <v>38</v>
      </c>
      <c r="C43" t="s">
        <v>657</v>
      </c>
      <c r="D43" t="s">
        <v>658</v>
      </c>
      <c r="E43">
        <v>10409</v>
      </c>
      <c r="F43">
        <v>45267</v>
      </c>
      <c r="G43" t="s">
        <v>658</v>
      </c>
      <c r="H43" s="1">
        <v>567</v>
      </c>
      <c r="I43" s="1">
        <v>748</v>
      </c>
      <c r="J43" s="11">
        <v>4.2900000000000001E-2</v>
      </c>
      <c r="K43" s="11">
        <f t="shared" ca="1" si="8"/>
        <v>2.0847455480225876E-3</v>
      </c>
      <c r="L43" s="8">
        <v>6.1799999999999997E-3</v>
      </c>
      <c r="M43" s="8">
        <f t="shared" ca="1" si="9"/>
        <v>1.7937937451111818E-4</v>
      </c>
      <c r="N43" s="8">
        <v>0.65081999999999995</v>
      </c>
      <c r="O43" s="9">
        <v>161.81229999999999</v>
      </c>
      <c r="P43" s="9">
        <f t="shared" ca="1" si="10"/>
        <v>4.6967299216877487</v>
      </c>
      <c r="Q43" s="10">
        <v>5.04E-2</v>
      </c>
      <c r="R43" s="10">
        <f t="shared" ca="1" si="11"/>
        <v>1.8910483864777231E-3</v>
      </c>
      <c r="S43" s="9">
        <f t="shared" si="12"/>
        <v>0.54520252284165138</v>
      </c>
      <c r="T43" s="12">
        <v>9.4399999999999996E-4</v>
      </c>
      <c r="U43" s="12">
        <f t="shared" ca="1" si="13"/>
        <v>2.2370838160426621E-5</v>
      </c>
      <c r="V43" s="6" t="e">
        <f ca="1">IF(agePb6U8(1/O43)&lt;1400,age7corr(1/O43,Q43,$W$2),agePb76(Q43))</f>
        <v>#NAME?</v>
      </c>
      <c r="W43" s="6" t="e">
        <f ca="1">IF(agePb6U8(1/O43)&lt;1400,ageer7corr(V43,1/O43,P43/O43*(1/O43),Q43,R43,$W$2,0.05),ageerPb76(Q43,R43))</f>
        <v>#NAME?</v>
      </c>
      <c r="X43" s="4" t="e">
        <f ca="1">agePb6U8(L43)/agePb7u5(J43)</f>
        <v>#NAME?</v>
      </c>
      <c r="Z43" s="1">
        <v>4.2900000000000001E-2</v>
      </c>
      <c r="AA43" s="1">
        <v>1.9E-3</v>
      </c>
      <c r="AB43" s="1">
        <v>6.1799999999999997E-3</v>
      </c>
      <c r="AC43" s="1">
        <v>1.2999999999999999E-4</v>
      </c>
      <c r="AD43" s="1">
        <v>0.65081999999999995</v>
      </c>
      <c r="AE43" s="1">
        <v>161.81229999999999</v>
      </c>
      <c r="AF43" s="1">
        <v>3.4038189999999999</v>
      </c>
      <c r="AG43" s="1">
        <v>5.04E-2</v>
      </c>
      <c r="AH43" s="1">
        <v>1.6000000000000001E-3</v>
      </c>
      <c r="AI43" s="1">
        <v>-0.41976999999999998</v>
      </c>
      <c r="AJ43" s="1">
        <v>9.4399999999999996E-4</v>
      </c>
      <c r="AK43" s="1">
        <v>1.2E-5</v>
      </c>
      <c r="AL43" s="1">
        <v>5.375</v>
      </c>
      <c r="AM43" s="1">
        <v>9.7000000000000003E-2</v>
      </c>
      <c r="AN43" s="1">
        <v>42.7</v>
      </c>
      <c r="AO43" s="1">
        <v>1.9</v>
      </c>
      <c r="AP43" s="1">
        <v>39.71</v>
      </c>
      <c r="AQ43" s="1">
        <v>0.82</v>
      </c>
      <c r="AR43" s="1">
        <v>19.07</v>
      </c>
      <c r="AS43" s="1">
        <v>0.25</v>
      </c>
      <c r="AT43" s="1">
        <v>207</v>
      </c>
      <c r="AU43" s="1">
        <v>71</v>
      </c>
      <c r="AV43" s="1">
        <v>120</v>
      </c>
      <c r="AW43" s="1">
        <v>11</v>
      </c>
      <c r="AX43" s="1">
        <v>57</v>
      </c>
      <c r="AY43" s="1">
        <v>4.7</v>
      </c>
      <c r="AZ43" s="1">
        <v>4365.63</v>
      </c>
      <c r="BA43" s="1">
        <v>291.87</v>
      </c>
      <c r="BB43" s="1">
        <v>1403.46</v>
      </c>
      <c r="BC43" s="1">
        <v>80.72999999999999</v>
      </c>
      <c r="BD43" s="1">
        <v>28814.400000000001</v>
      </c>
      <c r="BE43" s="1">
        <v>2359.7999999999997</v>
      </c>
      <c r="BF43" s="1">
        <v>54.648000000000003</v>
      </c>
      <c r="BG43" s="1">
        <v>12.419999999999998</v>
      </c>
      <c r="BH43" s="1">
        <f t="shared" si="14"/>
        <v>527.27272727272725</v>
      </c>
      <c r="BI43" s="1">
        <f t="shared" si="15"/>
        <v>127.37749927101807</v>
      </c>
    </row>
    <row r="44" spans="1:61" x14ac:dyDescent="0.2">
      <c r="A44" t="s">
        <v>659</v>
      </c>
      <c r="B44" t="s">
        <v>38</v>
      </c>
      <c r="C44" t="s">
        <v>660</v>
      </c>
      <c r="D44" t="s">
        <v>661</v>
      </c>
      <c r="E44">
        <v>10359</v>
      </c>
      <c r="F44">
        <v>44555</v>
      </c>
      <c r="G44" t="s">
        <v>661</v>
      </c>
      <c r="H44" s="1">
        <v>595</v>
      </c>
      <c r="I44" s="1">
        <v>320.3</v>
      </c>
      <c r="J44" s="11">
        <v>2.896E-2</v>
      </c>
      <c r="K44" s="11">
        <f t="shared" ca="1" si="8"/>
        <v>9.0087326522657991E-4</v>
      </c>
      <c r="L44" s="8">
        <v>4.3600000000000002E-3</v>
      </c>
      <c r="M44" s="8">
        <f t="shared" ca="1" si="9"/>
        <v>1.0417696482428351E-4</v>
      </c>
      <c r="N44" s="8">
        <v>0.67891999999999997</v>
      </c>
      <c r="O44" s="9">
        <v>229.3578</v>
      </c>
      <c r="P44" s="9">
        <f t="shared" ca="1" si="10"/>
        <v>5.4802292345814339</v>
      </c>
      <c r="Q44" s="10">
        <v>4.8770000000000001E-2</v>
      </c>
      <c r="R44" s="10">
        <f t="shared" ca="1" si="11"/>
        <v>1.3685777873398356E-3</v>
      </c>
      <c r="S44" s="9">
        <f t="shared" si="12"/>
        <v>0.41742989865034974</v>
      </c>
      <c r="T44" s="12">
        <v>1.688E-3</v>
      </c>
      <c r="U44" s="12">
        <f t="shared" ca="1" si="13"/>
        <v>5.0830479045549044E-5</v>
      </c>
      <c r="V44" s="6" t="e">
        <f ca="1">IF(agePb6U8(1/O44)&lt;1400,age7corr(1/O44,Q44,$W$2),agePb76(Q44))</f>
        <v>#NAME?</v>
      </c>
      <c r="W44" s="6" t="e">
        <f ca="1">IF(agePb6U8(1/O44)&lt;1400,ageer7corr(V44,1/O44,P44/O44*(1/O44),Q44,R44,$W$2,0.05),ageerPb76(Q44,R44))</f>
        <v>#NAME?</v>
      </c>
      <c r="X44" s="4" t="e">
        <f ca="1">agePb6U8(L44)/agePb7u5(J44)</f>
        <v>#NAME?</v>
      </c>
      <c r="Z44" s="1">
        <v>2.896E-2</v>
      </c>
      <c r="AA44" s="1">
        <v>6.8999999999999997E-4</v>
      </c>
      <c r="AB44" s="1">
        <v>4.3600000000000002E-3</v>
      </c>
      <c r="AC44" s="1">
        <v>5.7000000000000003E-5</v>
      </c>
      <c r="AD44" s="1">
        <v>0.67891999999999997</v>
      </c>
      <c r="AE44" s="1">
        <v>229.3578</v>
      </c>
      <c r="AF44" s="1">
        <v>2.9984850000000001</v>
      </c>
      <c r="AG44" s="1">
        <v>4.8770000000000001E-2</v>
      </c>
      <c r="AH44" s="1">
        <v>9.6000000000000002E-4</v>
      </c>
      <c r="AI44" s="1">
        <v>-0.22389999999999999</v>
      </c>
      <c r="AJ44" s="1">
        <v>1.688E-3</v>
      </c>
      <c r="AK44" s="1">
        <v>3.8000000000000002E-5</v>
      </c>
      <c r="AL44" s="1">
        <v>5.0339999999999998</v>
      </c>
      <c r="AM44" s="1">
        <v>7.0000000000000007E-2</v>
      </c>
      <c r="AN44" s="1">
        <v>28.99</v>
      </c>
      <c r="AO44" s="1">
        <v>0.68</v>
      </c>
      <c r="AP44" s="1">
        <v>28.05</v>
      </c>
      <c r="AQ44" s="1">
        <v>0.37</v>
      </c>
      <c r="AR44" s="1">
        <v>34.090000000000003</v>
      </c>
      <c r="AS44" s="1">
        <v>0.76</v>
      </c>
      <c r="AT44" s="1">
        <v>135</v>
      </c>
      <c r="AU44" s="1">
        <v>45</v>
      </c>
      <c r="AV44" s="1">
        <v>125.9</v>
      </c>
      <c r="AW44" s="1">
        <v>3.3</v>
      </c>
      <c r="AX44" s="1">
        <v>24.42</v>
      </c>
      <c r="AY44" s="1">
        <v>0.71</v>
      </c>
      <c r="AZ44" s="1">
        <v>3427.92</v>
      </c>
      <c r="BA44" s="1">
        <v>99.359999999999985</v>
      </c>
      <c r="BB44" s="1">
        <v>1028.9969999999998</v>
      </c>
      <c r="BC44" s="1">
        <v>39.123000000000005</v>
      </c>
      <c r="BD44" s="1">
        <v>21530.07</v>
      </c>
      <c r="BE44" s="1">
        <v>583.74</v>
      </c>
      <c r="BF44" s="1">
        <v>11.9232</v>
      </c>
      <c r="BG44" s="1">
        <v>5.9615999999999998</v>
      </c>
      <c r="BH44" s="1">
        <f t="shared" si="14"/>
        <v>1805.7291666666667</v>
      </c>
      <c r="BI44" s="1">
        <f t="shared" si="15"/>
        <v>904.19100539678641</v>
      </c>
    </row>
    <row r="45" spans="1:61" x14ac:dyDescent="0.2">
      <c r="A45" t="s">
        <v>662</v>
      </c>
      <c r="B45" t="s">
        <v>38</v>
      </c>
      <c r="C45" t="s">
        <v>663</v>
      </c>
      <c r="D45" t="s">
        <v>664</v>
      </c>
      <c r="E45">
        <v>10390</v>
      </c>
      <c r="F45">
        <v>44219</v>
      </c>
      <c r="G45" t="s">
        <v>664</v>
      </c>
      <c r="H45" s="1">
        <v>442</v>
      </c>
      <c r="I45" s="1">
        <v>311.60000000000002</v>
      </c>
      <c r="J45" s="11">
        <v>2.87E-2</v>
      </c>
      <c r="K45" s="11">
        <f t="shared" ca="1" si="8"/>
        <v>1.2407562210200683E-3</v>
      </c>
      <c r="L45" s="8">
        <v>4.3800000000000002E-3</v>
      </c>
      <c r="M45" s="8">
        <f t="shared" ca="1" si="9"/>
        <v>1.4857240659018754E-4</v>
      </c>
      <c r="N45" s="8">
        <v>0.85206000000000004</v>
      </c>
      <c r="O45" s="9">
        <v>228.31049999999999</v>
      </c>
      <c r="P45" s="9">
        <f t="shared" ca="1" si="10"/>
        <v>7.7444383005369719</v>
      </c>
      <c r="Q45" s="10">
        <v>4.7010000000000003E-2</v>
      </c>
      <c r="R45" s="10">
        <f t="shared" ca="1" si="11"/>
        <v>1.2280374749982185E-3</v>
      </c>
      <c r="S45" s="9">
        <f t="shared" si="12"/>
        <v>0.4347379133144999</v>
      </c>
      <c r="T45" s="12">
        <v>1.7279999999999999E-3</v>
      </c>
      <c r="U45" s="12">
        <f t="shared" ca="1" si="13"/>
        <v>4.9903843539350756E-5</v>
      </c>
      <c r="V45" s="6" t="e">
        <f ca="1">IF(agePb6U8(1/O45)&lt;1400,age7corr(1/O45,Q45,$W$2),agePb76(Q45))</f>
        <v>#NAME?</v>
      </c>
      <c r="W45" s="6" t="e">
        <f ca="1">IF(agePb6U8(1/O45)&lt;1400,ageer7corr(V45,1/O45,P45/O45*(1/O45),Q45,R45,$W$2,0.05),ageerPb76(Q45,R45))</f>
        <v>#NAME?</v>
      </c>
      <c r="X45" s="4" t="e">
        <f ca="1">agePb6U8(L45)/agePb7u5(J45)</f>
        <v>#NAME?</v>
      </c>
      <c r="Z45" s="1">
        <v>2.87E-2</v>
      </c>
      <c r="AA45" s="1">
        <v>1.1000000000000001E-3</v>
      </c>
      <c r="AB45" s="1">
        <v>4.3800000000000002E-3</v>
      </c>
      <c r="AC45" s="1">
        <v>1.2E-4</v>
      </c>
      <c r="AD45" s="1">
        <v>0.85206000000000004</v>
      </c>
      <c r="AE45" s="1">
        <v>228.31049999999999</v>
      </c>
      <c r="AF45" s="1">
        <v>6.2550819999999998</v>
      </c>
      <c r="AG45" s="1">
        <v>4.7010000000000003E-2</v>
      </c>
      <c r="AH45" s="1">
        <v>7.9000000000000001E-4</v>
      </c>
      <c r="AI45" s="1">
        <v>-0.25015999999999999</v>
      </c>
      <c r="AJ45" s="1">
        <v>1.7279999999999999E-3</v>
      </c>
      <c r="AK45" s="1">
        <v>3.6000000000000001E-5</v>
      </c>
      <c r="AL45" s="1">
        <v>3.8660000000000001</v>
      </c>
      <c r="AM45" s="1">
        <v>3.6999999999999998E-2</v>
      </c>
      <c r="AN45" s="1">
        <v>28.7</v>
      </c>
      <c r="AO45" s="1">
        <v>1.1000000000000001</v>
      </c>
      <c r="AP45" s="1">
        <v>28.19</v>
      </c>
      <c r="AQ45" s="1">
        <v>0.76</v>
      </c>
      <c r="AR45" s="1">
        <v>34.89</v>
      </c>
      <c r="AS45" s="1">
        <v>0.73</v>
      </c>
      <c r="AT45" s="1">
        <v>51</v>
      </c>
      <c r="AU45" s="1">
        <v>37</v>
      </c>
      <c r="AV45" s="1">
        <v>93.600000000000009</v>
      </c>
      <c r="AW45" s="1">
        <v>4</v>
      </c>
      <c r="AX45" s="1">
        <v>23.75</v>
      </c>
      <c r="AY45" s="1">
        <v>0.55999999999999994</v>
      </c>
      <c r="AZ45" s="1">
        <v>3303.72</v>
      </c>
      <c r="BA45" s="1">
        <v>111.78</v>
      </c>
      <c r="BB45" s="1">
        <v>727.81200000000001</v>
      </c>
      <c r="BC45" s="1">
        <v>34.776000000000003</v>
      </c>
      <c r="BD45" s="1">
        <v>15649.2</v>
      </c>
      <c r="BE45" s="1">
        <v>621</v>
      </c>
      <c r="BF45" s="1">
        <v>62.1</v>
      </c>
      <c r="BG45" s="1">
        <v>6.8310000000000004</v>
      </c>
      <c r="BH45" s="1">
        <f t="shared" si="14"/>
        <v>252</v>
      </c>
      <c r="BI45" s="1">
        <f t="shared" si="15"/>
        <v>29.468600238219661</v>
      </c>
    </row>
    <row r="46" spans="1:61" s="24" customFormat="1" x14ac:dyDescent="0.2">
      <c r="A46" s="24" t="s">
        <v>569</v>
      </c>
      <c r="B46" s="24" t="s">
        <v>38</v>
      </c>
      <c r="C46" s="24" t="s">
        <v>570</v>
      </c>
      <c r="D46" s="24" t="s">
        <v>571</v>
      </c>
      <c r="E46" s="24">
        <v>10295</v>
      </c>
      <c r="F46" s="24">
        <v>55486</v>
      </c>
      <c r="G46" s="24" t="s">
        <v>571</v>
      </c>
      <c r="H46" s="25">
        <v>397</v>
      </c>
      <c r="I46" s="25">
        <v>272.7</v>
      </c>
      <c r="J46" s="26">
        <v>2.9399999999999999E-2</v>
      </c>
      <c r="K46" s="26">
        <f t="shared" ca="1" si="8"/>
        <v>1.2472946724812065E-3</v>
      </c>
      <c r="L46" s="27">
        <v>4.2379999999999996E-3</v>
      </c>
      <c r="M46" s="27">
        <f t="shared" ca="1" si="9"/>
        <v>1.2731558270690982E-4</v>
      </c>
      <c r="N46" s="27">
        <v>0.74011000000000005</v>
      </c>
      <c r="O46" s="27">
        <v>235.96039999999999</v>
      </c>
      <c r="P46" s="27">
        <f t="shared" ca="1" si="10"/>
        <v>7.0885875545776402</v>
      </c>
      <c r="Q46" s="26">
        <v>5.0299999999999997E-2</v>
      </c>
      <c r="R46" s="26">
        <f t="shared" ca="1" si="11"/>
        <v>1.7239593962735898E-3</v>
      </c>
      <c r="S46" s="27">
        <f t="shared" si="12"/>
        <v>0.37630093662752628</v>
      </c>
      <c r="T46" s="26">
        <v>1.619E-3</v>
      </c>
      <c r="U46" s="26">
        <f t="shared" ca="1" si="13"/>
        <v>4.6951724142996067E-5</v>
      </c>
      <c r="V46" s="25" t="e">
        <f ca="1">IF(agePb6U8(1/O46)&lt;1400,age7corr(1/O46,Q46,$W$2),agePb76(Q46))</f>
        <v>#NAME?</v>
      </c>
      <c r="W46" s="25" t="e">
        <f ca="1">IF(agePb6U8(1/O46)&lt;1400,ageer7corr(V46,1/O46,P46/O46*(1/O46),Q46,R46,$W$2,0.05),ageerPb76(Q46,R46))</f>
        <v>#NAME?</v>
      </c>
      <c r="X46" s="27" t="e">
        <f ca="1">agePb6U8(L46)/agePb7u5(J46)</f>
        <v>#NAME?</v>
      </c>
      <c r="Y46" s="25"/>
      <c r="Z46" s="25">
        <v>2.9399999999999999E-2</v>
      </c>
      <c r="AA46" s="25">
        <v>1.1000000000000001E-3</v>
      </c>
      <c r="AB46" s="25">
        <v>4.2379999999999996E-3</v>
      </c>
      <c r="AC46" s="25">
        <v>9.5000000000000005E-5</v>
      </c>
      <c r="AD46" s="25">
        <v>0.74011000000000005</v>
      </c>
      <c r="AE46" s="25">
        <v>235.96039999999999</v>
      </c>
      <c r="AF46" s="25">
        <v>5.2893429999999997</v>
      </c>
      <c r="AG46" s="25">
        <v>5.0299999999999997E-2</v>
      </c>
      <c r="AH46" s="25">
        <v>1.4E-3</v>
      </c>
      <c r="AI46" s="25">
        <v>-0.40211000000000002</v>
      </c>
      <c r="AJ46" s="25">
        <v>1.619E-3</v>
      </c>
      <c r="AK46" s="25">
        <v>3.4E-5</v>
      </c>
      <c r="AL46" s="25">
        <v>4.0049999999999999</v>
      </c>
      <c r="AM46" s="25">
        <v>4.9000000000000002E-2</v>
      </c>
      <c r="AN46" s="25">
        <v>29.5</v>
      </c>
      <c r="AO46" s="25">
        <v>1.1000000000000001</v>
      </c>
      <c r="AP46" s="25">
        <v>27.26</v>
      </c>
      <c r="AQ46" s="25">
        <v>0.61</v>
      </c>
      <c r="AR46" s="25">
        <v>32.700000000000003</v>
      </c>
      <c r="AS46" s="25">
        <v>0.68</v>
      </c>
      <c r="AT46" s="25">
        <v>202</v>
      </c>
      <c r="AU46" s="25">
        <v>65</v>
      </c>
      <c r="AV46" s="25">
        <v>84.3</v>
      </c>
      <c r="AW46" s="25">
        <v>2.8</v>
      </c>
      <c r="AX46" s="25">
        <v>20.84</v>
      </c>
      <c r="AY46" s="25">
        <v>0.46</v>
      </c>
      <c r="AZ46" s="25">
        <v>2800.71</v>
      </c>
      <c r="BA46" s="25">
        <v>99.359999999999985</v>
      </c>
      <c r="BB46" s="25">
        <v>682.47900000000004</v>
      </c>
      <c r="BC46" s="25">
        <v>33.533999999999999</v>
      </c>
      <c r="BD46" s="25">
        <v>13848.300000000001</v>
      </c>
      <c r="BE46" s="25">
        <v>440.90999999999997</v>
      </c>
      <c r="BF46" s="25">
        <v>7.4519999999999991</v>
      </c>
      <c r="BG46" s="25">
        <v>6.0858000000000008</v>
      </c>
      <c r="BH46" s="25">
        <f t="shared" si="14"/>
        <v>1858.3333333333337</v>
      </c>
      <c r="BI46" s="25">
        <f t="shared" si="15"/>
        <v>1518.7917867543094</v>
      </c>
    </row>
    <row r="47" spans="1:61" x14ac:dyDescent="0.2">
      <c r="A47" t="s">
        <v>671</v>
      </c>
      <c r="B47" t="s">
        <v>38</v>
      </c>
      <c r="C47" t="s">
        <v>672</v>
      </c>
      <c r="D47" t="s">
        <v>673</v>
      </c>
      <c r="E47">
        <v>10373</v>
      </c>
      <c r="F47">
        <v>43850</v>
      </c>
      <c r="G47" t="s">
        <v>673</v>
      </c>
      <c r="H47" s="1">
        <v>280.8</v>
      </c>
      <c r="I47" s="1">
        <v>224.8</v>
      </c>
      <c r="J47" s="11">
        <v>3.3700000000000001E-2</v>
      </c>
      <c r="K47" s="11">
        <f t="shared" ca="1" si="8"/>
        <v>1.5537940661490505E-3</v>
      </c>
      <c r="L47" s="8">
        <v>4.1310000000000001E-3</v>
      </c>
      <c r="M47" s="8">
        <f t="shared" ca="1" si="9"/>
        <v>1.0152371348606196E-4</v>
      </c>
      <c r="N47" s="8">
        <v>0.66093000000000002</v>
      </c>
      <c r="O47" s="9">
        <v>242.07210000000001</v>
      </c>
      <c r="P47" s="9">
        <f t="shared" ca="1" si="10"/>
        <v>5.9491791750005314</v>
      </c>
      <c r="Q47" s="10">
        <v>5.9900000000000002E-2</v>
      </c>
      <c r="R47" s="10">
        <f t="shared" ca="1" si="11"/>
        <v>2.6823877422923028E-3</v>
      </c>
      <c r="S47" s="9">
        <f t="shared" si="12"/>
        <v>0.29490780207201722</v>
      </c>
      <c r="T47" s="12">
        <v>1.658E-3</v>
      </c>
      <c r="U47" s="12">
        <f t="shared" ca="1" si="13"/>
        <v>5.3512480787195801E-5</v>
      </c>
      <c r="V47" s="6" t="e">
        <f ca="1">IF(agePb6U8(1/O47)&lt;1400,age7corr(1/O47,Q47,$W$2),agePb76(Q47))</f>
        <v>#NAME?</v>
      </c>
      <c r="W47" s="6" t="e">
        <f ca="1">IF(agePb6U8(1/O47)&lt;1400,ageer7corr(V47,1/O47,P47/O47*(1/O47),Q47,R47,$W$2,0.05),ageerPb76(Q47,R47))</f>
        <v>#NAME?</v>
      </c>
      <c r="X47" s="4" t="e">
        <f ca="1">agePb6U8(L47)/agePb7u5(J47)</f>
        <v>#NAME?</v>
      </c>
      <c r="Z47" s="1">
        <v>3.3700000000000001E-2</v>
      </c>
      <c r="AA47" s="1">
        <v>1.4E-3</v>
      </c>
      <c r="AB47" s="1">
        <v>4.1310000000000001E-3</v>
      </c>
      <c r="AC47" s="1">
        <v>5.8999999999999998E-5</v>
      </c>
      <c r="AD47" s="1">
        <v>0.66093000000000002</v>
      </c>
      <c r="AE47" s="1">
        <v>242.07210000000001</v>
      </c>
      <c r="AF47" s="1">
        <v>3.4573360000000002</v>
      </c>
      <c r="AG47" s="1">
        <v>5.9900000000000002E-2</v>
      </c>
      <c r="AH47" s="1">
        <v>2.3999999999999998E-3</v>
      </c>
      <c r="AI47" s="1">
        <v>-0.53500000000000003</v>
      </c>
      <c r="AJ47" s="1">
        <v>1.658E-3</v>
      </c>
      <c r="AK47" s="1">
        <v>4.1999999999999998E-5</v>
      </c>
      <c r="AL47" s="1">
        <v>3.3580000000000001</v>
      </c>
      <c r="AM47" s="1">
        <v>5.2999999999999999E-2</v>
      </c>
      <c r="AN47" s="1">
        <v>33.6</v>
      </c>
      <c r="AO47" s="1">
        <v>1.4</v>
      </c>
      <c r="AP47" s="1">
        <v>26.58</v>
      </c>
      <c r="AQ47" s="1">
        <v>0.38</v>
      </c>
      <c r="AR47" s="1">
        <v>33.479999999999997</v>
      </c>
      <c r="AS47" s="1">
        <v>0.85</v>
      </c>
      <c r="AT47" s="1">
        <v>590</v>
      </c>
      <c r="AU47" s="1">
        <v>86</v>
      </c>
      <c r="AV47" s="1">
        <v>59.4</v>
      </c>
      <c r="AW47" s="1">
        <v>1.2</v>
      </c>
      <c r="AX47" s="1">
        <v>17.13</v>
      </c>
      <c r="AY47" s="1">
        <v>0.63</v>
      </c>
      <c r="AZ47" s="1">
        <v>2297.6999999999998</v>
      </c>
      <c r="BA47" s="1">
        <v>68.31</v>
      </c>
      <c r="BB47" s="1">
        <v>568.21500000000003</v>
      </c>
      <c r="BC47" s="1">
        <v>28.566000000000003</v>
      </c>
      <c r="BD47" s="1">
        <v>9606.8700000000008</v>
      </c>
      <c r="BE47" s="1">
        <v>211.14000000000001</v>
      </c>
      <c r="BF47" s="1">
        <v>16.145999999999997</v>
      </c>
      <c r="BG47" s="1">
        <v>7.4519999999999991</v>
      </c>
      <c r="BH47" s="1">
        <f t="shared" si="14"/>
        <v>595.00000000000011</v>
      </c>
      <c r="BI47" s="1">
        <f t="shared" si="15"/>
        <v>274.92656362129765</v>
      </c>
    </row>
    <row r="48" spans="1:61" x14ac:dyDescent="0.2">
      <c r="A48" t="s">
        <v>674</v>
      </c>
      <c r="B48" t="s">
        <v>38</v>
      </c>
      <c r="C48" t="s">
        <v>675</v>
      </c>
      <c r="D48" t="s">
        <v>676</v>
      </c>
      <c r="E48">
        <v>10340</v>
      </c>
      <c r="F48">
        <v>43718</v>
      </c>
      <c r="G48" t="s">
        <v>676</v>
      </c>
      <c r="H48" s="1">
        <v>1079</v>
      </c>
      <c r="I48" s="1">
        <v>501</v>
      </c>
      <c r="J48" s="11">
        <v>3.4200000000000001E-2</v>
      </c>
      <c r="K48" s="11">
        <f t="shared" ca="1" si="8"/>
        <v>1.3812516063339076E-3</v>
      </c>
      <c r="L48" s="8">
        <v>4.5900000000000003E-3</v>
      </c>
      <c r="M48" s="8">
        <f t="shared" ca="1" si="9"/>
        <v>1.5914534237608085E-4</v>
      </c>
      <c r="N48" s="8">
        <v>0.80423</v>
      </c>
      <c r="O48" s="9">
        <v>217.86490000000001</v>
      </c>
      <c r="P48" s="9">
        <f t="shared" ca="1" si="10"/>
        <v>7.5538530908378148</v>
      </c>
      <c r="Q48" s="10">
        <v>5.3400000000000003E-2</v>
      </c>
      <c r="R48" s="10">
        <f t="shared" ca="1" si="11"/>
        <v>1.6824458386527634E-3</v>
      </c>
      <c r="S48" s="9">
        <f t="shared" si="12"/>
        <v>0.4215289461446447</v>
      </c>
      <c r="T48" s="12">
        <v>2.1069999999999999E-3</v>
      </c>
      <c r="U48" s="12">
        <f t="shared" ca="1" si="13"/>
        <v>9.0420017695198461E-5</v>
      </c>
      <c r="V48" s="6" t="e">
        <f ca="1">IF(agePb6U8(1/O48)&lt;1400,age7corr(1/O48,Q48,$W$2),agePb76(Q48))</f>
        <v>#NAME?</v>
      </c>
      <c r="W48" s="6" t="e">
        <f ca="1">IF(agePb6U8(1/O48)&lt;1400,ageer7corr(V48,1/O48,P48/O48*(1/O48),Q48,R48,$W$2,0.05),ageerPb76(Q48,R48))</f>
        <v>#NAME?</v>
      </c>
      <c r="X48" s="4" t="e">
        <f ca="1">agePb6U8(L48)/agePb7u5(J48)</f>
        <v>#NAME?</v>
      </c>
      <c r="Z48" s="1">
        <v>3.4200000000000001E-2</v>
      </c>
      <c r="AA48" s="1">
        <v>1.1999999999999999E-3</v>
      </c>
      <c r="AB48" s="1">
        <v>4.5900000000000003E-3</v>
      </c>
      <c r="AC48" s="1">
        <v>1.2999999999999999E-4</v>
      </c>
      <c r="AD48" s="1">
        <v>0.80423</v>
      </c>
      <c r="AE48" s="1">
        <v>217.86490000000001</v>
      </c>
      <c r="AF48" s="1">
        <v>6.1704660000000002</v>
      </c>
      <c r="AG48" s="1">
        <v>5.3400000000000003E-2</v>
      </c>
      <c r="AH48" s="1">
        <v>1.2999999999999999E-3</v>
      </c>
      <c r="AI48" s="1">
        <v>-3.8580000000000003E-2</v>
      </c>
      <c r="AJ48" s="1">
        <v>2.1069999999999999E-3</v>
      </c>
      <c r="AK48" s="1">
        <v>8.0000000000000007E-5</v>
      </c>
      <c r="AL48" s="1">
        <v>4.8899999999999997</v>
      </c>
      <c r="AM48" s="1">
        <v>0.16</v>
      </c>
      <c r="AN48" s="1">
        <v>34.200000000000003</v>
      </c>
      <c r="AO48" s="1">
        <v>1.2</v>
      </c>
      <c r="AP48" s="1">
        <v>29.5</v>
      </c>
      <c r="AQ48" s="1">
        <v>0.84</v>
      </c>
      <c r="AR48" s="1">
        <v>42.5</v>
      </c>
      <c r="AS48" s="1">
        <v>1.6</v>
      </c>
      <c r="AT48" s="1">
        <v>340</v>
      </c>
      <c r="AU48" s="1">
        <v>54</v>
      </c>
      <c r="AV48" s="1">
        <v>228.3</v>
      </c>
      <c r="AW48" s="1">
        <v>9</v>
      </c>
      <c r="AX48" s="1">
        <v>38.199999999999996</v>
      </c>
      <c r="AY48" s="1">
        <v>1.9</v>
      </c>
      <c r="AZ48" s="1">
        <v>6619.86</v>
      </c>
      <c r="BA48" s="1">
        <v>285.65999999999997</v>
      </c>
      <c r="BB48" s="1">
        <v>2142.4499999999998</v>
      </c>
      <c r="BC48" s="1">
        <v>105.57000000000001</v>
      </c>
      <c r="BD48" s="1">
        <v>41048.1</v>
      </c>
      <c r="BE48" s="1">
        <v>1552.5</v>
      </c>
      <c r="BF48" s="1">
        <v>19.251000000000001</v>
      </c>
      <c r="BG48" s="1">
        <v>6.2099999999999991</v>
      </c>
      <c r="BH48" s="1">
        <f t="shared" si="14"/>
        <v>2132.2580645161288</v>
      </c>
      <c r="BI48" s="1">
        <f t="shared" si="15"/>
        <v>692.53673055886338</v>
      </c>
    </row>
    <row r="49" spans="1:61" x14ac:dyDescent="0.2">
      <c r="A49" t="s">
        <v>677</v>
      </c>
      <c r="B49" t="s">
        <v>38</v>
      </c>
      <c r="C49" t="s">
        <v>678</v>
      </c>
      <c r="D49" t="s">
        <v>679</v>
      </c>
      <c r="E49">
        <v>10318</v>
      </c>
      <c r="F49">
        <v>43552</v>
      </c>
      <c r="G49" t="s">
        <v>679</v>
      </c>
      <c r="H49" s="1">
        <v>33.200000000000003</v>
      </c>
      <c r="I49" s="1">
        <v>25.6</v>
      </c>
      <c r="J49" s="11">
        <v>7.7600000000000002E-2</v>
      </c>
      <c r="K49" s="11">
        <f t="shared" ca="1" si="8"/>
        <v>6.8774053246845931E-3</v>
      </c>
      <c r="L49" s="8">
        <v>5.11E-3</v>
      </c>
      <c r="M49" s="8">
        <f t="shared" ca="1" si="9"/>
        <v>1.3684239109281889E-4</v>
      </c>
      <c r="N49" s="8">
        <v>0.50673000000000001</v>
      </c>
      <c r="O49" s="9">
        <v>195.69470000000001</v>
      </c>
      <c r="P49" s="9">
        <f t="shared" ca="1" si="10"/>
        <v>5.2405734441864285</v>
      </c>
      <c r="Q49" s="10">
        <v>0.1091</v>
      </c>
      <c r="R49" s="10">
        <f t="shared" ca="1" si="11"/>
        <v>8.7755982132274053E-3</v>
      </c>
      <c r="S49" s="9">
        <f t="shared" si="12"/>
        <v>0.3014971289886077</v>
      </c>
      <c r="T49" s="12">
        <v>2.0400000000000001E-3</v>
      </c>
      <c r="U49" s="12">
        <f t="shared" ca="1" si="13"/>
        <v>1.458240035110818E-4</v>
      </c>
      <c r="V49" s="6" t="e">
        <f ca="1">IF(agePb6U8(1/O49)&lt;1400,age7corr(1/O49,Q49,$W$2),agePb76(Q49))</f>
        <v>#NAME?</v>
      </c>
      <c r="W49" s="6" t="e">
        <f ca="1">IF(agePb6U8(1/O49)&lt;1400,ageer7corr(V49,1/O49,P49/O49*(1/O49),Q49,R49,$W$2,0.05),ageerPb76(Q49,R49))</f>
        <v>#NAME?</v>
      </c>
      <c r="X49" s="4" t="e">
        <f ca="1">agePb6U8(L49)/agePb7u5(J49)</f>
        <v>#NAME?</v>
      </c>
      <c r="Z49" s="1">
        <v>7.7600000000000002E-2</v>
      </c>
      <c r="AA49" s="1">
        <v>6.7000000000000002E-3</v>
      </c>
      <c r="AB49" s="1">
        <v>5.11E-3</v>
      </c>
      <c r="AC49" s="1">
        <v>9.1000000000000003E-5</v>
      </c>
      <c r="AD49" s="1">
        <v>0.50673000000000001</v>
      </c>
      <c r="AE49" s="1">
        <v>195.69470000000001</v>
      </c>
      <c r="AF49" s="1">
        <v>3.4849739999999998</v>
      </c>
      <c r="AG49" s="1">
        <v>0.1091</v>
      </c>
      <c r="AH49" s="1">
        <v>8.5000000000000006E-3</v>
      </c>
      <c r="AI49" s="1">
        <v>-0.27034000000000002</v>
      </c>
      <c r="AJ49" s="1">
        <v>2.0400000000000001E-3</v>
      </c>
      <c r="AK49" s="1">
        <v>1.3999999999999999E-4</v>
      </c>
      <c r="AL49" s="1">
        <v>3.66</v>
      </c>
      <c r="AM49" s="1">
        <v>0.24</v>
      </c>
      <c r="AN49" s="1">
        <v>75.900000000000006</v>
      </c>
      <c r="AO49" s="1">
        <v>6.3</v>
      </c>
      <c r="AP49" s="1">
        <v>32.86</v>
      </c>
      <c r="AQ49" s="1">
        <v>0.57999999999999996</v>
      </c>
      <c r="AR49" s="1">
        <v>41.1</v>
      </c>
      <c r="AS49" s="1">
        <v>2.8</v>
      </c>
      <c r="AT49" s="1">
        <v>1760</v>
      </c>
      <c r="AU49" s="1">
        <v>140</v>
      </c>
      <c r="AV49" s="1">
        <v>7.0299999999999994</v>
      </c>
      <c r="AW49" s="1">
        <v>0.43</v>
      </c>
      <c r="AX49" s="1">
        <v>1.95</v>
      </c>
      <c r="AY49" s="1">
        <v>0.12999999999999998</v>
      </c>
      <c r="AZ49" s="1">
        <v>319.815</v>
      </c>
      <c r="BA49" s="1">
        <v>23.598000000000003</v>
      </c>
      <c r="BB49" s="1">
        <v>152.14499999999998</v>
      </c>
      <c r="BC49" s="1">
        <v>14.903999999999998</v>
      </c>
      <c r="BD49" s="1">
        <v>1440.72</v>
      </c>
      <c r="BE49" s="1">
        <v>74.52</v>
      </c>
      <c r="BF49" s="1">
        <v>22.355999999999998</v>
      </c>
      <c r="BG49" s="1">
        <v>11.799000000000001</v>
      </c>
      <c r="BH49" s="1">
        <f t="shared" si="14"/>
        <v>64.444444444444457</v>
      </c>
      <c r="BI49" s="1">
        <f t="shared" si="15"/>
        <v>34.175294727328129</v>
      </c>
    </row>
    <row r="50" spans="1:61" x14ac:dyDescent="0.2">
      <c r="A50" t="s">
        <v>680</v>
      </c>
      <c r="B50" t="s">
        <v>38</v>
      </c>
      <c r="C50" t="s">
        <v>681</v>
      </c>
      <c r="D50" t="s">
        <v>682</v>
      </c>
      <c r="E50">
        <v>10287</v>
      </c>
      <c r="F50">
        <v>43088</v>
      </c>
      <c r="G50" t="s">
        <v>682</v>
      </c>
      <c r="H50" s="1">
        <v>505.9</v>
      </c>
      <c r="I50" s="1">
        <v>355.6</v>
      </c>
      <c r="J50" s="11">
        <v>2.674E-2</v>
      </c>
      <c r="K50" s="11">
        <f t="shared" ca="1" si="8"/>
        <v>7.054155087606169E-4</v>
      </c>
      <c r="L50" s="8">
        <v>4.0749999999999996E-3</v>
      </c>
      <c r="M50" s="8">
        <f t="shared" ca="1" si="9"/>
        <v>9.3098066574983179E-5</v>
      </c>
      <c r="N50" s="8">
        <v>-0.37992999999999999</v>
      </c>
      <c r="O50" s="9">
        <v>245.39879999999999</v>
      </c>
      <c r="P50" s="9">
        <f t="shared" ca="1" si="10"/>
        <v>5.606417922542076</v>
      </c>
      <c r="Q50" s="10">
        <v>4.7899999999999998E-2</v>
      </c>
      <c r="R50" s="10">
        <f t="shared" ca="1" si="11"/>
        <v>1.3848335640068809E-3</v>
      </c>
      <c r="S50" s="9">
        <f t="shared" si="12"/>
        <v>0.40812426859970646</v>
      </c>
      <c r="T50" s="12">
        <v>1.3470000000000001E-3</v>
      </c>
      <c r="U50" s="12">
        <f t="shared" ca="1" si="13"/>
        <v>3.2400055555507929E-5</v>
      </c>
      <c r="V50" s="6" t="e">
        <f ca="1">IF(agePb6U8(1/O50)&lt;1400,age7corr(1/O50,Q50,$W$2),agePb76(Q50))</f>
        <v>#NAME?</v>
      </c>
      <c r="W50" s="6" t="e">
        <f ca="1">IF(agePb6U8(1/O50)&lt;1400,ageer7corr(V50,1/O50,P50/O50*(1/O50),Q50,R50,$W$2,0.05),ageerPb76(Q50,R50))</f>
        <v>#NAME?</v>
      </c>
      <c r="X50" s="4" t="e">
        <f ca="1">agePb6U8(L50)/agePb7u5(J50)</f>
        <v>#NAME?</v>
      </c>
      <c r="Z50" s="1">
        <v>2.674E-2</v>
      </c>
      <c r="AA50" s="1">
        <v>4.6000000000000001E-4</v>
      </c>
      <c r="AB50" s="1">
        <v>4.0749999999999996E-3</v>
      </c>
      <c r="AC50" s="1">
        <v>4.5000000000000003E-5</v>
      </c>
      <c r="AD50" s="1">
        <v>-0.37992999999999999</v>
      </c>
      <c r="AE50" s="1">
        <v>245.39879999999999</v>
      </c>
      <c r="AF50" s="1">
        <v>2.7099250000000001</v>
      </c>
      <c r="AG50" s="1">
        <v>4.7899999999999998E-2</v>
      </c>
      <c r="AH50" s="1">
        <v>1E-3</v>
      </c>
      <c r="AI50" s="1">
        <v>0.75568999999999997</v>
      </c>
      <c r="AJ50" s="1">
        <v>1.3470000000000001E-3</v>
      </c>
      <c r="AK50" s="1">
        <v>1.8E-5</v>
      </c>
      <c r="AL50" s="1">
        <v>4.4429999999999996</v>
      </c>
      <c r="AM50" s="1">
        <v>4.1000000000000002E-2</v>
      </c>
      <c r="AN50" s="1">
        <v>26.79</v>
      </c>
      <c r="AO50" s="1">
        <v>0.45</v>
      </c>
      <c r="AP50" s="1">
        <v>26.22</v>
      </c>
      <c r="AQ50" s="1">
        <v>0.28999999999999998</v>
      </c>
      <c r="AR50" s="1">
        <v>27.2</v>
      </c>
      <c r="AS50" s="1">
        <v>0.36</v>
      </c>
      <c r="AT50" s="1">
        <v>83</v>
      </c>
      <c r="AU50" s="1">
        <v>51</v>
      </c>
      <c r="AV50" s="1">
        <v>107</v>
      </c>
      <c r="AW50" s="1">
        <v>1.9</v>
      </c>
      <c r="AX50" s="1">
        <v>27.09</v>
      </c>
      <c r="AY50" s="1">
        <v>0.51</v>
      </c>
      <c r="AZ50" s="1">
        <v>3061.5299999999997</v>
      </c>
      <c r="BA50" s="1">
        <v>62.1</v>
      </c>
      <c r="BB50" s="1">
        <v>793.01700000000005</v>
      </c>
      <c r="BC50" s="1">
        <v>22.355999999999998</v>
      </c>
      <c r="BD50" s="1">
        <v>17002.98</v>
      </c>
      <c r="BE50" s="1">
        <v>322.91999999999996</v>
      </c>
      <c r="BF50" s="1">
        <v>49.679999999999993</v>
      </c>
      <c r="BG50" s="1">
        <v>6.8310000000000004</v>
      </c>
      <c r="BH50" s="1">
        <f t="shared" si="14"/>
        <v>342.25000000000006</v>
      </c>
      <c r="BI50" s="1">
        <f t="shared" si="15"/>
        <v>47.506155131631381</v>
      </c>
    </row>
    <row r="51" spans="1:61" x14ac:dyDescent="0.2">
      <c r="A51" t="s">
        <v>683</v>
      </c>
      <c r="B51" t="s">
        <v>38</v>
      </c>
      <c r="C51" t="s">
        <v>684</v>
      </c>
      <c r="D51" t="s">
        <v>685</v>
      </c>
      <c r="E51">
        <v>10350</v>
      </c>
      <c r="F51">
        <v>43014</v>
      </c>
      <c r="G51" t="s">
        <v>685</v>
      </c>
      <c r="H51" s="1">
        <v>310.39999999999998</v>
      </c>
      <c r="I51" s="1">
        <v>121.8</v>
      </c>
      <c r="J51" s="11">
        <v>2.6339999999999999E-2</v>
      </c>
      <c r="K51" s="11">
        <f t="shared" ca="1" si="8"/>
        <v>1.0342234961554489E-3</v>
      </c>
      <c r="L51" s="8">
        <v>4.1029999999999999E-3</v>
      </c>
      <c r="M51" s="8">
        <f t="shared" ca="1" si="9"/>
        <v>9.9914181175646933E-5</v>
      </c>
      <c r="N51" s="8">
        <v>0.48052</v>
      </c>
      <c r="O51" s="9">
        <v>243.72409999999999</v>
      </c>
      <c r="P51" s="9">
        <f t="shared" ca="1" si="10"/>
        <v>5.9350460559500293</v>
      </c>
      <c r="Q51" s="10">
        <v>4.6100000000000002E-2</v>
      </c>
      <c r="R51" s="10">
        <f t="shared" ca="1" si="11"/>
        <v>1.6763305163362029E-3</v>
      </c>
      <c r="S51" s="9">
        <f t="shared" si="12"/>
        <v>0.31955055054882792</v>
      </c>
      <c r="T51" s="12">
        <v>1.3879999999999999E-3</v>
      </c>
      <c r="U51" s="12">
        <f t="shared" ca="1" si="13"/>
        <v>4.3893252328803341E-5</v>
      </c>
      <c r="V51" s="6" t="e">
        <f ca="1">IF(agePb6U8(1/O51)&lt;1400,age7corr(1/O51,Q51,$W$2),agePb76(Q51))</f>
        <v>#NAME?</v>
      </c>
      <c r="W51" s="6" t="e">
        <f ca="1">IF(agePb6U8(1/O51)&lt;1400,ageer7corr(V51,1/O51,P51/O51*(1/O51),Q51,R51,$W$2,0.05),ageerPb76(Q51,R51))</f>
        <v>#NAME?</v>
      </c>
      <c r="X51" s="4" t="e">
        <f ca="1">agePb6U8(L51)/agePb7u5(J51)</f>
        <v>#NAME?</v>
      </c>
      <c r="Z51" s="1">
        <v>2.6339999999999999E-2</v>
      </c>
      <c r="AA51" s="1">
        <v>8.8999999999999995E-4</v>
      </c>
      <c r="AB51" s="1">
        <v>4.1029999999999999E-3</v>
      </c>
      <c r="AC51" s="1">
        <v>5.7000000000000003E-5</v>
      </c>
      <c r="AD51" s="1">
        <v>0.48052</v>
      </c>
      <c r="AE51" s="1">
        <v>243.72409999999999</v>
      </c>
      <c r="AF51" s="1">
        <v>3.3858820000000001</v>
      </c>
      <c r="AG51" s="1">
        <v>4.6100000000000002E-2</v>
      </c>
      <c r="AH51" s="1">
        <v>1.4E-3</v>
      </c>
      <c r="AI51" s="1">
        <v>-0.10954999999999999</v>
      </c>
      <c r="AJ51" s="1">
        <v>1.3879999999999999E-3</v>
      </c>
      <c r="AK51" s="1">
        <v>3.4E-5</v>
      </c>
      <c r="AL51" s="1">
        <v>7.99</v>
      </c>
      <c r="AM51" s="1">
        <v>0.2</v>
      </c>
      <c r="AN51" s="1">
        <v>26.4</v>
      </c>
      <c r="AO51" s="1">
        <v>0.88</v>
      </c>
      <c r="AP51" s="1">
        <v>26.4</v>
      </c>
      <c r="AQ51" s="1">
        <v>0.36</v>
      </c>
      <c r="AR51" s="1">
        <v>28.03</v>
      </c>
      <c r="AS51" s="1">
        <v>0.68</v>
      </c>
      <c r="AT51" s="1">
        <v>17</v>
      </c>
      <c r="AU51" s="1">
        <v>60</v>
      </c>
      <c r="AV51" s="1">
        <v>65.699999999999989</v>
      </c>
      <c r="AW51" s="1">
        <v>1.5</v>
      </c>
      <c r="AX51" s="1">
        <v>9.2799999999999994</v>
      </c>
      <c r="AY51" s="1">
        <v>0.27999999999999997</v>
      </c>
      <c r="AZ51" s="1">
        <v>1063.7729999999999</v>
      </c>
      <c r="BA51" s="1">
        <v>36.018000000000001</v>
      </c>
      <c r="BB51" s="1">
        <v>475.68599999999998</v>
      </c>
      <c r="BC51" s="1">
        <v>19.872</v>
      </c>
      <c r="BD51" s="1">
        <v>10538.37</v>
      </c>
      <c r="BE51" s="1">
        <v>229.77</v>
      </c>
      <c r="BF51" s="1">
        <v>1.7387999999999999</v>
      </c>
      <c r="BG51" s="1">
        <v>4.0985999999999994</v>
      </c>
      <c r="BH51" s="1">
        <f t="shared" si="14"/>
        <v>6060.7142857142862</v>
      </c>
      <c r="BI51" s="1">
        <f t="shared" si="15"/>
        <v>14286.580524484145</v>
      </c>
    </row>
    <row r="52" spans="1:61" x14ac:dyDescent="0.2">
      <c r="A52" t="s">
        <v>686</v>
      </c>
      <c r="B52" t="s">
        <v>38</v>
      </c>
      <c r="C52" t="s">
        <v>687</v>
      </c>
      <c r="D52" t="s">
        <v>688</v>
      </c>
      <c r="E52">
        <v>10271</v>
      </c>
      <c r="F52">
        <v>42815</v>
      </c>
      <c r="G52" t="s">
        <v>688</v>
      </c>
      <c r="H52" s="1">
        <v>48.8</v>
      </c>
      <c r="I52" s="1">
        <v>16.38</v>
      </c>
      <c r="J52" s="11">
        <v>2.86E-2</v>
      </c>
      <c r="K52" s="11">
        <f t="shared" ca="1" si="8"/>
        <v>2.4672219194875841E-3</v>
      </c>
      <c r="L52" s="8">
        <v>4.1640000000000002E-3</v>
      </c>
      <c r="M52" s="8">
        <f t="shared" ca="1" si="9"/>
        <v>1.1478919112878182E-4</v>
      </c>
      <c r="N52" s="8">
        <v>8.4239000000000004E-4</v>
      </c>
      <c r="O52" s="9">
        <v>240.15369999999999</v>
      </c>
      <c r="P52" s="9">
        <f t="shared" ca="1" si="10"/>
        <v>6.6203286672472688</v>
      </c>
      <c r="Q52" s="10">
        <v>4.9700000000000001E-2</v>
      </c>
      <c r="R52" s="10">
        <f t="shared" ca="1" si="11"/>
        <v>4.3160208525909608E-3</v>
      </c>
      <c r="S52" s="9">
        <f t="shared" si="12"/>
        <v>0.17453425359363756</v>
      </c>
      <c r="T52" s="12">
        <v>1.761E-3</v>
      </c>
      <c r="U52" s="12">
        <f t="shared" ca="1" si="13"/>
        <v>7.7469015741778974E-5</v>
      </c>
      <c r="V52" s="6" t="e">
        <f ca="1">IF(agePb6U8(1/O52)&lt;1400,age7corr(1/O52,Q52,$W$2),agePb76(Q52))</f>
        <v>#NAME?</v>
      </c>
      <c r="W52" s="6" t="e">
        <f ca="1">IF(agePb6U8(1/O52)&lt;1400,ageer7corr(V52,1/O52,P52/O52*(1/O52),Q52,R52,$W$2,0.05),ageerPb76(Q52,R52))</f>
        <v>#NAME?</v>
      </c>
      <c r="X52" s="4" t="e">
        <f ca="1">agePb6U8(L52)/agePb7u5(J52)</f>
        <v>#NAME?</v>
      </c>
      <c r="Z52" s="1">
        <v>2.86E-2</v>
      </c>
      <c r="AA52" s="1">
        <v>2.3999999999999998E-3</v>
      </c>
      <c r="AB52" s="1">
        <v>4.1640000000000002E-3</v>
      </c>
      <c r="AC52" s="1">
        <v>7.8999999999999996E-5</v>
      </c>
      <c r="AD52" s="1">
        <v>8.4239000000000004E-4</v>
      </c>
      <c r="AE52" s="1">
        <v>240.15369999999999</v>
      </c>
      <c r="AF52" s="1">
        <v>4.5562300000000002</v>
      </c>
      <c r="AG52" s="1">
        <v>4.9700000000000001E-2</v>
      </c>
      <c r="AH52" s="1">
        <v>4.1999999999999997E-3</v>
      </c>
      <c r="AI52" s="1">
        <v>0.25146000000000002</v>
      </c>
      <c r="AJ52" s="1">
        <v>1.761E-3</v>
      </c>
      <c r="AK52" s="1">
        <v>6.8999999999999997E-5</v>
      </c>
      <c r="AL52" s="1">
        <v>7.48</v>
      </c>
      <c r="AM52" s="1">
        <v>0.31</v>
      </c>
      <c r="AN52" s="1">
        <v>28.7</v>
      </c>
      <c r="AO52" s="1">
        <v>2.2999999999999998</v>
      </c>
      <c r="AP52" s="1">
        <v>26.79</v>
      </c>
      <c r="AQ52" s="1">
        <v>0.51</v>
      </c>
      <c r="AR52" s="1">
        <v>35.6</v>
      </c>
      <c r="AS52" s="1">
        <v>1.4</v>
      </c>
      <c r="AT52" s="1">
        <v>210</v>
      </c>
      <c r="AU52" s="1">
        <v>180</v>
      </c>
      <c r="AV52" s="1">
        <v>10.319999999999999</v>
      </c>
      <c r="AW52" s="1">
        <v>0.25</v>
      </c>
      <c r="AX52" s="1">
        <v>1.248</v>
      </c>
      <c r="AY52" s="1">
        <v>3.7999999999999999E-2</v>
      </c>
      <c r="AZ52" s="1">
        <v>183.816</v>
      </c>
      <c r="BA52" s="1">
        <v>8.0729999999999986</v>
      </c>
      <c r="BB52" s="1">
        <v>83.835000000000008</v>
      </c>
      <c r="BC52" s="1">
        <v>7.4519999999999991</v>
      </c>
      <c r="BD52" s="1">
        <v>1687.2570000000001</v>
      </c>
      <c r="BE52" s="1">
        <v>39.123000000000005</v>
      </c>
      <c r="BF52" s="1">
        <v>-12.419999999999998</v>
      </c>
      <c r="BG52" s="1">
        <v>8.0729999999999986</v>
      </c>
      <c r="BH52" s="1">
        <f t="shared" si="14"/>
        <v>-135.85000000000002</v>
      </c>
      <c r="BI52" s="1">
        <f t="shared" si="15"/>
        <v>-88.358666842874015</v>
      </c>
    </row>
    <row r="53" spans="1:61" x14ac:dyDescent="0.2">
      <c r="A53" t="s">
        <v>689</v>
      </c>
      <c r="B53" t="s">
        <v>38</v>
      </c>
      <c r="C53" t="s">
        <v>690</v>
      </c>
      <c r="D53" t="s">
        <v>691</v>
      </c>
      <c r="E53">
        <v>10364</v>
      </c>
      <c r="F53">
        <v>42621</v>
      </c>
      <c r="G53" t="s">
        <v>691</v>
      </c>
      <c r="H53" s="1">
        <v>791</v>
      </c>
      <c r="I53" s="1">
        <v>491</v>
      </c>
      <c r="J53" s="11">
        <v>2.7869999999999999E-2</v>
      </c>
      <c r="K53" s="11">
        <f t="shared" ca="1" si="8"/>
        <v>8.1895955944112403E-4</v>
      </c>
      <c r="L53" s="8">
        <v>4.2500000000000003E-3</v>
      </c>
      <c r="M53" s="8">
        <f t="shared" ca="1" si="9"/>
        <v>9.394147114027969E-5</v>
      </c>
      <c r="N53" s="8">
        <v>0.88573999999999997</v>
      </c>
      <c r="O53" s="9">
        <v>235.29409999999999</v>
      </c>
      <c r="P53" s="9">
        <f t="shared" ca="1" si="10"/>
        <v>5.2009116322057425</v>
      </c>
      <c r="Q53" s="10">
        <v>4.7620000000000003E-2</v>
      </c>
      <c r="R53" s="10">
        <f t="shared" ca="1" si="11"/>
        <v>1.3452010110017016E-3</v>
      </c>
      <c r="S53" s="9">
        <f t="shared" si="12"/>
        <v>0.47847027353296506</v>
      </c>
      <c r="T53" s="12">
        <v>1.4250000000000001E-3</v>
      </c>
      <c r="U53" s="12">
        <f t="shared" ca="1" si="13"/>
        <v>3.6003472054789383E-5</v>
      </c>
      <c r="V53" s="6" t="e">
        <f ca="1">IF(agePb6U8(1/O53)&lt;1400,age7corr(1/O53,Q53,$W$2),agePb76(Q53))</f>
        <v>#NAME?</v>
      </c>
      <c r="W53" s="6" t="e">
        <f ca="1">IF(agePb6U8(1/O53)&lt;1400,ageer7corr(V53,1/O53,P53/O53*(1/O53),Q53,R53,$W$2,0.05),ageerPb76(Q53,R53))</f>
        <v>#NAME?</v>
      </c>
      <c r="X53" s="4" t="e">
        <f ca="1">agePb6U8(L53)/agePb7u5(J53)</f>
        <v>#NAME?</v>
      </c>
      <c r="Z53" s="1">
        <v>2.7869999999999999E-2</v>
      </c>
      <c r="AA53" s="1">
        <v>5.9999999999999995E-4</v>
      </c>
      <c r="AB53" s="1">
        <v>4.2500000000000003E-3</v>
      </c>
      <c r="AC53" s="1">
        <v>4.0000000000000003E-5</v>
      </c>
      <c r="AD53" s="1">
        <v>0.88573999999999997</v>
      </c>
      <c r="AE53" s="1">
        <v>235.29409999999999</v>
      </c>
      <c r="AF53" s="1">
        <v>2.2145329999999999</v>
      </c>
      <c r="AG53" s="1">
        <v>4.7620000000000003E-2</v>
      </c>
      <c r="AH53" s="1">
        <v>9.5E-4</v>
      </c>
      <c r="AI53" s="1">
        <v>-0.82894000000000001</v>
      </c>
      <c r="AJ53" s="1">
        <v>1.4250000000000001E-3</v>
      </c>
      <c r="AK53" s="1">
        <v>2.1999999999999999E-5</v>
      </c>
      <c r="AL53" s="1">
        <v>5.0869999999999997</v>
      </c>
      <c r="AM53" s="1">
        <v>6.0999999999999999E-2</v>
      </c>
      <c r="AN53" s="1">
        <v>27.91</v>
      </c>
      <c r="AO53" s="1">
        <v>0.59</v>
      </c>
      <c r="AP53" s="1">
        <v>27.34</v>
      </c>
      <c r="AQ53" s="1">
        <v>0.25</v>
      </c>
      <c r="AR53" s="1">
        <v>28.78</v>
      </c>
      <c r="AS53" s="1">
        <v>0.45</v>
      </c>
      <c r="AT53" s="1">
        <v>82</v>
      </c>
      <c r="AU53" s="1">
        <v>44</v>
      </c>
      <c r="AV53" s="1">
        <v>167.4</v>
      </c>
      <c r="AW53" s="1">
        <v>3.8</v>
      </c>
      <c r="AX53" s="1">
        <v>37.400000000000006</v>
      </c>
      <c r="AY53" s="1">
        <v>1.3</v>
      </c>
      <c r="AZ53" s="1">
        <v>4396.68</v>
      </c>
      <c r="BA53" s="1">
        <v>124.2</v>
      </c>
      <c r="BB53" s="1">
        <v>1287.9540000000002</v>
      </c>
      <c r="BC53" s="1">
        <v>37.26</v>
      </c>
      <c r="BD53" s="1">
        <v>27634.499999999996</v>
      </c>
      <c r="BE53" s="1">
        <v>683.09999999999991</v>
      </c>
      <c r="BF53" s="1">
        <v>7.7004000000000001</v>
      </c>
      <c r="BG53" s="1">
        <v>5.1543000000000001</v>
      </c>
      <c r="BH53" s="1">
        <f t="shared" si="14"/>
        <v>3588.7096774193542</v>
      </c>
      <c r="BI53" s="1">
        <f t="shared" si="15"/>
        <v>2403.7576419276393</v>
      </c>
    </row>
    <row r="54" spans="1:61" x14ac:dyDescent="0.2">
      <c r="A54" t="s">
        <v>692</v>
      </c>
      <c r="B54" t="s">
        <v>38</v>
      </c>
      <c r="C54" t="s">
        <v>693</v>
      </c>
      <c r="D54" t="s">
        <v>694</v>
      </c>
      <c r="E54">
        <v>10360</v>
      </c>
      <c r="F54">
        <v>42484</v>
      </c>
      <c r="G54" t="s">
        <v>694</v>
      </c>
      <c r="H54" s="1">
        <v>3980</v>
      </c>
      <c r="I54" s="1">
        <v>2790</v>
      </c>
      <c r="J54" s="11">
        <v>2.955E-2</v>
      </c>
      <c r="K54" s="11">
        <f t="shared" ca="1" si="8"/>
        <v>1.0683543419671209E-3</v>
      </c>
      <c r="L54" s="8">
        <v>4.3200000000000001E-3</v>
      </c>
      <c r="M54" s="8">
        <f t="shared" ca="1" si="9"/>
        <v>1.3987480116161023E-4</v>
      </c>
      <c r="N54" s="8">
        <v>0.96426000000000001</v>
      </c>
      <c r="O54" s="9">
        <v>231.48150000000001</v>
      </c>
      <c r="P54" s="9">
        <f t="shared" ca="1" si="10"/>
        <v>7.4950059860226945</v>
      </c>
      <c r="Q54" s="10">
        <v>4.9180000000000001E-2</v>
      </c>
      <c r="R54" s="10">
        <f t="shared" ca="1" si="11"/>
        <v>1.0944720005555189E-3</v>
      </c>
      <c r="S54" s="9">
        <f t="shared" si="12"/>
        <v>0.49372053379693509</v>
      </c>
      <c r="T54" s="12">
        <v>1.8389999999999999E-3</v>
      </c>
      <c r="U54" s="12">
        <f t="shared" ca="1" si="13"/>
        <v>6.5335812537994811E-5</v>
      </c>
      <c r="V54" s="6" t="e">
        <f ca="1">IF(agePb6U8(1/O54)&lt;1400,age7corr(1/O54,Q54,$W$2),agePb76(Q54))</f>
        <v>#NAME?</v>
      </c>
      <c r="W54" s="6" t="e">
        <f ca="1">IF(agePb6U8(1/O54)&lt;1400,ageer7corr(V54,1/O54,P54/O54*(1/O54),Q54,R54,$W$2,0.05),ageerPb76(Q54,R54))</f>
        <v>#NAME?</v>
      </c>
      <c r="X54" s="4" t="e">
        <f ca="1">agePb6U8(L54)/agePb7u5(J54)</f>
        <v>#NAME?</v>
      </c>
      <c r="Z54" s="1">
        <v>2.955E-2</v>
      </c>
      <c r="AA54" s="1">
        <v>8.8999999999999995E-4</v>
      </c>
      <c r="AB54" s="1">
        <v>4.3200000000000001E-3</v>
      </c>
      <c r="AC54" s="1">
        <v>1.1E-4</v>
      </c>
      <c r="AD54" s="1">
        <v>0.96426000000000001</v>
      </c>
      <c r="AE54" s="1">
        <v>231.48150000000001</v>
      </c>
      <c r="AF54" s="1">
        <v>5.8942040000000002</v>
      </c>
      <c r="AG54" s="1">
        <v>4.9180000000000001E-2</v>
      </c>
      <c r="AH54" s="1">
        <v>4.8000000000000001E-4</v>
      </c>
      <c r="AI54" s="1">
        <v>4.7516000000000003E-2</v>
      </c>
      <c r="AJ54" s="1">
        <v>1.8389999999999999E-3</v>
      </c>
      <c r="AK54" s="1">
        <v>5.3999999999999998E-5</v>
      </c>
      <c r="AL54" s="1">
        <v>3.5590000000000002</v>
      </c>
      <c r="AM54" s="1">
        <v>7.2999999999999995E-2</v>
      </c>
      <c r="AN54" s="1">
        <v>29.57</v>
      </c>
      <c r="AO54" s="1">
        <v>0.88</v>
      </c>
      <c r="AP54" s="1">
        <v>27.8</v>
      </c>
      <c r="AQ54" s="1">
        <v>0.7</v>
      </c>
      <c r="AR54" s="1">
        <v>37.1</v>
      </c>
      <c r="AS54" s="1">
        <v>1.1000000000000001</v>
      </c>
      <c r="AT54" s="1">
        <v>160</v>
      </c>
      <c r="AU54" s="1">
        <v>22</v>
      </c>
      <c r="AV54" s="1">
        <v>841</v>
      </c>
      <c r="AW54" s="1">
        <v>40</v>
      </c>
      <c r="AX54" s="1">
        <v>212.2</v>
      </c>
      <c r="AY54" s="1">
        <v>7.8</v>
      </c>
      <c r="AZ54" s="1">
        <v>31546.799999999999</v>
      </c>
      <c r="BA54" s="1">
        <v>1676.7</v>
      </c>
      <c r="BB54" s="1">
        <v>6725.43</v>
      </c>
      <c r="BC54" s="1">
        <v>409.86</v>
      </c>
      <c r="BD54" s="1">
        <v>139104</v>
      </c>
      <c r="BE54" s="1">
        <v>7452.0000000000009</v>
      </c>
      <c r="BF54" s="1">
        <v>14.841900000000001</v>
      </c>
      <c r="BG54" s="1">
        <v>6.0236999999999998</v>
      </c>
      <c r="BH54" s="1">
        <f t="shared" si="14"/>
        <v>9372.3849372384939</v>
      </c>
      <c r="BI54" s="1">
        <f t="shared" si="15"/>
        <v>3836.8488495278052</v>
      </c>
    </row>
    <row r="55" spans="1:61" x14ac:dyDescent="0.2">
      <c r="A55" t="s">
        <v>695</v>
      </c>
      <c r="B55" t="s">
        <v>38</v>
      </c>
      <c r="C55" t="s">
        <v>696</v>
      </c>
      <c r="D55" t="s">
        <v>697</v>
      </c>
      <c r="E55">
        <v>10260</v>
      </c>
      <c r="F55">
        <v>42254</v>
      </c>
      <c r="G55" t="s">
        <v>697</v>
      </c>
      <c r="H55" s="1">
        <v>587.79999999999995</v>
      </c>
      <c r="I55" s="1">
        <v>648</v>
      </c>
      <c r="J55" s="11">
        <v>2.9669999999999998E-2</v>
      </c>
      <c r="K55" s="11">
        <f t="shared" ca="1" si="8"/>
        <v>1.0531018754137702E-3</v>
      </c>
      <c r="L55" s="8">
        <v>4.163E-3</v>
      </c>
      <c r="M55" s="8">
        <f t="shared" ca="1" si="9"/>
        <v>9.2807475991969521E-5</v>
      </c>
      <c r="N55" s="8">
        <v>0.38840000000000002</v>
      </c>
      <c r="O55" s="9">
        <v>240.2114</v>
      </c>
      <c r="P55" s="9">
        <f t="shared" ca="1" si="10"/>
        <v>5.355131792647871</v>
      </c>
      <c r="Q55" s="10">
        <v>5.1700000000000003E-2</v>
      </c>
      <c r="R55" s="10">
        <f t="shared" ca="1" si="11"/>
        <v>1.6610707390114366E-3</v>
      </c>
      <c r="S55" s="9">
        <f t="shared" si="12"/>
        <v>0.30274270279062437</v>
      </c>
      <c r="T55" s="12">
        <v>1.0690000000000001E-3</v>
      </c>
      <c r="U55" s="12">
        <f t="shared" ca="1" si="13"/>
        <v>2.9968390013479203E-5</v>
      </c>
      <c r="V55" s="6" t="e">
        <f ca="1">IF(agePb6U8(1/O55)&lt;1400,age7corr(1/O55,Q55,$W$2),agePb76(Q55))</f>
        <v>#NAME?</v>
      </c>
      <c r="W55" s="6" t="e">
        <f ca="1">IF(agePb6U8(1/O55)&lt;1400,ageer7corr(V55,1/O55,P55/O55*(1/O55),Q55,R55,$W$2,0.05),ageerPb76(Q55,R55))</f>
        <v>#NAME?</v>
      </c>
      <c r="X55" s="4" t="e">
        <f ca="1">agePb6U8(L55)/agePb7u5(J55)</f>
        <v>#NAME?</v>
      </c>
      <c r="Z55" s="1">
        <v>2.9669999999999998E-2</v>
      </c>
      <c r="AA55" s="1">
        <v>8.7000000000000001E-4</v>
      </c>
      <c r="AB55" s="1">
        <v>4.163E-3</v>
      </c>
      <c r="AC55" s="1">
        <v>4.1E-5</v>
      </c>
      <c r="AD55" s="1">
        <v>0.38840000000000002</v>
      </c>
      <c r="AE55" s="1">
        <v>240.2114</v>
      </c>
      <c r="AF55" s="1">
        <v>2.3657620000000001</v>
      </c>
      <c r="AG55" s="1">
        <v>5.1700000000000003E-2</v>
      </c>
      <c r="AH55" s="1">
        <v>1.2999999999999999E-3</v>
      </c>
      <c r="AI55" s="1">
        <v>-0.23732</v>
      </c>
      <c r="AJ55" s="1">
        <v>1.0690000000000001E-3</v>
      </c>
      <c r="AK55" s="1">
        <v>2.0999999999999999E-5</v>
      </c>
      <c r="AL55" s="1">
        <v>3.7610000000000001</v>
      </c>
      <c r="AM55" s="1">
        <v>4.4999999999999998E-2</v>
      </c>
      <c r="AN55" s="1">
        <v>29.68</v>
      </c>
      <c r="AO55" s="1">
        <v>0.85</v>
      </c>
      <c r="AP55" s="1">
        <v>26.78</v>
      </c>
      <c r="AQ55" s="1">
        <v>0.26</v>
      </c>
      <c r="AR55" s="1">
        <v>21.6</v>
      </c>
      <c r="AS55" s="1">
        <v>0.42</v>
      </c>
      <c r="AT55" s="1">
        <v>246</v>
      </c>
      <c r="AU55" s="1">
        <v>44</v>
      </c>
      <c r="AV55" s="1">
        <v>124.3</v>
      </c>
      <c r="AW55" s="1">
        <v>2</v>
      </c>
      <c r="AX55" s="1">
        <v>49.4</v>
      </c>
      <c r="AY55" s="1">
        <v>1.7</v>
      </c>
      <c r="AZ55" s="1">
        <v>4371.84</v>
      </c>
      <c r="BA55" s="1">
        <v>74.52</v>
      </c>
      <c r="BB55" s="1">
        <v>1020.924</v>
      </c>
      <c r="BC55" s="1">
        <v>30.428999999999998</v>
      </c>
      <c r="BD55" s="1">
        <v>20058.3</v>
      </c>
      <c r="BE55" s="1">
        <v>298.08</v>
      </c>
      <c r="BF55" s="1">
        <v>11.177999999999999</v>
      </c>
      <c r="BG55" s="1">
        <v>6.8310000000000004</v>
      </c>
      <c r="BH55" s="1">
        <f t="shared" si="14"/>
        <v>1794.4444444444446</v>
      </c>
      <c r="BI55" s="1">
        <f t="shared" si="15"/>
        <v>1096.9291233953002</v>
      </c>
    </row>
    <row r="56" spans="1:61" x14ac:dyDescent="0.2">
      <c r="A56" t="s">
        <v>698</v>
      </c>
      <c r="B56" t="s">
        <v>38</v>
      </c>
      <c r="C56" t="s">
        <v>699</v>
      </c>
      <c r="D56" t="s">
        <v>700</v>
      </c>
      <c r="E56">
        <v>10249</v>
      </c>
      <c r="F56">
        <v>42170</v>
      </c>
      <c r="G56" t="s">
        <v>700</v>
      </c>
      <c r="H56" s="1">
        <v>690</v>
      </c>
      <c r="I56" s="1">
        <v>535</v>
      </c>
      <c r="J56" s="11">
        <v>2.9020000000000001E-2</v>
      </c>
      <c r="K56" s="11">
        <f t="shared" ref="K56:K87" ca="1" si="16">SQRT(K$2^2+(AA56/Z56)^2)*J56</f>
        <v>9.3261147322987604E-4</v>
      </c>
      <c r="L56" s="8">
        <v>4.287E-3</v>
      </c>
      <c r="M56" s="8">
        <f t="shared" ref="M56:M87" ca="1" si="17">SQRT(M$2^2+(AC56/AB56)^2)*L56</f>
        <v>1.0079854959273968E-4</v>
      </c>
      <c r="N56" s="8">
        <v>0.51883999999999997</v>
      </c>
      <c r="O56" s="9">
        <v>233.26339999999999</v>
      </c>
      <c r="P56" s="9">
        <f t="shared" ref="P56:P87" ca="1" si="18">SQRT(P$2^2+(AF56/AE56)^2)*O56</f>
        <v>5.4846305383725715</v>
      </c>
      <c r="Q56" s="10">
        <v>4.9000000000000002E-2</v>
      </c>
      <c r="R56" s="10">
        <f t="shared" ref="R56:R87" ca="1" si="19">SQRT(R$2^2+(AH56/AG56)^2)*Q56</f>
        <v>1.4001428498549712E-3</v>
      </c>
      <c r="S56" s="9">
        <f t="shared" ref="S56:S87" si="20">(((BE56/BD56)^2+(AW56/AV56)^2)+((BE56/BD56)^2+(BC56/BB56)^2)-((BC56/BB56)^2+(AW56/AV56)^2))/(2*SQRT((BE56/BD56)^2+(AW56/AV56)^2)*SQRT((BE56/BD56)^2+(BC56/BB56)^2))</f>
        <v>0.42894299589310231</v>
      </c>
      <c r="T56" s="12">
        <v>1.4779999999999999E-3</v>
      </c>
      <c r="U56" s="12">
        <f t="shared" ref="U56:U87" ca="1" si="21">SQRT(U$2^2+(AK56/AJ56)^2)*T56</f>
        <v>4.7358141855440232E-5</v>
      </c>
      <c r="V56" s="6" t="e">
        <f ca="1">IF(agePb6U8(1/O56)&lt;1400,age7corr(1/O56,Q56,$W$2),agePb76(Q56))</f>
        <v>#NAME?</v>
      </c>
      <c r="W56" s="6" t="e">
        <f ca="1">IF(agePb6U8(1/O56)&lt;1400,ageer7corr(V56,1/O56,P56/O56*(1/O56),Q56,R56,$W$2,0.05),ageerPb76(Q56,R56))</f>
        <v>#NAME?</v>
      </c>
      <c r="X56" s="4" t="e">
        <f ca="1">agePb6U8(L56)/agePb7u5(J56)</f>
        <v>#NAME?</v>
      </c>
      <c r="Z56" s="1">
        <v>2.9020000000000001E-2</v>
      </c>
      <c r="AA56" s="1">
        <v>7.2999999999999996E-4</v>
      </c>
      <c r="AB56" s="1">
        <v>4.287E-3</v>
      </c>
      <c r="AC56" s="1">
        <v>5.3000000000000001E-5</v>
      </c>
      <c r="AD56" s="1">
        <v>0.51883999999999997</v>
      </c>
      <c r="AE56" s="1">
        <v>233.26339999999999</v>
      </c>
      <c r="AF56" s="1">
        <v>2.8838249999999999</v>
      </c>
      <c r="AG56" s="1">
        <v>4.9000000000000002E-2</v>
      </c>
      <c r="AH56" s="1">
        <v>1E-3</v>
      </c>
      <c r="AI56" s="1">
        <v>-0.16303999999999999</v>
      </c>
      <c r="AJ56" s="1">
        <v>1.4779999999999999E-3</v>
      </c>
      <c r="AK56" s="1">
        <v>3.6999999999999998E-5</v>
      </c>
      <c r="AL56" s="1">
        <v>4.008</v>
      </c>
      <c r="AM56" s="1">
        <v>3.5000000000000003E-2</v>
      </c>
      <c r="AN56" s="1">
        <v>29.05</v>
      </c>
      <c r="AO56" s="1">
        <v>0.72</v>
      </c>
      <c r="AP56" s="1">
        <v>27.57</v>
      </c>
      <c r="AQ56" s="1">
        <v>0.34</v>
      </c>
      <c r="AR56" s="1">
        <v>29.86</v>
      </c>
      <c r="AS56" s="1">
        <v>0.76</v>
      </c>
      <c r="AT56" s="1">
        <v>145</v>
      </c>
      <c r="AU56" s="1">
        <v>47</v>
      </c>
      <c r="AV56" s="1">
        <v>146</v>
      </c>
      <c r="AW56" s="1">
        <v>3.6</v>
      </c>
      <c r="AX56" s="1">
        <v>40.800000000000004</v>
      </c>
      <c r="AY56" s="1">
        <v>2.2999999999999998</v>
      </c>
      <c r="AZ56" s="1">
        <v>4924.5300000000007</v>
      </c>
      <c r="BA56" s="1">
        <v>99.359999999999985</v>
      </c>
      <c r="BB56" s="1">
        <v>1168.722</v>
      </c>
      <c r="BC56" s="1">
        <v>32.912999999999997</v>
      </c>
      <c r="BD56" s="1">
        <v>24697.17</v>
      </c>
      <c r="BE56" s="1">
        <v>565.1099999999999</v>
      </c>
      <c r="BF56" s="1">
        <v>12.482100000000001</v>
      </c>
      <c r="BG56" s="1">
        <v>6.0236999999999998</v>
      </c>
      <c r="BH56" s="1">
        <f t="shared" ref="BH56:BH87" si="22">BD56/BF56</f>
        <v>1978.6069651741291</v>
      </c>
      <c r="BI56" s="1">
        <f t="shared" ref="BI56:BI87" si="23">SQRT((BG56/BF56)^2+(BE56/BD56)^2)*BH56</f>
        <v>955.92283562718933</v>
      </c>
    </row>
    <row r="57" spans="1:61" x14ac:dyDescent="0.2">
      <c r="A57" t="s">
        <v>572</v>
      </c>
      <c r="B57" t="s">
        <v>38</v>
      </c>
      <c r="C57" t="s">
        <v>573</v>
      </c>
      <c r="D57" t="s">
        <v>574</v>
      </c>
      <c r="E57">
        <v>10206</v>
      </c>
      <c r="F57">
        <v>54955</v>
      </c>
      <c r="G57" t="s">
        <v>574</v>
      </c>
      <c r="H57" s="1">
        <v>-0.12</v>
      </c>
      <c r="I57" s="1">
        <v>0.46</v>
      </c>
      <c r="J57" s="11" t="s">
        <v>575</v>
      </c>
      <c r="K57" s="11" t="e">
        <f t="shared" ca="1" si="16"/>
        <v>#VALUE!</v>
      </c>
      <c r="L57" s="8" t="s">
        <v>575</v>
      </c>
      <c r="M57" s="8" t="e">
        <f t="shared" ca="1" si="17"/>
        <v>#VALUE!</v>
      </c>
      <c r="N57" s="8" t="s">
        <v>577</v>
      </c>
      <c r="P57" s="9" t="e">
        <f t="shared" ca="1" si="18"/>
        <v>#DIV/0!</v>
      </c>
      <c r="Q57" s="10" t="s">
        <v>575</v>
      </c>
      <c r="R57" s="10" t="e">
        <f t="shared" ca="1" si="19"/>
        <v>#VALUE!</v>
      </c>
      <c r="S57" s="9">
        <f t="shared" si="20"/>
        <v>0.74373161359241602</v>
      </c>
      <c r="T57" s="12" t="s">
        <v>575</v>
      </c>
      <c r="U57" s="12" t="e">
        <f t="shared" ca="1" si="21"/>
        <v>#VALUE!</v>
      </c>
      <c r="V57" s="6" t="e">
        <f ca="1">IF(agePb6U8(1/O57)&lt;1400,age7corr(1/O57,Q57,$W$2),agePb76(Q57))</f>
        <v>#NAME?</v>
      </c>
      <c r="W57" s="6" t="e">
        <f ca="1">IF(agePb6U8(1/O57)&lt;1400,ageer7corr(V57,1/O57,P57/O57*(1/O57),Q57,R57,$W$2,0.05),ageerPb76(Q57,R57))</f>
        <v>#NAME?</v>
      </c>
      <c r="X57" s="4" t="e">
        <f ca="1">agePb6U8(L57)/agePb7u5(J57)</f>
        <v>#NAME?</v>
      </c>
      <c r="Z57" s="1" t="s">
        <v>575</v>
      </c>
      <c r="AA57" s="1" t="s">
        <v>576</v>
      </c>
      <c r="AB57" s="1" t="s">
        <v>575</v>
      </c>
      <c r="AC57" s="1" t="s">
        <v>576</v>
      </c>
      <c r="AD57" s="1" t="s">
        <v>577</v>
      </c>
      <c r="AG57" s="1" t="s">
        <v>575</v>
      </c>
      <c r="AH57" s="1" t="s">
        <v>576</v>
      </c>
      <c r="AI57" s="1" t="s">
        <v>577</v>
      </c>
      <c r="AJ57" s="1" t="s">
        <v>575</v>
      </c>
      <c r="AK57" s="1" t="s">
        <v>576</v>
      </c>
      <c r="AL57" s="1" t="s">
        <v>575</v>
      </c>
      <c r="AM57" s="1" t="s">
        <v>576</v>
      </c>
      <c r="AN57" s="1" t="s">
        <v>575</v>
      </c>
      <c r="AO57" s="1" t="s">
        <v>576</v>
      </c>
      <c r="AP57" s="1" t="s">
        <v>575</v>
      </c>
      <c r="AQ57" s="1" t="s">
        <v>576</v>
      </c>
      <c r="AR57" s="1" t="s">
        <v>575</v>
      </c>
      <c r="AS57" s="1" t="s">
        <v>576</v>
      </c>
      <c r="AT57" s="1" t="s">
        <v>575</v>
      </c>
      <c r="AU57" s="1" t="s">
        <v>576</v>
      </c>
      <c r="AV57" s="1">
        <v>-2.5999999999999999E-2</v>
      </c>
      <c r="AW57" s="1">
        <v>2.1999999999999999E-2</v>
      </c>
      <c r="AX57" s="1">
        <v>3.4999999999999996E-2</v>
      </c>
      <c r="AY57" s="1">
        <v>2.4E-2</v>
      </c>
      <c r="AZ57" s="1">
        <v>26.082000000000001</v>
      </c>
      <c r="BA57" s="1">
        <v>9.9359999999999999</v>
      </c>
      <c r="BB57" s="1">
        <v>12.419999999999998</v>
      </c>
      <c r="BC57" s="1">
        <v>6.8310000000000004</v>
      </c>
      <c r="BD57" s="1">
        <v>4.9059000000000008</v>
      </c>
      <c r="BE57" s="1">
        <v>5.8995000000000006</v>
      </c>
      <c r="BF57" s="1">
        <v>73.899000000000001</v>
      </c>
      <c r="BG57" s="1">
        <v>13.041</v>
      </c>
      <c r="BH57" s="1">
        <f t="shared" si="22"/>
        <v>6.6386554621848753E-2</v>
      </c>
      <c r="BI57" s="1">
        <f t="shared" si="23"/>
        <v>8.0686957702404458E-2</v>
      </c>
    </row>
    <row r="58" spans="1:61" x14ac:dyDescent="0.2">
      <c r="A58" t="s">
        <v>707</v>
      </c>
      <c r="B58" t="s">
        <v>38</v>
      </c>
      <c r="C58" t="s">
        <v>708</v>
      </c>
      <c r="D58" t="s">
        <v>709</v>
      </c>
      <c r="E58">
        <v>10334</v>
      </c>
      <c r="F58">
        <v>42153</v>
      </c>
      <c r="G58" t="s">
        <v>709</v>
      </c>
      <c r="H58" s="1">
        <v>2302</v>
      </c>
      <c r="I58" s="1">
        <v>1830</v>
      </c>
      <c r="J58" s="11">
        <v>2.7779999999999999E-2</v>
      </c>
      <c r="K58" s="11">
        <f t="shared" ca="1" si="16"/>
        <v>7.3422841132715644E-4</v>
      </c>
      <c r="L58" s="8">
        <v>4.2719999999999998E-3</v>
      </c>
      <c r="M58" s="8">
        <f t="shared" ca="1" si="17"/>
        <v>1.0001996600679286E-4</v>
      </c>
      <c r="N58" s="8">
        <v>0.76756000000000002</v>
      </c>
      <c r="O58" s="9">
        <v>234.08240000000001</v>
      </c>
      <c r="P58" s="9">
        <f t="shared" ca="1" si="18"/>
        <v>5.480551163982323</v>
      </c>
      <c r="Q58" s="10">
        <v>4.7169999999999997E-2</v>
      </c>
      <c r="R58" s="10">
        <f t="shared" ca="1" si="19"/>
        <v>1.0820829727890555E-3</v>
      </c>
      <c r="S58" s="9">
        <f t="shared" si="20"/>
        <v>0.51273563112138976</v>
      </c>
      <c r="T58" s="12">
        <v>1.444E-3</v>
      </c>
      <c r="U58" s="12">
        <f t="shared" ca="1" si="21"/>
        <v>3.7550691072202655E-5</v>
      </c>
      <c r="V58" s="6" t="e">
        <f ca="1">IF(agePb6U8(1/O58)&lt;1400,age7corr(1/O58,Q58,$W$2),agePb76(Q58))</f>
        <v>#NAME?</v>
      </c>
      <c r="W58" s="6" t="e">
        <f ca="1">IF(agePb6U8(1/O58)&lt;1400,ageer7corr(V58,1/O58,P58/O58*(1/O58),Q58,R58,$W$2,0.05),ageerPb76(Q58,R58))</f>
        <v>#NAME?</v>
      </c>
      <c r="X58" s="4" t="e">
        <f ca="1">agePb6U8(L58)/agePb7u5(J58)</f>
        <v>#NAME?</v>
      </c>
      <c r="Z58" s="1">
        <v>2.7779999999999999E-2</v>
      </c>
      <c r="AA58" s="1">
        <v>4.8000000000000001E-4</v>
      </c>
      <c r="AB58" s="1">
        <v>4.2719999999999998E-3</v>
      </c>
      <c r="AC58" s="1">
        <v>5.1999999999999997E-5</v>
      </c>
      <c r="AD58" s="1">
        <v>0.76756000000000002</v>
      </c>
      <c r="AE58" s="1">
        <v>234.08240000000001</v>
      </c>
      <c r="AF58" s="1">
        <v>2.8493179999999998</v>
      </c>
      <c r="AG58" s="1">
        <v>4.7169999999999997E-2</v>
      </c>
      <c r="AH58" s="1">
        <v>5.2999999999999998E-4</v>
      </c>
      <c r="AI58" s="1">
        <v>-0.11939</v>
      </c>
      <c r="AJ58" s="1">
        <v>1.444E-3</v>
      </c>
      <c r="AK58" s="1">
        <v>2.4000000000000001E-5</v>
      </c>
      <c r="AL58" s="1">
        <v>4.0330000000000004</v>
      </c>
      <c r="AM58" s="1">
        <v>3.1E-2</v>
      </c>
      <c r="AN58" s="1">
        <v>27.82</v>
      </c>
      <c r="AO58" s="1">
        <v>0.48</v>
      </c>
      <c r="AP58" s="1">
        <v>27.48</v>
      </c>
      <c r="AQ58" s="1">
        <v>0.33</v>
      </c>
      <c r="AR58" s="1">
        <v>29.16</v>
      </c>
      <c r="AS58" s="1">
        <v>0.49</v>
      </c>
      <c r="AT58" s="1">
        <v>59</v>
      </c>
      <c r="AU58" s="1">
        <v>25</v>
      </c>
      <c r="AV58" s="1">
        <v>487</v>
      </c>
      <c r="AW58" s="1">
        <v>11</v>
      </c>
      <c r="AX58" s="1">
        <v>139.1</v>
      </c>
      <c r="AY58" s="1">
        <v>7.6</v>
      </c>
      <c r="AZ58" s="1">
        <v>16195.679999999998</v>
      </c>
      <c r="BA58" s="1">
        <v>459.54</v>
      </c>
      <c r="BB58" s="1">
        <v>3738.4199999999996</v>
      </c>
      <c r="BC58" s="1">
        <v>105.57000000000001</v>
      </c>
      <c r="BD58" s="1">
        <v>80978.400000000009</v>
      </c>
      <c r="BE58" s="1">
        <v>2111.4</v>
      </c>
      <c r="BF58" s="1">
        <v>4.3470000000000004</v>
      </c>
      <c r="BG58" s="1">
        <v>5.3406000000000002</v>
      </c>
      <c r="BH58" s="1">
        <f t="shared" si="22"/>
        <v>18628.571428571428</v>
      </c>
      <c r="BI58" s="1">
        <f t="shared" si="23"/>
        <v>22891.684119622339</v>
      </c>
    </row>
    <row r="59" spans="1:61" x14ac:dyDescent="0.2">
      <c r="A59" t="s">
        <v>710</v>
      </c>
      <c r="B59" t="s">
        <v>38</v>
      </c>
      <c r="C59" t="s">
        <v>711</v>
      </c>
      <c r="D59" t="s">
        <v>712</v>
      </c>
      <c r="E59">
        <v>10285</v>
      </c>
      <c r="F59">
        <v>42019</v>
      </c>
      <c r="G59" t="s">
        <v>712</v>
      </c>
      <c r="H59" s="1">
        <v>934</v>
      </c>
      <c r="I59" s="1">
        <v>650</v>
      </c>
      <c r="J59" s="11">
        <v>2.9499999999999998E-2</v>
      </c>
      <c r="K59" s="11">
        <f t="shared" ca="1" si="16"/>
        <v>1.7053152201279387E-3</v>
      </c>
      <c r="L59" s="8">
        <v>4.1929999999999997E-3</v>
      </c>
      <c r="M59" s="8">
        <f t="shared" ca="1" si="17"/>
        <v>1.1317464203610276E-4</v>
      </c>
      <c r="N59" s="8">
        <v>0.69828999999999997</v>
      </c>
      <c r="O59" s="9">
        <v>238.49270000000001</v>
      </c>
      <c r="P59" s="9">
        <f t="shared" ca="1" si="18"/>
        <v>6.4372350142499073</v>
      </c>
      <c r="Q59" s="10">
        <v>5.1200000000000002E-2</v>
      </c>
      <c r="R59" s="10">
        <f t="shared" ca="1" si="19"/>
        <v>2.3363595613689258E-3</v>
      </c>
      <c r="S59" s="9">
        <f t="shared" si="20"/>
        <v>0.41600657830219162</v>
      </c>
      <c r="T59" s="12">
        <v>1.4970000000000001E-3</v>
      </c>
      <c r="U59" s="12">
        <f t="shared" ca="1" si="21"/>
        <v>5.7423023257226713E-5</v>
      </c>
      <c r="V59" s="6" t="e">
        <f ca="1">IF(agePb6U8(1/O59)&lt;1400,age7corr(1/O59,Q59,$W$2),agePb76(Q59))</f>
        <v>#NAME?</v>
      </c>
      <c r="W59" s="6" t="e">
        <f ca="1">IF(agePb6U8(1/O59)&lt;1400,ageer7corr(V59,1/O59,P59/O59*(1/O59),Q59,R59,$W$2,0.05),ageerPb76(Q59,R59))</f>
        <v>#NAME?</v>
      </c>
      <c r="X59" s="4" t="e">
        <f ca="1">agePb6U8(L59)/agePb7u5(J59)</f>
        <v>#NAME?</v>
      </c>
      <c r="Z59" s="1">
        <v>2.9499999999999998E-2</v>
      </c>
      <c r="AA59" s="1">
        <v>1.6000000000000001E-3</v>
      </c>
      <c r="AB59" s="1">
        <v>4.1929999999999997E-3</v>
      </c>
      <c r="AC59" s="1">
        <v>7.6000000000000004E-5</v>
      </c>
      <c r="AD59" s="1">
        <v>0.69828999999999997</v>
      </c>
      <c r="AE59" s="1">
        <v>238.49270000000001</v>
      </c>
      <c r="AF59" s="1">
        <v>4.3227869999999999</v>
      </c>
      <c r="AG59" s="1">
        <v>5.1200000000000002E-2</v>
      </c>
      <c r="AH59" s="1">
        <v>2.0999999999999999E-3</v>
      </c>
      <c r="AI59" s="1">
        <v>-0.37862000000000001</v>
      </c>
      <c r="AJ59" s="1">
        <v>1.4970000000000001E-3</v>
      </c>
      <c r="AK59" s="1">
        <v>4.8999999999999998E-5</v>
      </c>
      <c r="AL59" s="1">
        <v>4.2789999999999999</v>
      </c>
      <c r="AM59" s="1">
        <v>0.05</v>
      </c>
      <c r="AN59" s="1">
        <v>29.5</v>
      </c>
      <c r="AO59" s="1">
        <v>1.5</v>
      </c>
      <c r="AP59" s="1">
        <v>26.97</v>
      </c>
      <c r="AQ59" s="1">
        <v>0.49</v>
      </c>
      <c r="AR59" s="1">
        <v>30.2</v>
      </c>
      <c r="AS59" s="1">
        <v>1</v>
      </c>
      <c r="AT59" s="1">
        <v>237</v>
      </c>
      <c r="AU59" s="1">
        <v>91</v>
      </c>
      <c r="AV59" s="1">
        <v>197.3</v>
      </c>
      <c r="AW59" s="1">
        <v>5.1000000000000005</v>
      </c>
      <c r="AX59" s="1">
        <v>49.5</v>
      </c>
      <c r="AY59" s="1">
        <v>2</v>
      </c>
      <c r="AZ59" s="1">
        <v>6135.48</v>
      </c>
      <c r="BA59" s="1">
        <v>180.09</v>
      </c>
      <c r="BB59" s="1">
        <v>1589.7599999999998</v>
      </c>
      <c r="BC59" s="1">
        <v>68.31</v>
      </c>
      <c r="BD59" s="1">
        <v>32229.9</v>
      </c>
      <c r="BE59" s="1">
        <v>931.50000000000011</v>
      </c>
      <c r="BF59" s="1">
        <v>19.872</v>
      </c>
      <c r="BG59" s="1">
        <v>8.0729999999999986</v>
      </c>
      <c r="BH59" s="1">
        <f t="shared" si="22"/>
        <v>1621.875</v>
      </c>
      <c r="BI59" s="1">
        <f t="shared" si="23"/>
        <v>660.55202200140252</v>
      </c>
    </row>
    <row r="60" spans="1:61" x14ac:dyDescent="0.2">
      <c r="A60" t="s">
        <v>713</v>
      </c>
      <c r="B60" t="s">
        <v>38</v>
      </c>
      <c r="C60" t="s">
        <v>714</v>
      </c>
      <c r="D60" t="s">
        <v>715</v>
      </c>
      <c r="E60">
        <v>10332</v>
      </c>
      <c r="F60">
        <v>41810</v>
      </c>
      <c r="G60" t="s">
        <v>715</v>
      </c>
      <c r="H60" s="1">
        <v>512</v>
      </c>
      <c r="I60" s="1">
        <v>381</v>
      </c>
      <c r="J60" s="11">
        <v>3.0700000000000002E-2</v>
      </c>
      <c r="K60" s="11">
        <f t="shared" ca="1" si="16"/>
        <v>1.2597602946592659E-3</v>
      </c>
      <c r="L60" s="8">
        <v>4.3049999999999998E-3</v>
      </c>
      <c r="M60" s="8">
        <f t="shared" ca="1" si="17"/>
        <v>1.0216755845179036E-4</v>
      </c>
      <c r="N60" s="8">
        <v>0.38286999999999999</v>
      </c>
      <c r="O60" s="9">
        <v>232.28800000000001</v>
      </c>
      <c r="P60" s="9">
        <f t="shared" ca="1" si="18"/>
        <v>5.5127289869197273</v>
      </c>
      <c r="Q60" s="10">
        <v>5.16E-2</v>
      </c>
      <c r="R60" s="10">
        <f t="shared" ca="1" si="19"/>
        <v>1.8207207364118198E-3</v>
      </c>
      <c r="S60" s="9">
        <f t="shared" si="20"/>
        <v>0.27618752471597335</v>
      </c>
      <c r="T60" s="12">
        <v>1.6919999999999999E-3</v>
      </c>
      <c r="U60" s="12">
        <f t="shared" ca="1" si="21"/>
        <v>4.3291403303658335E-5</v>
      </c>
      <c r="V60" s="6" t="e">
        <f ca="1">IF(agePb6U8(1/O60)&lt;1400,age7corr(1/O60,Q60,$W$2),agePb76(Q60))</f>
        <v>#NAME?</v>
      </c>
      <c r="W60" s="6" t="e">
        <f ca="1">IF(agePb6U8(1/O60)&lt;1400,ageer7corr(V60,1/O60,P60/O60*(1/O60),Q60,R60,$W$2,0.05),ageerPb76(Q60,R60))</f>
        <v>#NAME?</v>
      </c>
      <c r="X60" s="4" t="e">
        <f ca="1">agePb6U8(L60)/agePb7u5(J60)</f>
        <v>#NAME?</v>
      </c>
      <c r="Z60" s="1">
        <v>3.0700000000000002E-2</v>
      </c>
      <c r="AA60" s="1">
        <v>1.1000000000000001E-3</v>
      </c>
      <c r="AB60" s="1">
        <v>4.3049999999999998E-3</v>
      </c>
      <c r="AC60" s="1">
        <v>5.5000000000000002E-5</v>
      </c>
      <c r="AD60" s="1">
        <v>0.38286999999999999</v>
      </c>
      <c r="AE60" s="1">
        <v>232.28800000000001</v>
      </c>
      <c r="AF60" s="1">
        <v>2.9676749999999998</v>
      </c>
      <c r="AG60" s="1">
        <v>5.16E-2</v>
      </c>
      <c r="AH60" s="1">
        <v>1.5E-3</v>
      </c>
      <c r="AI60" s="1">
        <v>-0.10673000000000001</v>
      </c>
      <c r="AJ60" s="1">
        <v>1.6919999999999999E-3</v>
      </c>
      <c r="AK60" s="1">
        <v>2.6999999999999999E-5</v>
      </c>
      <c r="AL60" s="1">
        <v>3.5649999999999999</v>
      </c>
      <c r="AM60" s="1">
        <v>3.9E-2</v>
      </c>
      <c r="AN60" s="1">
        <v>30.7</v>
      </c>
      <c r="AO60" s="1">
        <v>1</v>
      </c>
      <c r="AP60" s="1">
        <v>27.69</v>
      </c>
      <c r="AQ60" s="1">
        <v>0.35</v>
      </c>
      <c r="AR60" s="1">
        <v>34.17</v>
      </c>
      <c r="AS60" s="1">
        <v>0.54</v>
      </c>
      <c r="AT60" s="1">
        <v>284</v>
      </c>
      <c r="AU60" s="1">
        <v>78</v>
      </c>
      <c r="AV60" s="1">
        <v>108.3</v>
      </c>
      <c r="AW60" s="1">
        <v>2.5</v>
      </c>
      <c r="AX60" s="1">
        <v>29.01</v>
      </c>
      <c r="AY60" s="1">
        <v>0.45</v>
      </c>
      <c r="AZ60" s="1">
        <v>4086.18</v>
      </c>
      <c r="BA60" s="1">
        <v>111.78</v>
      </c>
      <c r="BB60" s="1">
        <v>907.28100000000006</v>
      </c>
      <c r="BC60" s="1">
        <v>41.606999999999999</v>
      </c>
      <c r="BD60" s="1">
        <v>17928.27</v>
      </c>
      <c r="BE60" s="1">
        <v>372.6</v>
      </c>
      <c r="BF60" s="1">
        <v>14.903999999999998</v>
      </c>
      <c r="BG60" s="1">
        <v>6.8310000000000004</v>
      </c>
      <c r="BH60" s="1">
        <f t="shared" si="22"/>
        <v>1202.9166666666667</v>
      </c>
      <c r="BI60" s="1">
        <f t="shared" si="23"/>
        <v>551.90331867112798</v>
      </c>
    </row>
    <row r="61" spans="1:61" x14ac:dyDescent="0.2">
      <c r="A61" t="s">
        <v>716</v>
      </c>
      <c r="B61" t="s">
        <v>38</v>
      </c>
      <c r="C61" t="s">
        <v>717</v>
      </c>
      <c r="D61" t="s">
        <v>718</v>
      </c>
      <c r="E61">
        <v>10258</v>
      </c>
      <c r="F61">
        <v>41651</v>
      </c>
      <c r="G61" t="s">
        <v>718</v>
      </c>
      <c r="H61" s="1">
        <v>855</v>
      </c>
      <c r="I61" s="1">
        <v>432</v>
      </c>
      <c r="J61" s="11">
        <v>2.938E-2</v>
      </c>
      <c r="K61" s="11">
        <f t="shared" ca="1" si="16"/>
        <v>1.0087981760491043E-3</v>
      </c>
      <c r="L61" s="8">
        <v>4.5389999999999996E-3</v>
      </c>
      <c r="M61" s="8">
        <f t="shared" ca="1" si="17"/>
        <v>1.2504802437463775E-4</v>
      </c>
      <c r="N61" s="8">
        <v>0.82455999999999996</v>
      </c>
      <c r="O61" s="9">
        <v>220.31280000000001</v>
      </c>
      <c r="P61" s="9">
        <f t="shared" ca="1" si="18"/>
        <v>6.0695487151889642</v>
      </c>
      <c r="Q61" s="10">
        <v>4.725E-2</v>
      </c>
      <c r="R61" s="10">
        <f t="shared" ca="1" si="19"/>
        <v>1.2710330444170208E-3</v>
      </c>
      <c r="S61" s="9">
        <f t="shared" si="20"/>
        <v>0.50932507870145738</v>
      </c>
      <c r="T61" s="12">
        <v>1.632E-3</v>
      </c>
      <c r="U61" s="12">
        <f t="shared" ca="1" si="21"/>
        <v>4.2360000000000001E-5</v>
      </c>
      <c r="V61" s="6" t="e">
        <f ca="1">IF(agePb6U8(1/O61)&lt;1400,age7corr(1/O61,Q61,$W$2),agePb76(Q61))</f>
        <v>#NAME?</v>
      </c>
      <c r="W61" s="6" t="e">
        <f ca="1">IF(agePb6U8(1/O61)&lt;1400,ageer7corr(V61,1/O61,P61/O61*(1/O61),Q61,R61,$W$2,0.05),ageerPb76(Q61,R61))</f>
        <v>#NAME?</v>
      </c>
      <c r="X61" s="4" t="e">
        <f ca="1">agePb6U8(L61)/agePb7u5(J61)</f>
        <v>#NAME?</v>
      </c>
      <c r="Z61" s="1">
        <v>2.938E-2</v>
      </c>
      <c r="AA61" s="1">
        <v>8.1999999999999998E-4</v>
      </c>
      <c r="AB61" s="1">
        <v>4.5389999999999996E-3</v>
      </c>
      <c r="AC61" s="1">
        <v>8.6000000000000003E-5</v>
      </c>
      <c r="AD61" s="1">
        <v>0.82455999999999996</v>
      </c>
      <c r="AE61" s="1">
        <v>220.31280000000001</v>
      </c>
      <c r="AF61" s="1">
        <v>4.1742460000000001</v>
      </c>
      <c r="AG61" s="1">
        <v>4.725E-2</v>
      </c>
      <c r="AH61" s="1">
        <v>8.4999999999999995E-4</v>
      </c>
      <c r="AI61" s="1">
        <v>3.5298999999999997E-2</v>
      </c>
      <c r="AJ61" s="1">
        <v>1.632E-3</v>
      </c>
      <c r="AK61" s="1">
        <v>2.6999999999999999E-5</v>
      </c>
      <c r="AL61" s="1">
        <v>5.75</v>
      </c>
      <c r="AM61" s="1">
        <v>0.35</v>
      </c>
      <c r="AN61" s="1">
        <v>29.4</v>
      </c>
      <c r="AO61" s="1">
        <v>0.81</v>
      </c>
      <c r="AP61" s="1">
        <v>29.19</v>
      </c>
      <c r="AQ61" s="1">
        <v>0.55000000000000004</v>
      </c>
      <c r="AR61" s="1">
        <v>32.96</v>
      </c>
      <c r="AS61" s="1">
        <v>0.53</v>
      </c>
      <c r="AT61" s="1">
        <v>64</v>
      </c>
      <c r="AU61" s="1">
        <v>40</v>
      </c>
      <c r="AV61" s="1">
        <v>180.7</v>
      </c>
      <c r="AW61" s="1">
        <v>9.5</v>
      </c>
      <c r="AX61" s="1">
        <v>32.9</v>
      </c>
      <c r="AY61" s="1">
        <v>1.3</v>
      </c>
      <c r="AZ61" s="1">
        <v>4415.3099999999995</v>
      </c>
      <c r="BA61" s="1">
        <v>117.99</v>
      </c>
      <c r="BB61" s="1">
        <v>1428.3</v>
      </c>
      <c r="BC61" s="1">
        <v>74.52</v>
      </c>
      <c r="BD61" s="1">
        <v>31422.6</v>
      </c>
      <c r="BE61" s="1">
        <v>1676.7</v>
      </c>
      <c r="BF61" s="1">
        <v>11.240099999999998</v>
      </c>
      <c r="BG61" s="1">
        <v>5.5889999999999995</v>
      </c>
      <c r="BH61" s="1">
        <f t="shared" si="22"/>
        <v>2795.5801104972379</v>
      </c>
      <c r="BI61" s="1">
        <f t="shared" si="23"/>
        <v>1398.0484993434131</v>
      </c>
    </row>
    <row r="62" spans="1:61" x14ac:dyDescent="0.2">
      <c r="A62" t="s">
        <v>719</v>
      </c>
      <c r="B62" t="s">
        <v>38</v>
      </c>
      <c r="C62" t="s">
        <v>720</v>
      </c>
      <c r="D62" t="s">
        <v>721</v>
      </c>
      <c r="E62">
        <v>10289</v>
      </c>
      <c r="F62">
        <v>41481</v>
      </c>
      <c r="G62" t="s">
        <v>721</v>
      </c>
      <c r="H62" s="1">
        <v>1176</v>
      </c>
      <c r="I62" s="1">
        <v>1099</v>
      </c>
      <c r="J62" s="11">
        <v>2.8830000000000001E-2</v>
      </c>
      <c r="K62" s="11">
        <f t="shared" ca="1" si="16"/>
        <v>7.8997946808762065E-4</v>
      </c>
      <c r="L62" s="8">
        <v>4.163E-3</v>
      </c>
      <c r="M62" s="8">
        <f t="shared" ca="1" si="17"/>
        <v>8.8165909511556679E-5</v>
      </c>
      <c r="N62" s="8">
        <v>0.52517999999999998</v>
      </c>
      <c r="O62" s="9">
        <v>240.2114</v>
      </c>
      <c r="P62" s="9">
        <f t="shared" ca="1" si="18"/>
        <v>5.0873064403788382</v>
      </c>
      <c r="Q62" s="10">
        <v>5.0270000000000002E-2</v>
      </c>
      <c r="R62" s="10">
        <f t="shared" ca="1" si="19"/>
        <v>1.3101256275640137E-3</v>
      </c>
      <c r="S62" s="9">
        <f t="shared" si="20"/>
        <v>0.42485812365104925</v>
      </c>
      <c r="T62" s="12">
        <v>1.361E-3</v>
      </c>
      <c r="U62" s="12">
        <f t="shared" ca="1" si="21"/>
        <v>3.3195306897210637E-5</v>
      </c>
      <c r="V62" s="6" t="e">
        <f ca="1">IF(agePb6U8(1/O62)&lt;1400,age7corr(1/O62,Q62,$W$2),agePb76(Q62))</f>
        <v>#NAME?</v>
      </c>
      <c r="W62" s="6" t="e">
        <f ca="1">IF(agePb6U8(1/O62)&lt;1400,ageer7corr(V62,1/O62,P62/O62*(1/O62),Q62,R62,$W$2,0.05),ageerPb76(Q62,R62))</f>
        <v>#NAME?</v>
      </c>
      <c r="X62" s="4" t="e">
        <f ca="1">agePb6U8(L62)/agePb7u5(J62)</f>
        <v>#NAME?</v>
      </c>
      <c r="Z62" s="1">
        <v>2.8830000000000001E-2</v>
      </c>
      <c r="AA62" s="1">
        <v>5.4000000000000001E-4</v>
      </c>
      <c r="AB62" s="1">
        <v>4.163E-3</v>
      </c>
      <c r="AC62" s="1">
        <v>2.9E-5</v>
      </c>
      <c r="AD62" s="1">
        <v>0.52517999999999998</v>
      </c>
      <c r="AE62" s="1">
        <v>240.2114</v>
      </c>
      <c r="AF62" s="1">
        <v>1.6733439999999999</v>
      </c>
      <c r="AG62" s="1">
        <v>5.0270000000000002E-2</v>
      </c>
      <c r="AH62" s="1">
        <v>8.4000000000000003E-4</v>
      </c>
      <c r="AI62" s="1">
        <v>-0.26848</v>
      </c>
      <c r="AJ62" s="1">
        <v>1.361E-3</v>
      </c>
      <c r="AK62" s="1">
        <v>1.9000000000000001E-5</v>
      </c>
      <c r="AL62" s="1">
        <v>3.47</v>
      </c>
      <c r="AM62" s="1">
        <v>3.3000000000000002E-2</v>
      </c>
      <c r="AN62" s="1">
        <v>28.86</v>
      </c>
      <c r="AO62" s="1">
        <v>0.54</v>
      </c>
      <c r="AP62" s="1">
        <v>26.78</v>
      </c>
      <c r="AQ62" s="1">
        <v>0.19</v>
      </c>
      <c r="AR62" s="1">
        <v>27.49</v>
      </c>
      <c r="AS62" s="1">
        <v>0.39</v>
      </c>
      <c r="AT62" s="1">
        <v>205</v>
      </c>
      <c r="AU62" s="1">
        <v>39</v>
      </c>
      <c r="AV62" s="1">
        <v>248.6</v>
      </c>
      <c r="AW62" s="1">
        <v>6.7</v>
      </c>
      <c r="AX62" s="1">
        <v>83.6</v>
      </c>
      <c r="AY62" s="1">
        <v>2.2000000000000002</v>
      </c>
      <c r="AZ62" s="1">
        <v>9383.31</v>
      </c>
      <c r="BA62" s="1">
        <v>260.82</v>
      </c>
      <c r="BB62" s="1">
        <v>1973.5379999999998</v>
      </c>
      <c r="BC62" s="1">
        <v>60.237000000000002</v>
      </c>
      <c r="BD62" s="1">
        <v>40240.800000000003</v>
      </c>
      <c r="BE62" s="1">
        <v>993.6</v>
      </c>
      <c r="BF62" s="1">
        <v>7.4519999999999991</v>
      </c>
      <c r="BG62" s="1">
        <v>7.4519999999999991</v>
      </c>
      <c r="BH62" s="1">
        <f t="shared" si="22"/>
        <v>5400.0000000000009</v>
      </c>
      <c r="BI62" s="1">
        <f t="shared" si="23"/>
        <v>5401.6458397212409</v>
      </c>
    </row>
    <row r="63" spans="1:61" x14ac:dyDescent="0.2">
      <c r="A63" t="s">
        <v>722</v>
      </c>
      <c r="B63" t="s">
        <v>38</v>
      </c>
      <c r="C63" t="s">
        <v>723</v>
      </c>
      <c r="D63" t="s">
        <v>724</v>
      </c>
      <c r="E63">
        <v>10309</v>
      </c>
      <c r="F63">
        <v>40988</v>
      </c>
      <c r="G63" t="s">
        <v>724</v>
      </c>
      <c r="H63" s="1">
        <v>501.3</v>
      </c>
      <c r="I63" s="1">
        <v>416</v>
      </c>
      <c r="J63" s="11">
        <v>2.6960000000000001E-2</v>
      </c>
      <c r="K63" s="11">
        <f t="shared" ca="1" si="16"/>
        <v>8.6002130206175721E-4</v>
      </c>
      <c r="L63" s="8">
        <v>4.0850000000000001E-3</v>
      </c>
      <c r="M63" s="8">
        <f t="shared" ca="1" si="17"/>
        <v>8.9687736062407108E-5</v>
      </c>
      <c r="N63" s="8">
        <v>0.18310999999999999</v>
      </c>
      <c r="O63" s="9">
        <v>244.798</v>
      </c>
      <c r="P63" s="9">
        <f t="shared" ca="1" si="18"/>
        <v>5.3746337923457634</v>
      </c>
      <c r="Q63" s="10">
        <v>4.7800000000000002E-2</v>
      </c>
      <c r="R63" s="10">
        <f t="shared" ca="1" si="19"/>
        <v>1.4573729790276751E-3</v>
      </c>
      <c r="S63" s="9">
        <f t="shared" si="20"/>
        <v>0.2745205424584356</v>
      </c>
      <c r="T63" s="12">
        <v>1.2830000000000001E-3</v>
      </c>
      <c r="U63" s="12">
        <f t="shared" ca="1" si="21"/>
        <v>3.253360723928412E-5</v>
      </c>
      <c r="V63" s="6" t="e">
        <f ca="1">IF(agePb6U8(1/O63)&lt;1400,age7corr(1/O63,Q63,$W$2),agePb76(Q63))</f>
        <v>#NAME?</v>
      </c>
      <c r="W63" s="6" t="e">
        <f ca="1">IF(agePb6U8(1/O63)&lt;1400,ageer7corr(V63,1/O63,P63/O63*(1/O63),Q63,R63,$W$2,0.05),ageerPb76(Q63,R63))</f>
        <v>#NAME?</v>
      </c>
      <c r="X63" s="4" t="e">
        <f ca="1">agePb6U8(L63)/agePb7u5(J63)</f>
        <v>#NAME?</v>
      </c>
      <c r="Z63" s="1">
        <v>2.6960000000000001E-2</v>
      </c>
      <c r="AA63" s="1">
        <v>6.7000000000000002E-4</v>
      </c>
      <c r="AB63" s="1">
        <v>4.0850000000000001E-3</v>
      </c>
      <c r="AC63" s="1">
        <v>3.6999999999999998E-5</v>
      </c>
      <c r="AD63" s="1">
        <v>0.18310999999999999</v>
      </c>
      <c r="AE63" s="1">
        <v>244.798</v>
      </c>
      <c r="AF63" s="1">
        <v>2.2172649999999998</v>
      </c>
      <c r="AG63" s="1">
        <v>4.7800000000000002E-2</v>
      </c>
      <c r="AH63" s="1">
        <v>1.1000000000000001E-3</v>
      </c>
      <c r="AI63" s="1">
        <v>0.12579000000000001</v>
      </c>
      <c r="AJ63" s="1">
        <v>1.2830000000000001E-3</v>
      </c>
      <c r="AK63" s="1">
        <v>2.0000000000000002E-5</v>
      </c>
      <c r="AL63" s="1">
        <v>4.1479999999999997</v>
      </c>
      <c r="AM63" s="1">
        <v>6.2E-2</v>
      </c>
      <c r="AN63" s="1">
        <v>27.01</v>
      </c>
      <c r="AO63" s="1">
        <v>0.67</v>
      </c>
      <c r="AP63" s="1">
        <v>26.28</v>
      </c>
      <c r="AQ63" s="1">
        <v>0.24</v>
      </c>
      <c r="AR63" s="1">
        <v>25.91</v>
      </c>
      <c r="AS63" s="1">
        <v>0.41</v>
      </c>
      <c r="AT63" s="1">
        <v>94</v>
      </c>
      <c r="AU63" s="1">
        <v>52</v>
      </c>
      <c r="AV63" s="1">
        <v>105.89999999999999</v>
      </c>
      <c r="AW63" s="1">
        <v>1.3</v>
      </c>
      <c r="AX63" s="1">
        <v>31.669999999999998</v>
      </c>
      <c r="AY63" s="1">
        <v>0.76</v>
      </c>
      <c r="AZ63" s="1">
        <v>3340.98</v>
      </c>
      <c r="BA63" s="1">
        <v>62.1</v>
      </c>
      <c r="BB63" s="1">
        <v>797.98500000000001</v>
      </c>
      <c r="BC63" s="1">
        <v>26.082000000000001</v>
      </c>
      <c r="BD63" s="1">
        <v>16922.25</v>
      </c>
      <c r="BE63" s="1">
        <v>223.56</v>
      </c>
      <c r="BF63" s="1">
        <v>31.05</v>
      </c>
      <c r="BG63" s="1">
        <v>8.0729999999999986</v>
      </c>
      <c r="BH63" s="1">
        <f t="shared" si="22"/>
        <v>545</v>
      </c>
      <c r="BI63" s="1">
        <f t="shared" si="23"/>
        <v>141.88280375013736</v>
      </c>
    </row>
    <row r="64" spans="1:61" x14ac:dyDescent="0.2">
      <c r="A64" t="s">
        <v>725</v>
      </c>
      <c r="B64" t="s">
        <v>38</v>
      </c>
      <c r="C64" t="s">
        <v>726</v>
      </c>
      <c r="D64" t="s">
        <v>727</v>
      </c>
      <c r="E64">
        <v>10264</v>
      </c>
      <c r="F64">
        <v>40851</v>
      </c>
      <c r="G64" t="s">
        <v>727</v>
      </c>
      <c r="H64" s="1">
        <v>975</v>
      </c>
      <c r="I64" s="1">
        <v>752</v>
      </c>
      <c r="J64" s="11">
        <v>2.699E-2</v>
      </c>
      <c r="K64" s="11">
        <f t="shared" ca="1" si="16"/>
        <v>6.7185120376464307E-4</v>
      </c>
      <c r="L64" s="8">
        <v>4.1580000000000002E-3</v>
      </c>
      <c r="M64" s="8">
        <f t="shared" ca="1" si="17"/>
        <v>8.9468349710945279E-5</v>
      </c>
      <c r="N64" s="8">
        <v>0.13825999999999999</v>
      </c>
      <c r="O64" s="9">
        <v>240.50020000000001</v>
      </c>
      <c r="P64" s="9">
        <f t="shared" ca="1" si="18"/>
        <v>5.1748812863523748</v>
      </c>
      <c r="Q64" s="10">
        <v>4.7129999999999998E-2</v>
      </c>
      <c r="R64" s="10">
        <f t="shared" ca="1" si="19"/>
        <v>1.2045724386685927E-3</v>
      </c>
      <c r="S64" s="9">
        <f t="shared" si="20"/>
        <v>0.43835732265788535</v>
      </c>
      <c r="T64" s="12">
        <v>1.2329999999999999E-3</v>
      </c>
      <c r="U64" s="12">
        <f t="shared" ca="1" si="21"/>
        <v>3.3721144701803943E-5</v>
      </c>
      <c r="V64" s="6" t="e">
        <f ca="1">IF(agePb6U8(1/O64)&lt;1400,age7corr(1/O64,Q64,$W$2),agePb76(Q64))</f>
        <v>#NAME?</v>
      </c>
      <c r="W64" s="6" t="e">
        <f ca="1">IF(agePb6U8(1/O64)&lt;1400,ageer7corr(V64,1/O64,P64/O64*(1/O64),Q64,R64,$W$2,0.05),ageerPb76(Q64,R64))</f>
        <v>#NAME?</v>
      </c>
      <c r="X64" s="4" t="e">
        <f ca="1">agePb6U8(L64)/agePb7u5(J64)</f>
        <v>#NAME?</v>
      </c>
      <c r="Z64" s="1">
        <v>2.699E-2</v>
      </c>
      <c r="AA64" s="1">
        <v>4.0000000000000002E-4</v>
      </c>
      <c r="AB64" s="1">
        <v>4.1580000000000002E-3</v>
      </c>
      <c r="AC64" s="1">
        <v>3.3000000000000003E-5</v>
      </c>
      <c r="AD64" s="1">
        <v>0.13825999999999999</v>
      </c>
      <c r="AE64" s="1">
        <v>240.50020000000001</v>
      </c>
      <c r="AF64" s="1">
        <v>1.9087320000000001</v>
      </c>
      <c r="AG64" s="1">
        <v>4.7129999999999998E-2</v>
      </c>
      <c r="AH64" s="1">
        <v>7.5000000000000002E-4</v>
      </c>
      <c r="AI64" s="1">
        <v>0.36724000000000001</v>
      </c>
      <c r="AJ64" s="1">
        <v>1.2329999999999999E-3</v>
      </c>
      <c r="AK64" s="1">
        <v>2.3E-5</v>
      </c>
      <c r="AL64" s="1">
        <v>4.5910000000000002</v>
      </c>
      <c r="AM64" s="1">
        <v>5.5E-2</v>
      </c>
      <c r="AN64" s="1">
        <v>27.04</v>
      </c>
      <c r="AO64" s="1">
        <v>0.39</v>
      </c>
      <c r="AP64" s="1">
        <v>26.75</v>
      </c>
      <c r="AQ64" s="1">
        <v>0.21</v>
      </c>
      <c r="AR64" s="1">
        <v>24.9</v>
      </c>
      <c r="AS64" s="1">
        <v>0.45</v>
      </c>
      <c r="AT64" s="1">
        <v>58</v>
      </c>
      <c r="AU64" s="1">
        <v>35</v>
      </c>
      <c r="AV64" s="1">
        <v>205.9</v>
      </c>
      <c r="AW64" s="1">
        <v>9.6</v>
      </c>
      <c r="AX64" s="1">
        <v>57.2</v>
      </c>
      <c r="AY64" s="1">
        <v>1.5</v>
      </c>
      <c r="AZ64" s="1">
        <v>5930.55</v>
      </c>
      <c r="BA64" s="1">
        <v>217.35</v>
      </c>
      <c r="BB64" s="1">
        <v>1543.806</v>
      </c>
      <c r="BC64" s="1">
        <v>58.994999999999997</v>
      </c>
      <c r="BD64" s="1">
        <v>33161.399999999994</v>
      </c>
      <c r="BE64" s="1">
        <v>1242</v>
      </c>
      <c r="BF64" s="1">
        <v>1.6766999999999999</v>
      </c>
      <c r="BG64" s="1">
        <v>5.2784999999999993</v>
      </c>
      <c r="BH64" s="1">
        <f t="shared" si="22"/>
        <v>19777.777777777777</v>
      </c>
      <c r="BI64" s="1">
        <f t="shared" si="23"/>
        <v>62267.78058658143</v>
      </c>
    </row>
    <row r="65" spans="1:61" x14ac:dyDescent="0.2">
      <c r="A65" t="s">
        <v>728</v>
      </c>
      <c r="B65" t="s">
        <v>38</v>
      </c>
      <c r="C65" t="s">
        <v>729</v>
      </c>
      <c r="D65" t="s">
        <v>730</v>
      </c>
      <c r="E65">
        <v>10340</v>
      </c>
      <c r="F65">
        <v>40698</v>
      </c>
      <c r="G65" t="s">
        <v>730</v>
      </c>
      <c r="H65" s="1">
        <v>3416</v>
      </c>
      <c r="I65" s="1">
        <v>2533</v>
      </c>
      <c r="J65" s="11">
        <v>2.7189999999999999E-2</v>
      </c>
      <c r="K65" s="11">
        <f t="shared" ca="1" si="16"/>
        <v>5.9440595555562865E-4</v>
      </c>
      <c r="L65" s="8">
        <v>4.1830000000000001E-3</v>
      </c>
      <c r="M65" s="8">
        <f t="shared" ca="1" si="17"/>
        <v>8.7315494615789705E-5</v>
      </c>
      <c r="N65" s="8">
        <v>0.53974</v>
      </c>
      <c r="O65" s="9">
        <v>239.06290000000001</v>
      </c>
      <c r="P65" s="9">
        <f t="shared" ca="1" si="18"/>
        <v>4.9901732355440327</v>
      </c>
      <c r="Q65" s="10">
        <v>4.7289999999999999E-2</v>
      </c>
      <c r="R65" s="10">
        <f t="shared" ca="1" si="19"/>
        <v>1.0348611694328859E-3</v>
      </c>
      <c r="S65" s="9">
        <f t="shared" si="20"/>
        <v>0.51957308975480587</v>
      </c>
      <c r="T65" s="12">
        <v>1.4970000000000001E-3</v>
      </c>
      <c r="U65" s="12">
        <f t="shared" ca="1" si="21"/>
        <v>3.6570529118403521E-5</v>
      </c>
      <c r="V65" s="6" t="e">
        <f ca="1">IF(agePb6U8(1/O65)&lt;1400,age7corr(1/O65,Q65,$W$2),agePb76(Q65))</f>
        <v>#NAME?</v>
      </c>
      <c r="W65" s="6" t="e">
        <f ca="1">IF(agePb6U8(1/O65)&lt;1400,ageer7corr(V65,1/O65,P65/O65*(1/O65),Q65,R65,$W$2,0.05),ageerPb76(Q65,R65))</f>
        <v>#NAME?</v>
      </c>
      <c r="X65" s="4" t="e">
        <f ca="1">agePb6U8(L65)/agePb7u5(J65)</f>
        <v>#NAME?</v>
      </c>
      <c r="Z65" s="1">
        <v>2.7189999999999999E-2</v>
      </c>
      <c r="AA65" s="1">
        <v>2.4000000000000001E-4</v>
      </c>
      <c r="AB65" s="1">
        <v>4.1830000000000001E-3</v>
      </c>
      <c r="AC65" s="1">
        <v>2.5000000000000001E-5</v>
      </c>
      <c r="AD65" s="1">
        <v>0.53974</v>
      </c>
      <c r="AE65" s="1">
        <v>239.06290000000001</v>
      </c>
      <c r="AF65" s="1">
        <v>1.428776</v>
      </c>
      <c r="AG65" s="1">
        <v>4.7289999999999999E-2</v>
      </c>
      <c r="AH65" s="1">
        <v>4.2000000000000002E-4</v>
      </c>
      <c r="AI65" s="1">
        <v>6.0616999999999997E-3</v>
      </c>
      <c r="AJ65" s="1">
        <v>1.4970000000000001E-3</v>
      </c>
      <c r="AK65" s="1">
        <v>2.0999999999999999E-5</v>
      </c>
      <c r="AL65" s="1">
        <v>4.0060000000000002</v>
      </c>
      <c r="AM65" s="1">
        <v>9.8000000000000004E-2</v>
      </c>
      <c r="AN65" s="1">
        <v>27.24</v>
      </c>
      <c r="AO65" s="1">
        <v>0.24</v>
      </c>
      <c r="AP65" s="1">
        <v>26.91</v>
      </c>
      <c r="AQ65" s="1">
        <v>0.16</v>
      </c>
      <c r="AR65" s="1">
        <v>30.24</v>
      </c>
      <c r="AS65" s="1">
        <v>0.43</v>
      </c>
      <c r="AT65" s="1">
        <v>68</v>
      </c>
      <c r="AU65" s="1">
        <v>22</v>
      </c>
      <c r="AV65" s="1">
        <v>722</v>
      </c>
      <c r="AW65" s="1">
        <v>12</v>
      </c>
      <c r="AX65" s="1">
        <v>192.8</v>
      </c>
      <c r="AY65" s="1">
        <v>6.5</v>
      </c>
      <c r="AZ65" s="1">
        <v>23747.040000000001</v>
      </c>
      <c r="BA65" s="1">
        <v>608.57999999999993</v>
      </c>
      <c r="BB65" s="1">
        <v>5483.43</v>
      </c>
      <c r="BC65" s="1">
        <v>86.94</v>
      </c>
      <c r="BD65" s="1">
        <v>117679.5</v>
      </c>
      <c r="BE65" s="1">
        <v>1987.2</v>
      </c>
      <c r="BF65" s="1">
        <v>10.6812</v>
      </c>
      <c r="BG65" s="1">
        <v>5.3406000000000002</v>
      </c>
      <c r="BH65" s="1">
        <f t="shared" si="22"/>
        <v>11017.441860465116</v>
      </c>
      <c r="BI65" s="1">
        <f t="shared" si="23"/>
        <v>5511.8617173937864</v>
      </c>
    </row>
    <row r="66" spans="1:61" x14ac:dyDescent="0.2">
      <c r="A66" t="s">
        <v>731</v>
      </c>
      <c r="B66" t="s">
        <v>38</v>
      </c>
      <c r="C66" t="s">
        <v>732</v>
      </c>
      <c r="D66" t="s">
        <v>733</v>
      </c>
      <c r="E66">
        <v>10343</v>
      </c>
      <c r="F66">
        <v>40288</v>
      </c>
      <c r="G66" t="s">
        <v>733</v>
      </c>
      <c r="H66" s="1">
        <v>898</v>
      </c>
      <c r="I66" s="1">
        <v>1067</v>
      </c>
      <c r="J66" s="11">
        <v>2.613E-2</v>
      </c>
      <c r="K66" s="11">
        <f t="shared" ca="1" si="16"/>
        <v>6.7676492225882991E-4</v>
      </c>
      <c r="L66" s="8">
        <v>4.0210000000000003E-3</v>
      </c>
      <c r="M66" s="8">
        <f t="shared" ca="1" si="17"/>
        <v>8.8523309924561688E-5</v>
      </c>
      <c r="N66" s="8">
        <v>0.66705999999999999</v>
      </c>
      <c r="O66" s="9">
        <v>248.6944</v>
      </c>
      <c r="P66" s="9">
        <f t="shared" ca="1" si="18"/>
        <v>5.4750687290503492</v>
      </c>
      <c r="Q66" s="10">
        <v>4.7359999999999999E-2</v>
      </c>
      <c r="R66" s="10">
        <f t="shared" ca="1" si="19"/>
        <v>1.1320723651781276E-3</v>
      </c>
      <c r="S66" s="9">
        <f t="shared" si="20"/>
        <v>0.44580336877273702</v>
      </c>
      <c r="T66" s="12">
        <v>1.273E-3</v>
      </c>
      <c r="U66" s="12">
        <f t="shared" ca="1" si="21"/>
        <v>2.8146253747168559E-5</v>
      </c>
      <c r="V66" s="6" t="e">
        <f ca="1">IF(agePb6U8(1/O66)&lt;1400,age7corr(1/O66,Q66,$W$2),agePb76(Q66))</f>
        <v>#NAME?</v>
      </c>
      <c r="W66" s="6" t="e">
        <f ca="1">IF(agePb6U8(1/O66)&lt;1400,ageer7corr(V66,1/O66,P66/O66*(1/O66),Q66,R66,$W$2,0.05),ageerPb76(Q66,R66))</f>
        <v>#NAME?</v>
      </c>
      <c r="X66" s="4" t="e">
        <f ca="1">agePb6U8(L66)/agePb7u5(J66)</f>
        <v>#NAME?</v>
      </c>
      <c r="Z66" s="1">
        <v>2.613E-2</v>
      </c>
      <c r="AA66" s="1">
        <v>4.2999999999999999E-4</v>
      </c>
      <c r="AB66" s="1">
        <v>4.0210000000000003E-3</v>
      </c>
      <c r="AC66" s="1">
        <v>3.6999999999999998E-5</v>
      </c>
      <c r="AD66" s="1">
        <v>0.66705999999999999</v>
      </c>
      <c r="AE66" s="1">
        <v>248.6944</v>
      </c>
      <c r="AF66" s="1">
        <v>2.2884090000000001</v>
      </c>
      <c r="AG66" s="1">
        <v>4.7359999999999999E-2</v>
      </c>
      <c r="AH66" s="1">
        <v>6.2E-4</v>
      </c>
      <c r="AI66" s="1">
        <v>-8.7683999999999998E-2</v>
      </c>
      <c r="AJ66" s="1">
        <v>1.273E-3</v>
      </c>
      <c r="AK66" s="1">
        <v>1.2E-5</v>
      </c>
      <c r="AL66" s="1">
        <v>2.774</v>
      </c>
      <c r="AM66" s="1">
        <v>2.5000000000000001E-2</v>
      </c>
      <c r="AN66" s="1">
        <v>26.19</v>
      </c>
      <c r="AO66" s="1">
        <v>0.43</v>
      </c>
      <c r="AP66" s="1">
        <v>25.87</v>
      </c>
      <c r="AQ66" s="1">
        <v>0.24</v>
      </c>
      <c r="AR66" s="1">
        <v>25.72</v>
      </c>
      <c r="AS66" s="1">
        <v>0.25</v>
      </c>
      <c r="AT66" s="1">
        <v>68</v>
      </c>
      <c r="AU66" s="1">
        <v>30</v>
      </c>
      <c r="AV66" s="1">
        <v>189.6</v>
      </c>
      <c r="AW66" s="1">
        <v>3.2</v>
      </c>
      <c r="AX66" s="1">
        <v>81.199999999999989</v>
      </c>
      <c r="AY66" s="1">
        <v>2.6</v>
      </c>
      <c r="AZ66" s="1">
        <v>8700.2100000000009</v>
      </c>
      <c r="BA66" s="1">
        <v>167.67000000000002</v>
      </c>
      <c r="BB66" s="1">
        <v>1369.3050000000001</v>
      </c>
      <c r="BC66" s="1">
        <v>31.05</v>
      </c>
      <c r="BD66" s="1">
        <v>29441.609999999997</v>
      </c>
      <c r="BE66" s="1">
        <v>521.64</v>
      </c>
      <c r="BF66" s="1">
        <v>5.5889999999999995</v>
      </c>
      <c r="BG66" s="1">
        <v>5.2784999999999993</v>
      </c>
      <c r="BH66" s="1">
        <f t="shared" si="22"/>
        <v>5267.7777777777774</v>
      </c>
      <c r="BI66" s="1">
        <f t="shared" si="23"/>
        <v>4975.9988466050127</v>
      </c>
    </row>
    <row r="67" spans="1:61" x14ac:dyDescent="0.2">
      <c r="A67" t="s">
        <v>734</v>
      </c>
      <c r="B67" t="s">
        <v>38</v>
      </c>
      <c r="C67" t="s">
        <v>735</v>
      </c>
      <c r="D67" t="s">
        <v>736</v>
      </c>
      <c r="E67">
        <v>10312</v>
      </c>
      <c r="F67">
        <v>39924</v>
      </c>
      <c r="G67" t="s">
        <v>736</v>
      </c>
      <c r="H67" s="1">
        <v>114.4</v>
      </c>
      <c r="I67" s="1">
        <v>51.1</v>
      </c>
      <c r="J67" s="11">
        <v>5.1799999999999999E-2</v>
      </c>
      <c r="K67" s="11">
        <f t="shared" ca="1" si="16"/>
        <v>3.6501090394671773E-3</v>
      </c>
      <c r="L67" s="8">
        <v>4.4380000000000001E-3</v>
      </c>
      <c r="M67" s="8">
        <f t="shared" ca="1" si="17"/>
        <v>1.1429058403910623E-4</v>
      </c>
      <c r="N67" s="8">
        <v>0.68803000000000003</v>
      </c>
      <c r="O67" s="9">
        <v>225.32669999999999</v>
      </c>
      <c r="P67" s="9">
        <f t="shared" ca="1" si="18"/>
        <v>5.8027765928038271</v>
      </c>
      <c r="Q67" s="10">
        <v>8.6599999999999996E-2</v>
      </c>
      <c r="R67" s="10">
        <f t="shared" ca="1" si="19"/>
        <v>6.1489693445324631E-3</v>
      </c>
      <c r="S67" s="9">
        <f t="shared" si="20"/>
        <v>0.22388623519218062</v>
      </c>
      <c r="T67" s="12">
        <v>2.47E-3</v>
      </c>
      <c r="U67" s="12">
        <f t="shared" ca="1" si="21"/>
        <v>1.7703208748698639E-4</v>
      </c>
      <c r="V67" s="6" t="e">
        <f ca="1">IF(agePb6U8(1/O67)&lt;1400,age7corr(1/O67,Q67,$W$2),agePb76(Q67))</f>
        <v>#NAME?</v>
      </c>
      <c r="W67" s="6" t="e">
        <f ca="1">IF(agePb6U8(1/O67)&lt;1400,ageer7corr(V67,1/O67,P67/O67*(1/O67),Q67,R67,$W$2,0.05),ageerPb76(Q67,R67))</f>
        <v>#NAME?</v>
      </c>
      <c r="X67" s="4" t="e">
        <f ca="1">agePb6U8(L67)/agePb7u5(J67)</f>
        <v>#NAME?</v>
      </c>
      <c r="Z67" s="1">
        <v>5.1799999999999999E-2</v>
      </c>
      <c r="AA67" s="1">
        <v>3.5000000000000001E-3</v>
      </c>
      <c r="AB67" s="1">
        <v>4.4380000000000001E-3</v>
      </c>
      <c r="AC67" s="1">
        <v>7.2000000000000002E-5</v>
      </c>
      <c r="AD67" s="1">
        <v>0.68803000000000003</v>
      </c>
      <c r="AE67" s="1">
        <v>225.32669999999999</v>
      </c>
      <c r="AF67" s="1">
        <v>3.6555939999999998</v>
      </c>
      <c r="AG67" s="1">
        <v>8.6599999999999996E-2</v>
      </c>
      <c r="AH67" s="1">
        <v>5.8999999999999999E-3</v>
      </c>
      <c r="AI67" s="1">
        <v>-0.56567000000000001</v>
      </c>
      <c r="AJ67" s="1">
        <v>2.47E-3</v>
      </c>
      <c r="AK67" s="1">
        <v>1.7000000000000001E-4</v>
      </c>
      <c r="AL67" s="1">
        <v>4.34</v>
      </c>
      <c r="AM67" s="1">
        <v>0.26</v>
      </c>
      <c r="AN67" s="1">
        <v>51.3</v>
      </c>
      <c r="AO67" s="1">
        <v>3.3</v>
      </c>
      <c r="AP67" s="1">
        <v>28.54</v>
      </c>
      <c r="AQ67" s="1">
        <v>0.46</v>
      </c>
      <c r="AR67" s="1">
        <v>49.8</v>
      </c>
      <c r="AS67" s="1">
        <v>3.4</v>
      </c>
      <c r="AT67" s="1">
        <v>1320</v>
      </c>
      <c r="AU67" s="1">
        <v>130</v>
      </c>
      <c r="AV67" s="1">
        <v>24.150000000000002</v>
      </c>
      <c r="AW67" s="1">
        <v>0.42000000000000004</v>
      </c>
      <c r="AX67" s="1">
        <v>3.8849999999999998</v>
      </c>
      <c r="AY67" s="1">
        <v>9.2999999999999999E-2</v>
      </c>
      <c r="AZ67" s="1">
        <v>794.2589999999999</v>
      </c>
      <c r="BA67" s="1">
        <v>54.648000000000003</v>
      </c>
      <c r="BB67" s="1">
        <v>353.34899999999999</v>
      </c>
      <c r="BC67" s="1">
        <v>26.702999999999999</v>
      </c>
      <c r="BD67" s="1">
        <v>4166.9100000000008</v>
      </c>
      <c r="BE67" s="1">
        <v>93.15</v>
      </c>
      <c r="BF67" s="1">
        <v>12.419999999999998</v>
      </c>
      <c r="BG67" s="1">
        <v>7.4519999999999991</v>
      </c>
      <c r="BH67" s="1">
        <f t="shared" si="22"/>
        <v>335.50000000000011</v>
      </c>
      <c r="BI67" s="1">
        <f t="shared" si="23"/>
        <v>201.43966838733633</v>
      </c>
    </row>
    <row r="68" spans="1:61" x14ac:dyDescent="0.2">
      <c r="A68" t="s">
        <v>578</v>
      </c>
      <c r="B68" t="s">
        <v>38</v>
      </c>
      <c r="C68" t="s">
        <v>579</v>
      </c>
      <c r="D68" t="s">
        <v>580</v>
      </c>
      <c r="E68">
        <v>10216</v>
      </c>
      <c r="F68">
        <v>53805</v>
      </c>
      <c r="G68" t="s">
        <v>580</v>
      </c>
      <c r="H68" s="1">
        <v>300.10000000000002</v>
      </c>
      <c r="I68" s="1">
        <v>182</v>
      </c>
      <c r="J68" s="11">
        <v>2.877E-2</v>
      </c>
      <c r="K68" s="11">
        <f t="shared" ca="1" si="16"/>
        <v>9.7733574579056512E-4</v>
      </c>
      <c r="L68" s="8">
        <v>4.0509999999999999E-3</v>
      </c>
      <c r="M68" s="8">
        <f t="shared" ca="1" si="17"/>
        <v>1.1316024213477098E-4</v>
      </c>
      <c r="N68" s="8">
        <v>-0.13780999999999999</v>
      </c>
      <c r="O68" s="9">
        <v>246.8526</v>
      </c>
      <c r="P68" s="9">
        <f t="shared" ca="1" si="18"/>
        <v>6.8955567549129055</v>
      </c>
      <c r="Q68" s="10">
        <v>5.16E-2</v>
      </c>
      <c r="R68" s="10">
        <f t="shared" ca="1" si="19"/>
        <v>2.0748551756688948E-3</v>
      </c>
      <c r="S68" s="9">
        <f t="shared" si="20"/>
        <v>0.39448709699520385</v>
      </c>
      <c r="T68" s="12">
        <v>1.407E-3</v>
      </c>
      <c r="U68" s="12">
        <f t="shared" ca="1" si="21"/>
        <v>3.9697098130719834E-5</v>
      </c>
      <c r="V68" s="6" t="e">
        <f ca="1">IF(agePb6U8(1/O68)&lt;1400,age7corr(1/O68,Q68,$W$2),agePb76(Q68))</f>
        <v>#NAME?</v>
      </c>
      <c r="W68" s="6" t="e">
        <f ca="1">IF(agePb6U8(1/O68)&lt;1400,ageer7corr(V68,1/O68,P68/O68*(1/O68),Q68,R68,$W$2,0.05),ageerPb76(Q68,R68))</f>
        <v>#NAME?</v>
      </c>
      <c r="X68" s="4" t="e">
        <f ca="1">agePb6U8(L68)/agePb7u5(J68)</f>
        <v>#NAME?</v>
      </c>
      <c r="Z68" s="1">
        <v>2.877E-2</v>
      </c>
      <c r="AA68" s="1">
        <v>7.9000000000000001E-4</v>
      </c>
      <c r="AB68" s="1">
        <v>4.0509999999999999E-3</v>
      </c>
      <c r="AC68" s="1">
        <v>7.8999999999999996E-5</v>
      </c>
      <c r="AD68" s="1">
        <v>-0.13780999999999999</v>
      </c>
      <c r="AE68" s="1">
        <v>246.8526</v>
      </c>
      <c r="AF68" s="1">
        <v>4.8139609999999999</v>
      </c>
      <c r="AG68" s="1">
        <v>5.16E-2</v>
      </c>
      <c r="AH68" s="1">
        <v>1.8E-3</v>
      </c>
      <c r="AI68" s="1">
        <v>0.63732</v>
      </c>
      <c r="AJ68" s="1">
        <v>1.407E-3</v>
      </c>
      <c r="AK68" s="1">
        <v>2.8E-5</v>
      </c>
      <c r="AL68" s="1">
        <v>5.08</v>
      </c>
      <c r="AM68" s="1">
        <v>0.1</v>
      </c>
      <c r="AN68" s="1">
        <v>28.8</v>
      </c>
      <c r="AO68" s="1">
        <v>0.78</v>
      </c>
      <c r="AP68" s="1">
        <v>26.06</v>
      </c>
      <c r="AQ68" s="1">
        <v>0.51</v>
      </c>
      <c r="AR68" s="1">
        <v>28.41</v>
      </c>
      <c r="AS68" s="1">
        <v>0.56000000000000005</v>
      </c>
      <c r="AT68" s="1">
        <v>263</v>
      </c>
      <c r="AU68" s="1">
        <v>81</v>
      </c>
      <c r="AV68" s="1">
        <v>63.70000000000001</v>
      </c>
      <c r="AW68" s="1">
        <v>1.6</v>
      </c>
      <c r="AX68" s="1">
        <v>13.91</v>
      </c>
      <c r="AY68" s="1">
        <v>0.19</v>
      </c>
      <c r="AZ68" s="1">
        <v>1584.7920000000001</v>
      </c>
      <c r="BA68" s="1">
        <v>36.018000000000001</v>
      </c>
      <c r="BB68" s="1">
        <v>512.32500000000005</v>
      </c>
      <c r="BC68" s="1">
        <v>19.251000000000001</v>
      </c>
      <c r="BD68" s="1">
        <v>10103.67</v>
      </c>
      <c r="BE68" s="1">
        <v>254.60999999999996</v>
      </c>
      <c r="BF68" s="1">
        <v>15.6492</v>
      </c>
      <c r="BG68" s="1">
        <v>3.9123000000000001</v>
      </c>
      <c r="BH68" s="1">
        <f t="shared" si="22"/>
        <v>645.6349206349206</v>
      </c>
      <c r="BI68" s="1">
        <f t="shared" si="23"/>
        <v>162.22664980329094</v>
      </c>
    </row>
    <row r="69" spans="1:61" x14ac:dyDescent="0.2">
      <c r="A69" t="s">
        <v>743</v>
      </c>
      <c r="B69" t="s">
        <v>38</v>
      </c>
      <c r="C69" t="s">
        <v>744</v>
      </c>
      <c r="D69" t="s">
        <v>745</v>
      </c>
      <c r="E69">
        <v>10360</v>
      </c>
      <c r="F69">
        <v>39407</v>
      </c>
      <c r="G69" t="s">
        <v>745</v>
      </c>
      <c r="H69" s="1">
        <v>1377</v>
      </c>
      <c r="I69" s="1">
        <v>1206</v>
      </c>
      <c r="J69" s="11">
        <v>3.0939999999999999E-2</v>
      </c>
      <c r="K69" s="11">
        <f t="shared" ca="1" si="16"/>
        <v>9.7232373209749437E-4</v>
      </c>
      <c r="L69" s="8">
        <v>4.2160000000000001E-3</v>
      </c>
      <c r="M69" s="8">
        <f t="shared" ca="1" si="17"/>
        <v>1.0177849674661147E-4</v>
      </c>
      <c r="N69" s="8">
        <v>0.83782000000000001</v>
      </c>
      <c r="O69" s="9">
        <v>237.1917</v>
      </c>
      <c r="P69" s="9">
        <f t="shared" ca="1" si="18"/>
        <v>5.7260466848013909</v>
      </c>
      <c r="Q69" s="10">
        <v>5.3699999999999998E-2</v>
      </c>
      <c r="R69" s="10">
        <f t="shared" ca="1" si="19"/>
        <v>1.5373600749336506E-3</v>
      </c>
      <c r="S69" s="9">
        <f t="shared" si="20"/>
        <v>0.38065855082569872</v>
      </c>
      <c r="T69" s="12">
        <v>1.2899999999999999E-3</v>
      </c>
      <c r="U69" s="12">
        <f t="shared" ca="1" si="21"/>
        <v>3.4563564630980989E-5</v>
      </c>
      <c r="V69" s="6" t="e">
        <f ca="1">IF(agePb6U8(1/O69)&lt;1400,age7corr(1/O69,Q69,$W$2),agePb76(Q69))</f>
        <v>#NAME?</v>
      </c>
      <c r="W69" s="6" t="e">
        <f ca="1">IF(agePb6U8(1/O69)&lt;1400,ageer7corr(V69,1/O69,P69/O69*(1/O69),Q69,R69,$W$2,0.05),ageerPb76(Q69,R69))</f>
        <v>#NAME?</v>
      </c>
      <c r="X69" s="4" t="e">
        <f ca="1">agePb6U8(L69)/agePb7u5(J69)</f>
        <v>#NAME?</v>
      </c>
      <c r="Z69" s="1">
        <v>3.0939999999999999E-2</v>
      </c>
      <c r="AA69" s="1">
        <v>7.5000000000000002E-4</v>
      </c>
      <c r="AB69" s="1">
        <v>4.2160000000000001E-3</v>
      </c>
      <c r="AC69" s="1">
        <v>5.7000000000000003E-5</v>
      </c>
      <c r="AD69" s="1">
        <v>0.83782000000000001</v>
      </c>
      <c r="AE69" s="1">
        <v>237.1917</v>
      </c>
      <c r="AF69" s="1">
        <v>3.2068129999999999</v>
      </c>
      <c r="AG69" s="1">
        <v>5.3699999999999998E-2</v>
      </c>
      <c r="AH69" s="1">
        <v>1.1000000000000001E-3</v>
      </c>
      <c r="AI69" s="1">
        <v>-0.66495000000000004</v>
      </c>
      <c r="AJ69" s="1">
        <v>1.2899999999999999E-3</v>
      </c>
      <c r="AK69" s="1">
        <v>2.3E-5</v>
      </c>
      <c r="AL69" s="1">
        <v>3.9620000000000002</v>
      </c>
      <c r="AM69" s="1">
        <v>3.7999999999999999E-2</v>
      </c>
      <c r="AN69" s="1">
        <v>30.93</v>
      </c>
      <c r="AO69" s="1">
        <v>0.74</v>
      </c>
      <c r="AP69" s="1">
        <v>27.12</v>
      </c>
      <c r="AQ69" s="1">
        <v>0.37</v>
      </c>
      <c r="AR69" s="1">
        <v>26.05</v>
      </c>
      <c r="AS69" s="1">
        <v>0.47</v>
      </c>
      <c r="AT69" s="1">
        <v>354</v>
      </c>
      <c r="AU69" s="1">
        <v>46</v>
      </c>
      <c r="AV69" s="1">
        <v>290.7</v>
      </c>
      <c r="AW69" s="1">
        <v>5.1000000000000005</v>
      </c>
      <c r="AX69" s="1">
        <v>91.800000000000011</v>
      </c>
      <c r="AY69" s="1">
        <v>1.7</v>
      </c>
      <c r="AZ69" s="1">
        <v>9786.9600000000009</v>
      </c>
      <c r="BA69" s="1">
        <v>186.3</v>
      </c>
      <c r="BB69" s="1">
        <v>2506.3560000000002</v>
      </c>
      <c r="BC69" s="1">
        <v>56.511000000000003</v>
      </c>
      <c r="BD69" s="1">
        <v>47506.499999999993</v>
      </c>
      <c r="BE69" s="1">
        <v>745.2</v>
      </c>
      <c r="BF69" s="1">
        <v>22.977</v>
      </c>
      <c r="BG69" s="1">
        <v>6.8310000000000004</v>
      </c>
      <c r="BH69" s="1">
        <f t="shared" si="22"/>
        <v>2067.567567567567</v>
      </c>
      <c r="BI69" s="1">
        <f t="shared" si="23"/>
        <v>615.53727012590082</v>
      </c>
    </row>
    <row r="70" spans="1:61" x14ac:dyDescent="0.2">
      <c r="A70" t="s">
        <v>746</v>
      </c>
      <c r="B70" t="s">
        <v>38</v>
      </c>
      <c r="C70" t="s">
        <v>747</v>
      </c>
      <c r="D70" t="s">
        <v>748</v>
      </c>
      <c r="E70">
        <v>10361</v>
      </c>
      <c r="F70">
        <v>39232</v>
      </c>
      <c r="G70" t="s">
        <v>748</v>
      </c>
      <c r="H70" s="1">
        <v>645</v>
      </c>
      <c r="I70" s="1">
        <v>469</v>
      </c>
      <c r="J70" s="11">
        <v>2.819E-2</v>
      </c>
      <c r="K70" s="11">
        <f t="shared" ca="1" si="16"/>
        <v>8.5291877690668778E-4</v>
      </c>
      <c r="L70" s="8">
        <v>4.1269999999999996E-3</v>
      </c>
      <c r="M70" s="8">
        <f t="shared" ca="1" si="17"/>
        <v>8.8525993922689171E-5</v>
      </c>
      <c r="N70" s="8">
        <v>0.22822000000000001</v>
      </c>
      <c r="O70" s="9">
        <v>242.30680000000001</v>
      </c>
      <c r="P70" s="9">
        <f t="shared" ca="1" si="18"/>
        <v>5.1975889685218473</v>
      </c>
      <c r="Q70" s="10">
        <v>4.9500000000000002E-2</v>
      </c>
      <c r="R70" s="10">
        <f t="shared" ca="1" si="19"/>
        <v>1.4798986451781083E-3</v>
      </c>
      <c r="S70" s="9">
        <f t="shared" si="20"/>
        <v>0.41198435924766169</v>
      </c>
      <c r="T70" s="12">
        <v>1.3420000000000001E-3</v>
      </c>
      <c r="U70" s="12">
        <f t="shared" ca="1" si="21"/>
        <v>3.2884427925691517E-5</v>
      </c>
      <c r="V70" s="6" t="e">
        <f ca="1">IF(agePb6U8(1/O70)&lt;1400,age7corr(1/O70,Q70,$W$2),agePb76(Q70))</f>
        <v>#NAME?</v>
      </c>
      <c r="W70" s="6" t="e">
        <f ca="1">IF(agePb6U8(1/O70)&lt;1400,ageer7corr(V70,1/O70,P70/O70*(1/O70),Q70,R70,$W$2,0.05),ageerPb76(Q70,R70))</f>
        <v>#NAME?</v>
      </c>
      <c r="X70" s="4" t="e">
        <f ca="1">agePb6U8(L70)/agePb7u5(J70)</f>
        <v>#NAME?</v>
      </c>
      <c r="Z70" s="1">
        <v>2.819E-2</v>
      </c>
      <c r="AA70" s="1">
        <v>6.4000000000000005E-4</v>
      </c>
      <c r="AB70" s="1">
        <v>4.1269999999999996E-3</v>
      </c>
      <c r="AC70" s="1">
        <v>3.1999999999999999E-5</v>
      </c>
      <c r="AD70" s="1">
        <v>0.22822000000000001</v>
      </c>
      <c r="AE70" s="1">
        <v>242.30680000000001</v>
      </c>
      <c r="AF70" s="1">
        <v>1.8788020000000001</v>
      </c>
      <c r="AG70" s="1">
        <v>4.9500000000000002E-2</v>
      </c>
      <c r="AH70" s="1">
        <v>1.1000000000000001E-3</v>
      </c>
      <c r="AI70" s="1">
        <v>4.9582000000000001E-2</v>
      </c>
      <c r="AJ70" s="1">
        <v>1.3420000000000001E-3</v>
      </c>
      <c r="AK70" s="1">
        <v>1.9000000000000001E-5</v>
      </c>
      <c r="AL70" s="1">
        <v>4.4669999999999996</v>
      </c>
      <c r="AM70" s="1">
        <v>4.9000000000000002E-2</v>
      </c>
      <c r="AN70" s="1">
        <v>28.22</v>
      </c>
      <c r="AO70" s="1">
        <v>0.63</v>
      </c>
      <c r="AP70" s="1">
        <v>26.55</v>
      </c>
      <c r="AQ70" s="1">
        <v>0.21</v>
      </c>
      <c r="AR70" s="1">
        <v>27.1</v>
      </c>
      <c r="AS70" s="1">
        <v>0.38</v>
      </c>
      <c r="AT70" s="1">
        <v>170</v>
      </c>
      <c r="AU70" s="1">
        <v>50</v>
      </c>
      <c r="AV70" s="1">
        <v>136.19999999999999</v>
      </c>
      <c r="AW70" s="1">
        <v>6.3</v>
      </c>
      <c r="AX70" s="1">
        <v>35.700000000000003</v>
      </c>
      <c r="AY70" s="1">
        <v>1.3</v>
      </c>
      <c r="AZ70" s="1">
        <v>3961.9800000000005</v>
      </c>
      <c r="BA70" s="1">
        <v>186.3</v>
      </c>
      <c r="BB70" s="1">
        <v>1050.732</v>
      </c>
      <c r="BC70" s="1">
        <v>51.542999999999999</v>
      </c>
      <c r="BD70" s="1">
        <v>21797.100000000002</v>
      </c>
      <c r="BE70" s="1">
        <v>869.4</v>
      </c>
      <c r="BF70" s="1">
        <v>5.4027000000000003</v>
      </c>
      <c r="BG70" s="1">
        <v>5.7131999999999996</v>
      </c>
      <c r="BH70" s="1">
        <f t="shared" si="22"/>
        <v>4034.4827586206898</v>
      </c>
      <c r="BI70" s="1">
        <f t="shared" si="23"/>
        <v>4269.383312594895</v>
      </c>
    </row>
    <row r="71" spans="1:61" x14ac:dyDescent="0.2">
      <c r="A71" t="s">
        <v>749</v>
      </c>
      <c r="B71" t="s">
        <v>38</v>
      </c>
      <c r="C71" t="s">
        <v>750</v>
      </c>
      <c r="D71" t="s">
        <v>751</v>
      </c>
      <c r="E71">
        <v>10288</v>
      </c>
      <c r="F71">
        <v>38867</v>
      </c>
      <c r="G71" t="s">
        <v>751</v>
      </c>
      <c r="H71" s="1">
        <v>587</v>
      </c>
      <c r="I71" s="1">
        <v>356</v>
      </c>
      <c r="J71" s="11">
        <v>3.7499999999999999E-2</v>
      </c>
      <c r="K71" s="11">
        <f t="shared" ca="1" si="16"/>
        <v>2.4191940806805893E-3</v>
      </c>
      <c r="L71" s="8">
        <v>4.261E-3</v>
      </c>
      <c r="M71" s="8">
        <f t="shared" ca="1" si="17"/>
        <v>9.5908541851078103E-5</v>
      </c>
      <c r="N71" s="8">
        <v>0.59789999999999999</v>
      </c>
      <c r="O71" s="9">
        <v>234.6867</v>
      </c>
      <c r="P71" s="9">
        <f t="shared" ca="1" si="18"/>
        <v>5.2824357632990671</v>
      </c>
      <c r="Q71" s="10">
        <v>6.3799999999999996E-2</v>
      </c>
      <c r="R71" s="10">
        <f t="shared" ca="1" si="19"/>
        <v>3.7253424003707361E-3</v>
      </c>
      <c r="S71" s="9">
        <f t="shared" si="20"/>
        <v>0.48190622983499981</v>
      </c>
      <c r="T71" s="12">
        <v>1.5330000000000001E-3</v>
      </c>
      <c r="U71" s="12">
        <f t="shared" ca="1" si="21"/>
        <v>6.1229368770223321E-5</v>
      </c>
      <c r="V71" s="6" t="e">
        <f ca="1">IF(agePb6U8(1/O71)&lt;1400,age7corr(1/O71,Q71,$W$2),agePb76(Q71))</f>
        <v>#NAME?</v>
      </c>
      <c r="W71" s="6" t="e">
        <f ca="1">IF(agePb6U8(1/O71)&lt;1400,ageer7corr(V71,1/O71,P71/O71*(1/O71),Q71,R71,$W$2,0.05),ageerPb76(Q71,R71))</f>
        <v>#NAME?</v>
      </c>
      <c r="X71" s="4" t="e">
        <f ca="1">agePb6U8(L71)/agePb7u5(J71)</f>
        <v>#NAME?</v>
      </c>
      <c r="Z71" s="1">
        <v>3.7499999999999999E-2</v>
      </c>
      <c r="AA71" s="1">
        <v>2.3E-3</v>
      </c>
      <c r="AB71" s="1">
        <v>4.261E-3</v>
      </c>
      <c r="AC71" s="1">
        <v>4.3999999999999999E-5</v>
      </c>
      <c r="AD71" s="1">
        <v>0.59789999999999999</v>
      </c>
      <c r="AE71" s="1">
        <v>234.6867</v>
      </c>
      <c r="AF71" s="1">
        <v>2.4234249999999999</v>
      </c>
      <c r="AG71" s="1">
        <v>6.3799999999999996E-2</v>
      </c>
      <c r="AH71" s="1">
        <v>3.5000000000000001E-3</v>
      </c>
      <c r="AI71" s="1">
        <v>-0.45523000000000002</v>
      </c>
      <c r="AJ71" s="1">
        <v>1.5330000000000001E-3</v>
      </c>
      <c r="AK71" s="1">
        <v>5.3000000000000001E-5</v>
      </c>
      <c r="AL71" s="1">
        <v>4.8499999999999996</v>
      </c>
      <c r="AM71" s="1">
        <v>0.56000000000000005</v>
      </c>
      <c r="AN71" s="1">
        <v>37.299999999999997</v>
      </c>
      <c r="AO71" s="1">
        <v>2.2999999999999998</v>
      </c>
      <c r="AP71" s="1">
        <v>27.41</v>
      </c>
      <c r="AQ71" s="1">
        <v>0.28000000000000003</v>
      </c>
      <c r="AR71" s="1">
        <v>31</v>
      </c>
      <c r="AS71" s="1">
        <v>1.1000000000000001</v>
      </c>
      <c r="AT71" s="1">
        <v>720</v>
      </c>
      <c r="AU71" s="1">
        <v>110</v>
      </c>
      <c r="AV71" s="1">
        <v>124</v>
      </c>
      <c r="AW71" s="1">
        <v>14</v>
      </c>
      <c r="AX71" s="1">
        <v>27.099999999999998</v>
      </c>
      <c r="AY71" s="1">
        <v>1.5</v>
      </c>
      <c r="AZ71" s="1">
        <v>3421.7099999999996</v>
      </c>
      <c r="BA71" s="1">
        <v>136.62</v>
      </c>
      <c r="BB71" s="1">
        <v>1266.8400000000001</v>
      </c>
      <c r="BC71" s="1">
        <v>111.78</v>
      </c>
      <c r="BD71" s="1">
        <v>20493</v>
      </c>
      <c r="BE71" s="1">
        <v>1987.2</v>
      </c>
      <c r="BF71" s="1">
        <v>31.05</v>
      </c>
      <c r="BG71" s="1">
        <v>7.4519999999999991</v>
      </c>
      <c r="BH71" s="1">
        <f t="shared" si="22"/>
        <v>660</v>
      </c>
      <c r="BI71" s="1">
        <f t="shared" si="23"/>
        <v>170.84074455468752</v>
      </c>
    </row>
    <row r="72" spans="1:61" x14ac:dyDescent="0.2">
      <c r="A72" t="s">
        <v>752</v>
      </c>
      <c r="B72" t="s">
        <v>38</v>
      </c>
      <c r="C72" t="s">
        <v>753</v>
      </c>
      <c r="D72" t="s">
        <v>754</v>
      </c>
      <c r="E72">
        <v>10356</v>
      </c>
      <c r="F72">
        <v>38546</v>
      </c>
      <c r="G72" t="s">
        <v>754</v>
      </c>
      <c r="H72" s="1">
        <v>3050</v>
      </c>
      <c r="I72" s="1">
        <v>2530</v>
      </c>
      <c r="J72" s="11">
        <v>2.6859999999999998E-2</v>
      </c>
      <c r="K72" s="11">
        <f t="shared" ca="1" si="16"/>
        <v>6.1529167067334814E-4</v>
      </c>
      <c r="L72" s="8">
        <v>4.0990000000000002E-3</v>
      </c>
      <c r="M72" s="8">
        <f t="shared" ca="1" si="17"/>
        <v>8.4626948426609356E-5</v>
      </c>
      <c r="N72" s="8">
        <v>0.74024999999999996</v>
      </c>
      <c r="O72" s="9">
        <v>243.96190000000001</v>
      </c>
      <c r="P72" s="9">
        <f t="shared" ca="1" si="18"/>
        <v>5.0367775887565251</v>
      </c>
      <c r="Q72" s="10">
        <v>4.7440000000000003E-2</v>
      </c>
      <c r="R72" s="10">
        <f t="shared" ca="1" si="19"/>
        <v>1.0148011824983256E-3</v>
      </c>
      <c r="S72" s="9">
        <f t="shared" si="20"/>
        <v>0.48842313067970872</v>
      </c>
      <c r="T72" s="12">
        <v>1.225E-3</v>
      </c>
      <c r="U72" s="12">
        <f t="shared" ca="1" si="21"/>
        <v>3.5003571246374277E-5</v>
      </c>
      <c r="V72" s="6" t="e">
        <f ca="1">IF(agePb6U8(1/O72)&lt;1400,age7corr(1/O72,Q72,$W$2),agePb76(Q72))</f>
        <v>#NAME?</v>
      </c>
      <c r="W72" s="6" t="e">
        <f ca="1">IF(agePb6U8(1/O72)&lt;1400,ageer7corr(V72,1/O72,P72/O72*(1/O72),Q72,R72,$W$2,0.05),ageerPb76(Q72,R72))</f>
        <v>#NAME?</v>
      </c>
      <c r="X72" s="4" t="e">
        <f ca="1">agePb6U8(L72)/agePb7u5(J72)</f>
        <v>#NAME?</v>
      </c>
      <c r="Z72" s="1">
        <v>2.6859999999999998E-2</v>
      </c>
      <c r="AA72" s="1">
        <v>2.9999999999999997E-4</v>
      </c>
      <c r="AB72" s="1">
        <v>4.0990000000000002E-3</v>
      </c>
      <c r="AC72" s="1">
        <v>2.0999999999999999E-5</v>
      </c>
      <c r="AD72" s="1">
        <v>0.74024999999999996</v>
      </c>
      <c r="AE72" s="1">
        <v>243.96190000000001</v>
      </c>
      <c r="AF72" s="1">
        <v>1.2498659999999999</v>
      </c>
      <c r="AG72" s="1">
        <v>4.7440000000000003E-2</v>
      </c>
      <c r="AH72" s="1">
        <v>3.6000000000000002E-4</v>
      </c>
      <c r="AI72" s="1">
        <v>-0.30925000000000002</v>
      </c>
      <c r="AJ72" s="1">
        <v>1.225E-3</v>
      </c>
      <c r="AK72" s="1">
        <v>2.5000000000000001E-5</v>
      </c>
      <c r="AL72" s="1">
        <v>4.2089999999999996</v>
      </c>
      <c r="AM72" s="1">
        <v>5.5E-2</v>
      </c>
      <c r="AN72" s="1">
        <v>26.91</v>
      </c>
      <c r="AO72" s="1">
        <v>0.3</v>
      </c>
      <c r="AP72" s="1">
        <v>26.37</v>
      </c>
      <c r="AQ72" s="1">
        <v>0.14000000000000001</v>
      </c>
      <c r="AR72" s="1">
        <v>24.74</v>
      </c>
      <c r="AS72" s="1">
        <v>0.5</v>
      </c>
      <c r="AT72" s="1">
        <v>71</v>
      </c>
      <c r="AU72" s="1">
        <v>18</v>
      </c>
      <c r="AV72" s="1">
        <v>643</v>
      </c>
      <c r="AW72" s="1">
        <v>63</v>
      </c>
      <c r="AX72" s="1">
        <v>193</v>
      </c>
      <c r="AY72" s="1">
        <v>15</v>
      </c>
      <c r="AZ72" s="1">
        <v>19499.400000000001</v>
      </c>
      <c r="BA72" s="1">
        <v>1552.5</v>
      </c>
      <c r="BB72" s="1">
        <v>4732.0199999999995</v>
      </c>
      <c r="BC72" s="1">
        <v>422.28000000000003</v>
      </c>
      <c r="BD72" s="1">
        <v>101844</v>
      </c>
      <c r="BE72" s="1">
        <v>9315</v>
      </c>
      <c r="BF72" s="1">
        <v>6.2099999999999991</v>
      </c>
      <c r="BG72" s="1">
        <v>6.2099999999999991</v>
      </c>
      <c r="BH72" s="1">
        <f t="shared" si="22"/>
        <v>16400.000000000004</v>
      </c>
      <c r="BI72" s="1">
        <f t="shared" si="23"/>
        <v>16468.454693747073</v>
      </c>
    </row>
    <row r="73" spans="1:61" x14ac:dyDescent="0.2">
      <c r="A73" t="s">
        <v>755</v>
      </c>
      <c r="B73" t="s">
        <v>38</v>
      </c>
      <c r="C73" t="s">
        <v>756</v>
      </c>
      <c r="D73" t="s">
        <v>757</v>
      </c>
      <c r="E73">
        <v>10469</v>
      </c>
      <c r="F73">
        <v>38383</v>
      </c>
      <c r="G73" t="s">
        <v>757</v>
      </c>
      <c r="H73" s="1">
        <v>537.9</v>
      </c>
      <c r="I73" s="1">
        <v>292.2</v>
      </c>
      <c r="J73" s="11">
        <v>2.7830000000000001E-2</v>
      </c>
      <c r="K73" s="11">
        <f t="shared" ca="1" si="16"/>
        <v>7.8955909215206929E-4</v>
      </c>
      <c r="L73" s="8">
        <v>4.0829999999999998E-3</v>
      </c>
      <c r="M73" s="8">
        <f t="shared" ca="1" si="17"/>
        <v>8.6007881034240102E-5</v>
      </c>
      <c r="N73" s="8">
        <v>0.36426999999999998</v>
      </c>
      <c r="O73" s="9">
        <v>244.91800000000001</v>
      </c>
      <c r="P73" s="9">
        <f t="shared" ca="1" si="18"/>
        <v>5.1591668375523581</v>
      </c>
      <c r="Q73" s="10">
        <v>4.9450000000000001E-2</v>
      </c>
      <c r="R73" s="10">
        <f t="shared" ca="1" si="19"/>
        <v>1.3507483111223943E-3</v>
      </c>
      <c r="S73" s="9">
        <f t="shared" si="20"/>
        <v>0.30501445296838758</v>
      </c>
      <c r="T73" s="12">
        <v>1.2750000000000001E-3</v>
      </c>
      <c r="U73" s="12">
        <f t="shared" ca="1" si="21"/>
        <v>3.4340209667385552E-5</v>
      </c>
      <c r="V73" s="6" t="e">
        <f ca="1">IF(agePb6U8(1/O73)&lt;1400,age7corr(1/O73,Q73,$W$2),agePb76(Q73))</f>
        <v>#NAME?</v>
      </c>
      <c r="W73" s="6" t="e">
        <f ca="1">IF(agePb6U8(1/O73)&lt;1400,ageer7corr(V73,1/O73,P73/O73*(1/O73),Q73,R73,$W$2,0.05),ageerPb76(Q73,R73))</f>
        <v>#NAME?</v>
      </c>
      <c r="X73" s="4" t="e">
        <f ca="1">agePb6U8(L73)/agePb7u5(J73)</f>
        <v>#NAME?</v>
      </c>
      <c r="Z73" s="1">
        <v>2.7830000000000001E-2</v>
      </c>
      <c r="AA73" s="1">
        <v>5.5999999999999995E-4</v>
      </c>
      <c r="AB73" s="1">
        <v>4.0829999999999998E-3</v>
      </c>
      <c r="AC73" s="1">
        <v>2.6999999999999999E-5</v>
      </c>
      <c r="AD73" s="1">
        <v>0.36426999999999998</v>
      </c>
      <c r="AE73" s="1">
        <v>244.91800000000001</v>
      </c>
      <c r="AF73" s="1">
        <v>1.6195900000000001</v>
      </c>
      <c r="AG73" s="1">
        <v>4.9450000000000001E-2</v>
      </c>
      <c r="AH73" s="1">
        <v>9.2000000000000003E-4</v>
      </c>
      <c r="AI73" s="1">
        <v>-6.9651000000000005E-2</v>
      </c>
      <c r="AJ73" s="1">
        <v>1.2750000000000001E-3</v>
      </c>
      <c r="AK73" s="1">
        <v>2.3E-5</v>
      </c>
      <c r="AL73" s="1">
        <v>6.13</v>
      </c>
      <c r="AM73" s="1">
        <v>0.1</v>
      </c>
      <c r="AN73" s="1">
        <v>27.87</v>
      </c>
      <c r="AO73" s="1">
        <v>0.56000000000000005</v>
      </c>
      <c r="AP73" s="1">
        <v>26.26</v>
      </c>
      <c r="AQ73" s="1">
        <v>0.17</v>
      </c>
      <c r="AR73" s="1">
        <v>25.74</v>
      </c>
      <c r="AS73" s="1">
        <v>0.47</v>
      </c>
      <c r="AT73" s="1">
        <v>167</v>
      </c>
      <c r="AU73" s="1">
        <v>43</v>
      </c>
      <c r="AV73" s="1">
        <v>113.5</v>
      </c>
      <c r="AW73" s="1">
        <v>1.5</v>
      </c>
      <c r="AX73" s="1">
        <v>22.22</v>
      </c>
      <c r="AY73" s="1">
        <v>0.46</v>
      </c>
      <c r="AZ73" s="1">
        <v>2372.2199999999998</v>
      </c>
      <c r="BA73" s="1">
        <v>43.47</v>
      </c>
      <c r="BB73" s="1">
        <v>866.91600000000005</v>
      </c>
      <c r="BC73" s="1">
        <v>22.977</v>
      </c>
      <c r="BD73" s="1">
        <v>17841.330000000002</v>
      </c>
      <c r="BE73" s="1">
        <v>229.77</v>
      </c>
      <c r="BF73" s="1">
        <v>7.4519999999999991</v>
      </c>
      <c r="BG73" s="1">
        <v>6.8310000000000004</v>
      </c>
      <c r="BH73" s="1">
        <f t="shared" si="22"/>
        <v>2394.1666666666674</v>
      </c>
      <c r="BI73" s="1">
        <f t="shared" si="23"/>
        <v>2194.8693604522718</v>
      </c>
    </row>
    <row r="74" spans="1:61" x14ac:dyDescent="0.2">
      <c r="A74" t="s">
        <v>758</v>
      </c>
      <c r="B74" t="s">
        <v>38</v>
      </c>
      <c r="C74" t="s">
        <v>759</v>
      </c>
      <c r="D74" t="s">
        <v>760</v>
      </c>
      <c r="E74">
        <v>10475</v>
      </c>
      <c r="F74">
        <v>38161</v>
      </c>
      <c r="G74" t="s">
        <v>760</v>
      </c>
      <c r="H74" s="1">
        <v>295.39999999999998</v>
      </c>
      <c r="I74" s="1">
        <v>261.8</v>
      </c>
      <c r="J74" s="11">
        <v>2.6450000000000001E-2</v>
      </c>
      <c r="K74" s="11">
        <f t="shared" ca="1" si="16"/>
        <v>1.0439545009242501E-3</v>
      </c>
      <c r="L74" s="8">
        <v>4.0099999999999997E-3</v>
      </c>
      <c r="M74" s="8">
        <f t="shared" ca="1" si="17"/>
        <v>8.9179818344735368E-5</v>
      </c>
      <c r="N74" s="8">
        <v>0.20571999999999999</v>
      </c>
      <c r="O74" s="9">
        <v>249.3766</v>
      </c>
      <c r="P74" s="9">
        <f t="shared" ca="1" si="18"/>
        <v>5.5459748357874838</v>
      </c>
      <c r="Q74" s="10">
        <v>4.87E-2</v>
      </c>
      <c r="R74" s="10">
        <f t="shared" ca="1" si="19"/>
        <v>1.9592539396413116E-3</v>
      </c>
      <c r="S74" s="9">
        <f t="shared" si="20"/>
        <v>0.33987029881198727</v>
      </c>
      <c r="T74" s="12">
        <v>1.1249999999999999E-3</v>
      </c>
      <c r="U74" s="12">
        <f t="shared" ca="1" si="21"/>
        <v>3.9118409988137299E-5</v>
      </c>
      <c r="V74" s="6" t="e">
        <f ca="1">IF(agePb6U8(1/O74)&lt;1400,age7corr(1/O74,Q74,$W$2),agePb76(Q74))</f>
        <v>#NAME?</v>
      </c>
      <c r="W74" s="6" t="e">
        <f ca="1">IF(agePb6U8(1/O74)&lt;1400,ageer7corr(V74,1/O74,P74/O74*(1/O74),Q74,R74,$W$2,0.05),ageerPb76(Q74,R74))</f>
        <v>#NAME?</v>
      </c>
      <c r="X74" s="4" t="e">
        <f ca="1">agePb6U8(L74)/agePb7u5(J74)</f>
        <v>#NAME?</v>
      </c>
      <c r="Z74" s="1">
        <v>2.6450000000000001E-2</v>
      </c>
      <c r="AA74" s="1">
        <v>8.9999999999999998E-4</v>
      </c>
      <c r="AB74" s="1">
        <v>4.0099999999999997E-3</v>
      </c>
      <c r="AC74" s="1">
        <v>3.8999999999999999E-5</v>
      </c>
      <c r="AD74" s="1">
        <v>0.20571999999999999</v>
      </c>
      <c r="AE74" s="1">
        <v>249.3766</v>
      </c>
      <c r="AF74" s="1">
        <v>2.4253580000000001</v>
      </c>
      <c r="AG74" s="1">
        <v>4.87E-2</v>
      </c>
      <c r="AH74" s="1">
        <v>1.6999999999999999E-3</v>
      </c>
      <c r="AI74" s="1">
        <v>0.10198</v>
      </c>
      <c r="AJ74" s="1">
        <v>1.1249999999999999E-3</v>
      </c>
      <c r="AK74" s="1">
        <v>3.1999999999999999E-5</v>
      </c>
      <c r="AL74" s="1">
        <v>4.1779999999999999</v>
      </c>
      <c r="AM74" s="1">
        <v>4.3999999999999997E-2</v>
      </c>
      <c r="AN74" s="1">
        <v>26.51</v>
      </c>
      <c r="AO74" s="1">
        <v>0.89</v>
      </c>
      <c r="AP74" s="1">
        <v>25.8</v>
      </c>
      <c r="AQ74" s="1">
        <v>0.25</v>
      </c>
      <c r="AR74" s="1">
        <v>22.72</v>
      </c>
      <c r="AS74" s="1">
        <v>0.65</v>
      </c>
      <c r="AT74" s="1">
        <v>134</v>
      </c>
      <c r="AU74" s="1">
        <v>77</v>
      </c>
      <c r="AV74" s="1">
        <v>62.4</v>
      </c>
      <c r="AW74" s="1">
        <v>1</v>
      </c>
      <c r="AX74" s="1">
        <v>19.91</v>
      </c>
      <c r="AY74" s="1">
        <v>0.31</v>
      </c>
      <c r="AZ74" s="1">
        <v>1878.5249999999999</v>
      </c>
      <c r="BA74" s="1">
        <v>45.332999999999998</v>
      </c>
      <c r="BB74" s="1">
        <v>453.33</v>
      </c>
      <c r="BC74" s="1">
        <v>16.766999999999999</v>
      </c>
      <c r="BD74" s="1">
        <v>9693.81</v>
      </c>
      <c r="BE74" s="1">
        <v>180.09</v>
      </c>
      <c r="BF74" s="1">
        <v>49.679999999999993</v>
      </c>
      <c r="BG74" s="1">
        <v>6.8310000000000004</v>
      </c>
      <c r="BH74" s="1">
        <f t="shared" si="22"/>
        <v>195.12500000000003</v>
      </c>
      <c r="BI74" s="1">
        <f t="shared" si="23"/>
        <v>27.073469603057102</v>
      </c>
    </row>
    <row r="75" spans="1:61" x14ac:dyDescent="0.2">
      <c r="A75" t="s">
        <v>761</v>
      </c>
      <c r="B75" t="s">
        <v>38</v>
      </c>
      <c r="C75" t="s">
        <v>762</v>
      </c>
      <c r="D75" t="s">
        <v>763</v>
      </c>
      <c r="E75">
        <v>10448</v>
      </c>
      <c r="F75">
        <v>37967</v>
      </c>
      <c r="G75" t="s">
        <v>763</v>
      </c>
      <c r="H75" s="1">
        <v>173.6</v>
      </c>
      <c r="I75" s="1">
        <v>108.1</v>
      </c>
      <c r="J75" s="11">
        <v>2.9499999999999998E-2</v>
      </c>
      <c r="K75" s="11">
        <f t="shared" ca="1" si="16"/>
        <v>1.6118622769951533E-3</v>
      </c>
      <c r="L75" s="8">
        <v>4.0480000000000004E-3</v>
      </c>
      <c r="M75" s="8">
        <f t="shared" ca="1" si="17"/>
        <v>9.2144026393467318E-5</v>
      </c>
      <c r="N75" s="8">
        <v>0.33710000000000001</v>
      </c>
      <c r="O75" s="9">
        <v>247.03559999999999</v>
      </c>
      <c r="P75" s="9">
        <f t="shared" ca="1" si="18"/>
        <v>5.6232346230176988</v>
      </c>
      <c r="Q75" s="10">
        <v>5.2999999999999999E-2</v>
      </c>
      <c r="R75" s="10">
        <f t="shared" ca="1" si="19"/>
        <v>2.807774919754074E-3</v>
      </c>
      <c r="S75" s="9">
        <f t="shared" si="20"/>
        <v>0.23289192416373727</v>
      </c>
      <c r="T75" s="12">
        <v>1.238E-3</v>
      </c>
      <c r="U75" s="12">
        <f t="shared" ca="1" si="21"/>
        <v>3.8898041081781998E-5</v>
      </c>
      <c r="V75" s="6" t="e">
        <f ca="1">IF(agePb6U8(1/O75)&lt;1400,age7corr(1/O75,Q75,$W$2),agePb76(Q75))</f>
        <v>#NAME?</v>
      </c>
      <c r="W75" s="6" t="e">
        <f ca="1">IF(agePb6U8(1/O75)&lt;1400,ageer7corr(V75,1/O75,P75/O75*(1/O75),Q75,R75,$W$2,0.05),ageerPb76(Q75,R75))</f>
        <v>#NAME?</v>
      </c>
      <c r="X75" s="4" t="e">
        <f ca="1">agePb6U8(L75)/agePb7u5(J75)</f>
        <v>#NAME?</v>
      </c>
      <c r="Z75" s="1">
        <v>2.9499999999999998E-2</v>
      </c>
      <c r="AA75" s="1">
        <v>1.5E-3</v>
      </c>
      <c r="AB75" s="1">
        <v>4.0480000000000004E-3</v>
      </c>
      <c r="AC75" s="1">
        <v>4.3999999999999999E-5</v>
      </c>
      <c r="AD75" s="1">
        <v>0.33710000000000001</v>
      </c>
      <c r="AE75" s="1">
        <v>247.03559999999999</v>
      </c>
      <c r="AF75" s="1">
        <v>2.6851690000000001</v>
      </c>
      <c r="AG75" s="1">
        <v>5.2999999999999999E-2</v>
      </c>
      <c r="AH75" s="1">
        <v>2.5999999999999999E-3</v>
      </c>
      <c r="AI75" s="1">
        <v>-0.15411</v>
      </c>
      <c r="AJ75" s="1">
        <v>1.238E-3</v>
      </c>
      <c r="AK75" s="1">
        <v>3.0000000000000001E-5</v>
      </c>
      <c r="AL75" s="1">
        <v>5.48</v>
      </c>
      <c r="AM75" s="1">
        <v>0.14000000000000001</v>
      </c>
      <c r="AN75" s="1">
        <v>29.5</v>
      </c>
      <c r="AO75" s="1">
        <v>1.4</v>
      </c>
      <c r="AP75" s="1">
        <v>26.04</v>
      </c>
      <c r="AQ75" s="1">
        <v>0.28000000000000003</v>
      </c>
      <c r="AR75" s="1">
        <v>25.01</v>
      </c>
      <c r="AS75" s="1">
        <v>0.61</v>
      </c>
      <c r="AT75" s="1">
        <v>310</v>
      </c>
      <c r="AU75" s="1">
        <v>110</v>
      </c>
      <c r="AV75" s="1">
        <v>36.630000000000003</v>
      </c>
      <c r="AW75" s="1">
        <v>0.53</v>
      </c>
      <c r="AX75" s="1">
        <v>8.2200000000000006</v>
      </c>
      <c r="AY75" s="1">
        <v>0.27999999999999997</v>
      </c>
      <c r="AZ75" s="1">
        <v>852.01200000000006</v>
      </c>
      <c r="BA75" s="1">
        <v>26.082000000000001</v>
      </c>
      <c r="BB75" s="1">
        <v>295.596</v>
      </c>
      <c r="BC75" s="1">
        <v>16.145999999999997</v>
      </c>
      <c r="BD75" s="1">
        <v>5719.41</v>
      </c>
      <c r="BE75" s="1">
        <v>99.359999999999985</v>
      </c>
      <c r="BF75" s="1">
        <v>-37.26</v>
      </c>
      <c r="BG75" s="1">
        <v>6.8310000000000004</v>
      </c>
      <c r="BH75" s="1">
        <f t="shared" si="22"/>
        <v>-153.5</v>
      </c>
      <c r="BI75" s="1">
        <f t="shared" si="23"/>
        <v>-28.267729195831933</v>
      </c>
    </row>
    <row r="76" spans="1:61" x14ac:dyDescent="0.2">
      <c r="A76" t="s">
        <v>764</v>
      </c>
      <c r="B76" t="s">
        <v>38</v>
      </c>
      <c r="C76" t="s">
        <v>765</v>
      </c>
      <c r="D76" t="s">
        <v>766</v>
      </c>
      <c r="E76">
        <v>10547</v>
      </c>
      <c r="F76">
        <v>37715</v>
      </c>
      <c r="G76" t="s">
        <v>766</v>
      </c>
      <c r="H76" s="1">
        <v>1412</v>
      </c>
      <c r="I76" s="1">
        <v>1577</v>
      </c>
      <c r="J76" s="11">
        <v>2.657E-2</v>
      </c>
      <c r="K76" s="11">
        <f t="shared" ca="1" si="16"/>
        <v>7.4349576999469208E-4</v>
      </c>
      <c r="L76" s="8">
        <v>4.0959999999999998E-3</v>
      </c>
      <c r="M76" s="8">
        <f t="shared" ca="1" si="17"/>
        <v>8.7589305283236493E-5</v>
      </c>
      <c r="N76" s="8">
        <v>0.52180000000000004</v>
      </c>
      <c r="O76" s="9">
        <v>244.14060000000001</v>
      </c>
      <c r="P76" s="9">
        <f t="shared" ca="1" si="18"/>
        <v>5.2207289641275194</v>
      </c>
      <c r="Q76" s="10">
        <v>4.6929999999999999E-2</v>
      </c>
      <c r="R76" s="10">
        <f t="shared" ca="1" si="19"/>
        <v>1.2332761085823401E-3</v>
      </c>
      <c r="S76" s="9">
        <f t="shared" si="20"/>
        <v>0.36738174586080452</v>
      </c>
      <c r="T76" s="12">
        <v>1.1640000000000001E-3</v>
      </c>
      <c r="U76" s="12">
        <f t="shared" ca="1" si="21"/>
        <v>3.2725500760110606E-5</v>
      </c>
      <c r="V76" s="6" t="e">
        <f ca="1">IF(agePb6U8(1/O76)&lt;1400,age7corr(1/O76,Q76,$W$2),agePb76(Q76))</f>
        <v>#NAME?</v>
      </c>
      <c r="W76" s="6" t="e">
        <f ca="1">IF(agePb6U8(1/O76)&lt;1400,ageer7corr(V76,1/O76,P76/O76*(1/O76),Q76,R76,$W$2,0.05),ageerPb76(Q76,R76))</f>
        <v>#NAME?</v>
      </c>
      <c r="X76" s="4" t="e">
        <f ca="1">agePb6U8(L76)/agePb7u5(J76)</f>
        <v>#NAME?</v>
      </c>
      <c r="Z76" s="1">
        <v>2.657E-2</v>
      </c>
      <c r="AA76" s="1">
        <v>5.1999999999999995E-4</v>
      </c>
      <c r="AB76" s="1">
        <v>4.0959999999999998E-3</v>
      </c>
      <c r="AC76" s="1">
        <v>3.1000000000000001E-5</v>
      </c>
      <c r="AD76" s="1">
        <v>0.52180000000000004</v>
      </c>
      <c r="AE76" s="1">
        <v>244.14060000000001</v>
      </c>
      <c r="AF76" s="1">
        <v>1.8477440000000001</v>
      </c>
      <c r="AG76" s="1">
        <v>4.6929999999999999E-2</v>
      </c>
      <c r="AH76" s="1">
        <v>8.0000000000000004E-4</v>
      </c>
      <c r="AI76" s="1">
        <v>-7.5477000000000002E-2</v>
      </c>
      <c r="AJ76" s="1">
        <v>1.1640000000000001E-3</v>
      </c>
      <c r="AK76" s="1">
        <v>2.3E-5</v>
      </c>
      <c r="AL76" s="1">
        <v>3.36</v>
      </c>
      <c r="AM76" s="1">
        <v>0.03</v>
      </c>
      <c r="AN76" s="1">
        <v>26.62</v>
      </c>
      <c r="AO76" s="1">
        <v>0.51</v>
      </c>
      <c r="AP76" s="1">
        <v>26.35</v>
      </c>
      <c r="AQ76" s="1">
        <v>0.2</v>
      </c>
      <c r="AR76" s="1">
        <v>23.52</v>
      </c>
      <c r="AS76" s="1">
        <v>0.46</v>
      </c>
      <c r="AT76" s="1">
        <v>49</v>
      </c>
      <c r="AU76" s="1">
        <v>37</v>
      </c>
      <c r="AV76" s="1">
        <v>298</v>
      </c>
      <c r="AW76" s="1">
        <v>9.9</v>
      </c>
      <c r="AX76" s="1">
        <v>119.9</v>
      </c>
      <c r="AY76" s="1">
        <v>3.3</v>
      </c>
      <c r="AZ76" s="1">
        <v>11457.45</v>
      </c>
      <c r="BA76" s="1">
        <v>347.76</v>
      </c>
      <c r="BB76" s="1">
        <v>2161.08</v>
      </c>
      <c r="BC76" s="1">
        <v>62.1</v>
      </c>
      <c r="BD76" s="1">
        <v>47382.3</v>
      </c>
      <c r="BE76" s="1">
        <v>1117.8000000000002</v>
      </c>
      <c r="BF76" s="1">
        <v>1.242</v>
      </c>
      <c r="BG76" s="1">
        <v>5.0922000000000001</v>
      </c>
      <c r="BH76" s="1">
        <f t="shared" si="22"/>
        <v>38150</v>
      </c>
      <c r="BI76" s="1">
        <f t="shared" si="23"/>
        <v>156417.5892443046</v>
      </c>
    </row>
    <row r="77" spans="1:61" x14ac:dyDescent="0.2">
      <c r="A77" t="s">
        <v>767</v>
      </c>
      <c r="B77" t="s">
        <v>38</v>
      </c>
      <c r="C77" t="s">
        <v>768</v>
      </c>
      <c r="D77" t="s">
        <v>769</v>
      </c>
      <c r="E77">
        <v>10627</v>
      </c>
      <c r="F77">
        <v>37573</v>
      </c>
      <c r="G77" t="s">
        <v>769</v>
      </c>
      <c r="H77" s="1">
        <v>374.2</v>
      </c>
      <c r="I77" s="1">
        <v>420.8</v>
      </c>
      <c r="J77" s="11">
        <v>2.6159999999999999E-2</v>
      </c>
      <c r="K77" s="11">
        <f t="shared" ca="1" si="16"/>
        <v>8.9813041369279998E-4</v>
      </c>
      <c r="L77" s="8">
        <v>3.9969999999999997E-3</v>
      </c>
      <c r="M77" s="8">
        <f t="shared" ca="1" si="17"/>
        <v>8.470185121943912E-5</v>
      </c>
      <c r="N77" s="8">
        <v>5.4141000000000002E-2</v>
      </c>
      <c r="O77" s="9">
        <v>250.1876</v>
      </c>
      <c r="P77" s="9">
        <f t="shared" ca="1" si="18"/>
        <v>5.3018146878109578</v>
      </c>
      <c r="Q77" s="10">
        <v>4.7300000000000002E-2</v>
      </c>
      <c r="R77" s="10">
        <f t="shared" ca="1" si="19"/>
        <v>1.6077673961117634E-3</v>
      </c>
      <c r="S77" s="9">
        <f t="shared" si="20"/>
        <v>0.29092247762122525</v>
      </c>
      <c r="T77" s="12">
        <v>1.121E-3</v>
      </c>
      <c r="U77" s="12">
        <f t="shared" ca="1" si="21"/>
        <v>3.1411087214548939E-5</v>
      </c>
      <c r="V77" s="6" t="e">
        <f ca="1">IF(agePb6U8(1/O77)&lt;1400,age7corr(1/O77,Q77,$W$2),agePb76(Q77))</f>
        <v>#NAME?</v>
      </c>
      <c r="W77" s="6" t="e">
        <f ca="1">IF(agePb6U8(1/O77)&lt;1400,ageer7corr(V77,1/O77,P77/O77*(1/O77),Q77,R77,$W$2,0.05),ageerPb76(Q77,R77))</f>
        <v>#NAME?</v>
      </c>
      <c r="X77" s="4" t="e">
        <f ca="1">agePb6U8(L77)/agePb7u5(J77)</f>
        <v>#NAME?</v>
      </c>
      <c r="Z77" s="1">
        <v>2.6159999999999999E-2</v>
      </c>
      <c r="AA77" s="1">
        <v>7.2999999999999996E-4</v>
      </c>
      <c r="AB77" s="1">
        <v>3.9969999999999997E-3</v>
      </c>
      <c r="AC77" s="1">
        <v>2.8E-5</v>
      </c>
      <c r="AD77" s="1">
        <v>5.4141000000000002E-2</v>
      </c>
      <c r="AE77" s="1">
        <v>250.1876</v>
      </c>
      <c r="AF77" s="1">
        <v>1.7526280000000001</v>
      </c>
      <c r="AG77" s="1">
        <v>4.7300000000000002E-2</v>
      </c>
      <c r="AH77" s="1">
        <v>1.2999999999999999E-3</v>
      </c>
      <c r="AI77" s="1">
        <v>0.16051000000000001</v>
      </c>
      <c r="AJ77" s="1">
        <v>1.121E-3</v>
      </c>
      <c r="AK77" s="1">
        <v>2.1999999999999999E-5</v>
      </c>
      <c r="AL77" s="1">
        <v>3.3650000000000002</v>
      </c>
      <c r="AM77" s="1">
        <v>4.4999999999999998E-2</v>
      </c>
      <c r="AN77" s="1">
        <v>26.22</v>
      </c>
      <c r="AO77" s="1">
        <v>0.73</v>
      </c>
      <c r="AP77" s="1">
        <v>25.71</v>
      </c>
      <c r="AQ77" s="1">
        <v>0.18</v>
      </c>
      <c r="AR77" s="1">
        <v>22.64</v>
      </c>
      <c r="AS77" s="1">
        <v>0.44</v>
      </c>
      <c r="AT77" s="1">
        <v>70</v>
      </c>
      <c r="AU77" s="1">
        <v>60</v>
      </c>
      <c r="AV77" s="1">
        <v>79</v>
      </c>
      <c r="AW77" s="1">
        <v>1.4</v>
      </c>
      <c r="AX77" s="1">
        <v>31.99</v>
      </c>
      <c r="AY77" s="1">
        <v>0.42000000000000004</v>
      </c>
      <c r="AZ77" s="1">
        <v>2946.645</v>
      </c>
      <c r="BA77" s="1">
        <v>57.753</v>
      </c>
      <c r="BB77" s="1">
        <v>563.86799999999994</v>
      </c>
      <c r="BC77" s="1">
        <v>16.145999999999997</v>
      </c>
      <c r="BD77" s="1">
        <v>12270.96</v>
      </c>
      <c r="BE77" s="1">
        <v>180.09</v>
      </c>
      <c r="BF77" s="1">
        <v>3.4155000000000002</v>
      </c>
      <c r="BG77" s="1">
        <v>5.8373999999999997</v>
      </c>
      <c r="BH77" s="1">
        <f t="shared" si="22"/>
        <v>3592.7272727272721</v>
      </c>
      <c r="BI77" s="1">
        <f t="shared" si="23"/>
        <v>6140.5239033430025</v>
      </c>
    </row>
    <row r="78" spans="1:61" x14ac:dyDescent="0.2">
      <c r="A78" t="s">
        <v>770</v>
      </c>
      <c r="B78" t="s">
        <v>38</v>
      </c>
      <c r="C78" t="s">
        <v>771</v>
      </c>
      <c r="D78" t="s">
        <v>772</v>
      </c>
      <c r="E78">
        <v>10854</v>
      </c>
      <c r="F78">
        <v>37565</v>
      </c>
      <c r="G78" t="s">
        <v>772</v>
      </c>
      <c r="H78" s="1">
        <v>570.4</v>
      </c>
      <c r="I78" s="1">
        <v>565.79999999999995</v>
      </c>
      <c r="J78" s="11">
        <v>2.7720000000000002E-2</v>
      </c>
      <c r="K78" s="11">
        <f t="shared" ca="1" si="16"/>
        <v>7.3990496687074622E-4</v>
      </c>
      <c r="L78" s="8">
        <v>4.0499999999999998E-3</v>
      </c>
      <c r="M78" s="8">
        <f t="shared" ca="1" si="17"/>
        <v>9.0338253248554683E-5</v>
      </c>
      <c r="N78" s="8">
        <v>0.42270000000000002</v>
      </c>
      <c r="O78" s="9">
        <v>246.9136</v>
      </c>
      <c r="P78" s="9">
        <f t="shared" ca="1" si="18"/>
        <v>5.5075910160788988</v>
      </c>
      <c r="Q78" s="10">
        <v>4.9930000000000002E-2</v>
      </c>
      <c r="R78" s="10">
        <f t="shared" ca="1" si="19"/>
        <v>1.3645885680306721E-3</v>
      </c>
      <c r="S78" s="9">
        <f t="shared" si="20"/>
        <v>0.41939084403775129</v>
      </c>
      <c r="T78" s="12">
        <v>1.1360000000000001E-3</v>
      </c>
      <c r="U78" s="12">
        <f t="shared" ca="1" si="21"/>
        <v>2.6687045546481914E-5</v>
      </c>
      <c r="V78" s="6" t="e">
        <f ca="1">IF(agePb6U8(1/O78)&lt;1400,age7corr(1/O78,Q78,$W$2),agePb76(Q78))</f>
        <v>#NAME?</v>
      </c>
      <c r="W78" s="6" t="e">
        <f ca="1">IF(agePb6U8(1/O78)&lt;1400,ageer7corr(V78,1/O78,P78/O78*(1/O78),Q78,R78,$W$2,0.05),ageerPb76(Q78,R78))</f>
        <v>#NAME?</v>
      </c>
      <c r="X78" s="4" t="e">
        <f ca="1">agePb6U8(L78)/agePb7u5(J78)</f>
        <v>#NAME?</v>
      </c>
      <c r="Z78" s="1">
        <v>2.7720000000000002E-2</v>
      </c>
      <c r="AA78" s="1">
        <v>4.8999999999999998E-4</v>
      </c>
      <c r="AB78" s="1">
        <v>4.0499999999999998E-3</v>
      </c>
      <c r="AC78" s="1">
        <v>4.0000000000000003E-5</v>
      </c>
      <c r="AD78" s="1">
        <v>0.42270000000000002</v>
      </c>
      <c r="AE78" s="1">
        <v>246.9136</v>
      </c>
      <c r="AF78" s="1">
        <v>2.438653</v>
      </c>
      <c r="AG78" s="1">
        <v>4.9930000000000002E-2</v>
      </c>
      <c r="AH78" s="1">
        <v>9.3000000000000005E-4</v>
      </c>
      <c r="AI78" s="1">
        <v>7.8203999999999996E-2</v>
      </c>
      <c r="AJ78" s="1">
        <v>1.1360000000000001E-3</v>
      </c>
      <c r="AK78" s="1">
        <v>1.4E-5</v>
      </c>
      <c r="AL78" s="1">
        <v>3.7250000000000001</v>
      </c>
      <c r="AM78" s="1">
        <v>3.4000000000000002E-2</v>
      </c>
      <c r="AN78" s="1">
        <v>27.76</v>
      </c>
      <c r="AO78" s="1">
        <v>0.49</v>
      </c>
      <c r="AP78" s="1">
        <v>26.06</v>
      </c>
      <c r="AQ78" s="1">
        <v>0.25</v>
      </c>
      <c r="AR78" s="1">
        <v>22.94</v>
      </c>
      <c r="AS78" s="1">
        <v>0.28000000000000003</v>
      </c>
      <c r="AT78" s="1">
        <v>189</v>
      </c>
      <c r="AU78" s="1">
        <v>43</v>
      </c>
      <c r="AV78" s="1">
        <v>120.3</v>
      </c>
      <c r="AW78" s="1">
        <v>2.1</v>
      </c>
      <c r="AX78" s="1">
        <v>43.01</v>
      </c>
      <c r="AY78" s="1">
        <v>0.56999999999999995</v>
      </c>
      <c r="AZ78" s="1">
        <v>4123.4399999999996</v>
      </c>
      <c r="BA78" s="1">
        <v>62.1</v>
      </c>
      <c r="BB78" s="1">
        <v>918.45900000000006</v>
      </c>
      <c r="BC78" s="1">
        <v>21.113999999999997</v>
      </c>
      <c r="BD78" s="1">
        <v>18816.3</v>
      </c>
      <c r="BE78" s="1">
        <v>322.91999999999996</v>
      </c>
      <c r="BF78" s="1">
        <v>12.419999999999998</v>
      </c>
      <c r="BG78" s="1">
        <v>6.2099999999999991</v>
      </c>
      <c r="BH78" s="1">
        <f t="shared" si="22"/>
        <v>1515.0000000000002</v>
      </c>
      <c r="BI78" s="1">
        <f t="shared" si="23"/>
        <v>757.94607327962331</v>
      </c>
    </row>
    <row r="79" spans="1:61" x14ac:dyDescent="0.2">
      <c r="A79" t="s">
        <v>581</v>
      </c>
      <c r="B79" t="s">
        <v>38</v>
      </c>
      <c r="C79" t="s">
        <v>582</v>
      </c>
      <c r="D79" t="s">
        <v>583</v>
      </c>
      <c r="E79">
        <v>10235</v>
      </c>
      <c r="F79">
        <v>53615</v>
      </c>
      <c r="G79" t="s">
        <v>583</v>
      </c>
      <c r="H79" s="1">
        <v>253</v>
      </c>
      <c r="I79" s="1">
        <v>152.30000000000001</v>
      </c>
      <c r="J79" s="11">
        <v>2.7199999999999998E-2</v>
      </c>
      <c r="K79" s="11">
        <f t="shared" ca="1" si="16"/>
        <v>1.1383918481788244E-3</v>
      </c>
      <c r="L79" s="8">
        <v>4.0829999999999998E-3</v>
      </c>
      <c r="M79" s="8">
        <f t="shared" ca="1" si="17"/>
        <v>9.0495058428623613E-5</v>
      </c>
      <c r="N79" s="8">
        <v>0.30347000000000002</v>
      </c>
      <c r="O79" s="9">
        <v>244.91800000000001</v>
      </c>
      <c r="P79" s="9">
        <f t="shared" ca="1" si="18"/>
        <v>5.4283290063562841</v>
      </c>
      <c r="Q79" s="10">
        <v>4.87E-2</v>
      </c>
      <c r="R79" s="10">
        <f t="shared" ca="1" si="19"/>
        <v>1.8731460167322783E-3</v>
      </c>
      <c r="S79" s="9">
        <f t="shared" si="20"/>
        <v>0.38218036779238812</v>
      </c>
      <c r="T79" s="12">
        <v>1.315E-3</v>
      </c>
      <c r="U79" s="12">
        <f t="shared" ca="1" si="21"/>
        <v>4.5394823493433694E-5</v>
      </c>
      <c r="V79" s="6" t="e">
        <f ca="1">IF(agePb6U8(1/O79)&lt;1400,age7corr(1/O79,Q79,$W$2),agePb76(Q79))</f>
        <v>#NAME?</v>
      </c>
      <c r="W79" s="6" t="e">
        <f ca="1">IF(agePb6U8(1/O79)&lt;1400,ageer7corr(V79,1/O79,P79/O79*(1/O79),Q79,R79,$W$2,0.05),ageerPb76(Q79,R79))</f>
        <v>#NAME?</v>
      </c>
      <c r="X79" s="4" t="e">
        <f ca="1">agePb6U8(L79)/agePb7u5(J79)</f>
        <v>#NAME?</v>
      </c>
      <c r="Z79" s="1">
        <v>2.7199999999999998E-2</v>
      </c>
      <c r="AA79" s="1">
        <v>1E-3</v>
      </c>
      <c r="AB79" s="1">
        <v>4.0829999999999998E-3</v>
      </c>
      <c r="AC79" s="1">
        <v>3.8999999999999999E-5</v>
      </c>
      <c r="AD79" s="1">
        <v>0.30347000000000002</v>
      </c>
      <c r="AE79" s="1">
        <v>244.91800000000001</v>
      </c>
      <c r="AF79" s="1">
        <v>2.339407</v>
      </c>
      <c r="AG79" s="1">
        <v>4.87E-2</v>
      </c>
      <c r="AH79" s="1">
        <v>1.6000000000000001E-3</v>
      </c>
      <c r="AI79" s="1">
        <v>1.0931E-2</v>
      </c>
      <c r="AJ79" s="1">
        <v>1.315E-3</v>
      </c>
      <c r="AK79" s="1">
        <v>3.6999999999999998E-5</v>
      </c>
      <c r="AL79" s="1">
        <v>5.59</v>
      </c>
      <c r="AM79" s="1">
        <v>0.14000000000000001</v>
      </c>
      <c r="AN79" s="1">
        <v>27.3</v>
      </c>
      <c r="AO79" s="1">
        <v>1</v>
      </c>
      <c r="AP79" s="1">
        <v>26.27</v>
      </c>
      <c r="AQ79" s="1">
        <v>0.25</v>
      </c>
      <c r="AR79" s="1">
        <v>26.55</v>
      </c>
      <c r="AS79" s="1">
        <v>0.75</v>
      </c>
      <c r="AT79" s="1">
        <v>114</v>
      </c>
      <c r="AU79" s="1">
        <v>78</v>
      </c>
      <c r="AV79" s="1">
        <v>53.699999999999996</v>
      </c>
      <c r="AW79" s="1">
        <v>3</v>
      </c>
      <c r="AX79" s="1">
        <v>11.639999999999999</v>
      </c>
      <c r="AY79" s="1">
        <v>0.5</v>
      </c>
      <c r="AZ79" s="1">
        <v>1256.904</v>
      </c>
      <c r="BA79" s="1">
        <v>60.857999999999997</v>
      </c>
      <c r="BB79" s="1">
        <v>409.86</v>
      </c>
      <c r="BC79" s="1">
        <v>29.807999999999996</v>
      </c>
      <c r="BD79" s="1">
        <v>8613.27</v>
      </c>
      <c r="BE79" s="1">
        <v>434.7</v>
      </c>
      <c r="BF79" s="1">
        <v>13.3515</v>
      </c>
      <c r="BG79" s="1">
        <v>4.0364999999999993</v>
      </c>
      <c r="BH79" s="1">
        <f t="shared" si="22"/>
        <v>645.11627906976753</v>
      </c>
      <c r="BI79" s="1">
        <f t="shared" si="23"/>
        <v>197.73402286749047</v>
      </c>
    </row>
    <row r="80" spans="1:61" x14ac:dyDescent="0.2">
      <c r="A80" t="s">
        <v>779</v>
      </c>
      <c r="B80" t="s">
        <v>38</v>
      </c>
      <c r="C80" t="s">
        <v>780</v>
      </c>
      <c r="D80" t="s">
        <v>781</v>
      </c>
      <c r="E80">
        <v>10820</v>
      </c>
      <c r="F80">
        <v>38352</v>
      </c>
      <c r="G80" t="s">
        <v>781</v>
      </c>
      <c r="H80" s="1">
        <v>435.2</v>
      </c>
      <c r="I80" s="1">
        <v>364.1</v>
      </c>
      <c r="J80" s="11">
        <v>3.1099999999999999E-2</v>
      </c>
      <c r="K80" s="11">
        <f t="shared" ca="1" si="16"/>
        <v>1.2636787566466408E-3</v>
      </c>
      <c r="L80" s="8">
        <v>4.1520000000000003E-3</v>
      </c>
      <c r="M80" s="8">
        <f t="shared" ca="1" si="17"/>
        <v>8.8637698526078626E-5</v>
      </c>
      <c r="N80" s="8">
        <v>0.37420999999999999</v>
      </c>
      <c r="O80" s="9">
        <v>240.84780000000001</v>
      </c>
      <c r="P80" s="9">
        <f t="shared" ca="1" si="18"/>
        <v>5.1416652374600398</v>
      </c>
      <c r="Q80" s="10">
        <v>5.4399999999999997E-2</v>
      </c>
      <c r="R80" s="10">
        <f t="shared" ca="1" si="19"/>
        <v>2.2767836963576487E-3</v>
      </c>
      <c r="S80" s="9">
        <f t="shared" si="20"/>
        <v>0.21623132847855495</v>
      </c>
      <c r="T80" s="12">
        <v>1.459E-3</v>
      </c>
      <c r="U80" s="12">
        <f t="shared" ca="1" si="21"/>
        <v>3.2364678277406067E-5</v>
      </c>
      <c r="V80" s="6" t="e">
        <f ca="1">IF(agePb6U8(1/O80)&lt;1400,age7corr(1/O80,Q80,$W$2),agePb76(Q80))</f>
        <v>#NAME?</v>
      </c>
      <c r="W80" s="6" t="e">
        <f ca="1">IF(agePb6U8(1/O80)&lt;1400,ageer7corr(V80,1/O80,P80/O80*(1/O80),Q80,R80,$W$2,0.05),ageerPb76(Q80,R80))</f>
        <v>#NAME?</v>
      </c>
      <c r="X80" s="4" t="e">
        <f ca="1">agePb6U8(L80)/agePb7u5(J80)</f>
        <v>#NAME?</v>
      </c>
      <c r="Z80" s="1">
        <v>3.1099999999999999E-2</v>
      </c>
      <c r="AA80" s="1">
        <v>1.1000000000000001E-3</v>
      </c>
      <c r="AB80" s="1">
        <v>4.1520000000000003E-3</v>
      </c>
      <c r="AC80" s="1">
        <v>3.1000000000000001E-5</v>
      </c>
      <c r="AD80" s="1">
        <v>0.37420999999999999</v>
      </c>
      <c r="AE80" s="1">
        <v>240.84780000000001</v>
      </c>
      <c r="AF80" s="1">
        <v>1.7982370000000001</v>
      </c>
      <c r="AG80" s="1">
        <v>5.4399999999999997E-2</v>
      </c>
      <c r="AH80" s="1">
        <v>2E-3</v>
      </c>
      <c r="AI80" s="1">
        <v>-0.18915000000000001</v>
      </c>
      <c r="AJ80" s="1">
        <v>1.459E-3</v>
      </c>
      <c r="AK80" s="1">
        <v>1.4E-5</v>
      </c>
      <c r="AL80" s="1">
        <v>3.5739999999999998</v>
      </c>
      <c r="AM80" s="1">
        <v>5.0999999999999997E-2</v>
      </c>
      <c r="AN80" s="1">
        <v>31.1</v>
      </c>
      <c r="AO80" s="1">
        <v>1.1000000000000001</v>
      </c>
      <c r="AP80" s="1">
        <v>26.71</v>
      </c>
      <c r="AQ80" s="1">
        <v>0.2</v>
      </c>
      <c r="AR80" s="1">
        <v>29.46</v>
      </c>
      <c r="AS80" s="1">
        <v>0.28999999999999998</v>
      </c>
      <c r="AT80" s="1">
        <v>379</v>
      </c>
      <c r="AU80" s="1">
        <v>80</v>
      </c>
      <c r="AV80" s="1">
        <v>91.800000000000011</v>
      </c>
      <c r="AW80" s="1">
        <v>1.6</v>
      </c>
      <c r="AX80" s="1">
        <v>27.67</v>
      </c>
      <c r="AY80" s="1">
        <v>0.42000000000000004</v>
      </c>
      <c r="AZ80" s="1">
        <v>3347.19</v>
      </c>
      <c r="BA80" s="1">
        <v>62.1</v>
      </c>
      <c r="BB80" s="1">
        <v>783.702</v>
      </c>
      <c r="BC80" s="1">
        <v>31.05</v>
      </c>
      <c r="BD80" s="1">
        <v>14723.909999999998</v>
      </c>
      <c r="BE80" s="1">
        <v>211.14000000000001</v>
      </c>
      <c r="BF80" s="1">
        <v>15.525</v>
      </c>
      <c r="BG80" s="1">
        <v>7.4519999999999991</v>
      </c>
      <c r="BH80" s="1">
        <f t="shared" si="22"/>
        <v>948.39999999999986</v>
      </c>
      <c r="BI80" s="1">
        <f t="shared" si="23"/>
        <v>455.43510385564252</v>
      </c>
    </row>
    <row r="81" spans="1:61" x14ac:dyDescent="0.2">
      <c r="A81" t="s">
        <v>782</v>
      </c>
      <c r="B81" t="s">
        <v>38</v>
      </c>
      <c r="C81" t="s">
        <v>783</v>
      </c>
      <c r="D81" t="s">
        <v>784</v>
      </c>
      <c r="E81">
        <v>10792</v>
      </c>
      <c r="F81">
        <v>38518</v>
      </c>
      <c r="G81" t="s">
        <v>784</v>
      </c>
      <c r="H81" s="1">
        <v>574</v>
      </c>
      <c r="I81" s="1">
        <v>471</v>
      </c>
      <c r="J81" s="11">
        <v>3.2199999999999999E-2</v>
      </c>
      <c r="K81" s="11">
        <f t="shared" ca="1" si="16"/>
        <v>1.5410178454515055E-3</v>
      </c>
      <c r="L81" s="8">
        <v>4.1809999999999998E-3</v>
      </c>
      <c r="M81" s="8">
        <f t="shared" ca="1" si="17"/>
        <v>9.2694683774205744E-5</v>
      </c>
      <c r="N81" s="8">
        <v>0.92874999999999996</v>
      </c>
      <c r="O81" s="9">
        <v>239.1772</v>
      </c>
      <c r="P81" s="9">
        <f t="shared" ca="1" si="18"/>
        <v>5.3026681711036758</v>
      </c>
      <c r="Q81" s="10">
        <v>5.5800000000000002E-2</v>
      </c>
      <c r="R81" s="10">
        <f t="shared" ca="1" si="19"/>
        <v>2.2902960507323062E-3</v>
      </c>
      <c r="S81" s="9">
        <f t="shared" si="20"/>
        <v>0.41084659276590191</v>
      </c>
      <c r="T81" s="12">
        <v>1.3680000000000001E-3</v>
      </c>
      <c r="U81" s="12">
        <f t="shared" ca="1" si="21"/>
        <v>3.2211327200225702E-5</v>
      </c>
      <c r="V81" s="6" t="e">
        <f ca="1">IF(agePb6U8(1/O81)&lt;1400,age7corr(1/O81,Q81,$W$2),agePb76(Q81))</f>
        <v>#NAME?</v>
      </c>
      <c r="W81" s="6" t="e">
        <f ca="1">IF(agePb6U8(1/O81)&lt;1400,ageer7corr(V81,1/O81,P81/O81*(1/O81),Q81,R81,$W$2,0.05),ageerPb76(Q81,R81))</f>
        <v>#NAME?</v>
      </c>
      <c r="X81" s="4" t="e">
        <f ca="1">agePb6U8(L81)/agePb7u5(J81)</f>
        <v>#NAME?</v>
      </c>
      <c r="Z81" s="1">
        <v>3.2199999999999999E-2</v>
      </c>
      <c r="AA81" s="1">
        <v>1.4E-3</v>
      </c>
      <c r="AB81" s="1">
        <v>4.1809999999999998E-3</v>
      </c>
      <c r="AC81" s="1">
        <v>4.0000000000000003E-5</v>
      </c>
      <c r="AD81" s="1">
        <v>0.92874999999999996</v>
      </c>
      <c r="AE81" s="1">
        <v>239.1772</v>
      </c>
      <c r="AF81" s="1">
        <v>2.28823</v>
      </c>
      <c r="AG81" s="1">
        <v>5.5800000000000002E-2</v>
      </c>
      <c r="AH81" s="1">
        <v>2E-3</v>
      </c>
      <c r="AI81" s="1">
        <v>-0.89114000000000004</v>
      </c>
      <c r="AJ81" s="1">
        <v>1.3680000000000001E-3</v>
      </c>
      <c r="AK81" s="1">
        <v>1.7E-5</v>
      </c>
      <c r="AL81" s="1">
        <v>3.9540000000000002</v>
      </c>
      <c r="AM81" s="1">
        <v>5.5E-2</v>
      </c>
      <c r="AN81" s="1">
        <v>32.200000000000003</v>
      </c>
      <c r="AO81" s="1">
        <v>1.4</v>
      </c>
      <c r="AP81" s="1">
        <v>26.9</v>
      </c>
      <c r="AQ81" s="1">
        <v>0.26</v>
      </c>
      <c r="AR81" s="1">
        <v>27.64</v>
      </c>
      <c r="AS81" s="1">
        <v>0.34</v>
      </c>
      <c r="AT81" s="1">
        <v>436</v>
      </c>
      <c r="AU81" s="1">
        <v>75</v>
      </c>
      <c r="AV81" s="1">
        <v>121</v>
      </c>
      <c r="AW81" s="1">
        <v>2.2999999999999998</v>
      </c>
      <c r="AX81" s="1">
        <v>35.799999999999997</v>
      </c>
      <c r="AY81" s="1">
        <v>1.2</v>
      </c>
      <c r="AZ81" s="1">
        <v>4073.7599999999993</v>
      </c>
      <c r="BA81" s="1">
        <v>86.94</v>
      </c>
      <c r="BB81" s="1">
        <v>1076.193</v>
      </c>
      <c r="BC81" s="1">
        <v>31.05</v>
      </c>
      <c r="BD81" s="1">
        <v>19648.440000000002</v>
      </c>
      <c r="BE81" s="1">
        <v>391.23</v>
      </c>
      <c r="BF81" s="1">
        <v>20.306699999999999</v>
      </c>
      <c r="BG81" s="1">
        <v>4.968</v>
      </c>
      <c r="BH81" s="1">
        <f t="shared" si="22"/>
        <v>967.58409785932736</v>
      </c>
      <c r="BI81" s="1">
        <f t="shared" si="23"/>
        <v>237.50054353571551</v>
      </c>
    </row>
    <row r="82" spans="1:61" x14ac:dyDescent="0.2">
      <c r="A82" t="s">
        <v>785</v>
      </c>
      <c r="B82" t="s">
        <v>38</v>
      </c>
      <c r="C82" t="s">
        <v>786</v>
      </c>
      <c r="D82" t="s">
        <v>787</v>
      </c>
      <c r="E82">
        <v>10851</v>
      </c>
      <c r="F82">
        <v>38686</v>
      </c>
      <c r="G82" t="s">
        <v>787</v>
      </c>
      <c r="H82" s="1">
        <v>821</v>
      </c>
      <c r="I82" s="1">
        <v>920</v>
      </c>
      <c r="J82" s="11">
        <v>2.6530000000000001E-2</v>
      </c>
      <c r="K82" s="11">
        <f t="shared" ca="1" si="16"/>
        <v>6.4119915782851747E-4</v>
      </c>
      <c r="L82" s="8">
        <v>4.078E-3</v>
      </c>
      <c r="M82" s="8">
        <f t="shared" ca="1" si="17"/>
        <v>8.5603934489017499E-5</v>
      </c>
      <c r="N82" s="8">
        <v>0.61877000000000004</v>
      </c>
      <c r="O82" s="9">
        <v>245.2182</v>
      </c>
      <c r="P82" s="9">
        <f t="shared" ca="1" si="18"/>
        <v>5.1475339593945373</v>
      </c>
      <c r="Q82" s="10">
        <v>4.7109999999999999E-2</v>
      </c>
      <c r="R82" s="10">
        <f t="shared" ca="1" si="19"/>
        <v>1.0960569510750798E-3</v>
      </c>
      <c r="S82" s="9">
        <f t="shared" si="20"/>
        <v>0.35426198797562125</v>
      </c>
      <c r="T82" s="12">
        <v>1.17E-3</v>
      </c>
      <c r="U82" s="12">
        <f t="shared" ca="1" si="21"/>
        <v>3.078246253956951E-5</v>
      </c>
      <c r="V82" s="6" t="e">
        <f ca="1">IF(agePb6U8(1/O82)&lt;1400,age7corr(1/O82,Q82,$W$2),agePb76(Q82))</f>
        <v>#NAME?</v>
      </c>
      <c r="W82" s="6" t="e">
        <f ca="1">IF(agePb6U8(1/O82)&lt;1400,ageer7corr(V82,1/O82,P82/O82*(1/O82),Q82,R82,$W$2,0.05),ageerPb76(Q82,R82))</f>
        <v>#NAME?</v>
      </c>
      <c r="X82" s="4" t="e">
        <f ca="1">agePb6U8(L82)/agePb7u5(J82)</f>
        <v>#NAME?</v>
      </c>
      <c r="Z82" s="1">
        <v>2.6530000000000001E-2</v>
      </c>
      <c r="AA82" s="1">
        <v>3.6000000000000002E-4</v>
      </c>
      <c r="AB82" s="1">
        <v>4.078E-3</v>
      </c>
      <c r="AC82" s="1">
        <v>2.5999999999999998E-5</v>
      </c>
      <c r="AD82" s="1">
        <v>0.61877000000000004</v>
      </c>
      <c r="AE82" s="1">
        <v>245.2182</v>
      </c>
      <c r="AF82" s="1">
        <v>1.5634319999999999</v>
      </c>
      <c r="AG82" s="1">
        <v>4.7109999999999999E-2</v>
      </c>
      <c r="AH82" s="1">
        <v>5.5999999999999995E-4</v>
      </c>
      <c r="AI82" s="1">
        <v>-0.25103999999999999</v>
      </c>
      <c r="AJ82" s="1">
        <v>1.17E-3</v>
      </c>
      <c r="AK82" s="1">
        <v>2.0000000000000002E-5</v>
      </c>
      <c r="AL82" s="1">
        <v>3.2469999999999999</v>
      </c>
      <c r="AM82" s="1">
        <v>0.03</v>
      </c>
      <c r="AN82" s="1">
        <v>26.59</v>
      </c>
      <c r="AO82" s="1">
        <v>0.36</v>
      </c>
      <c r="AP82" s="1">
        <v>26.24</v>
      </c>
      <c r="AQ82" s="1">
        <v>0.16</v>
      </c>
      <c r="AR82" s="1">
        <v>23.63</v>
      </c>
      <c r="AS82" s="1">
        <v>0.4</v>
      </c>
      <c r="AT82" s="1">
        <v>49</v>
      </c>
      <c r="AU82" s="1">
        <v>29</v>
      </c>
      <c r="AV82" s="1">
        <v>173.2</v>
      </c>
      <c r="AW82" s="1">
        <v>3.8</v>
      </c>
      <c r="AX82" s="1">
        <v>69.88</v>
      </c>
      <c r="AY82" s="1">
        <v>0.97000000000000008</v>
      </c>
      <c r="AZ82" s="1">
        <v>6837.21</v>
      </c>
      <c r="BA82" s="1">
        <v>117.99</v>
      </c>
      <c r="BB82" s="1">
        <v>1253.1780000000001</v>
      </c>
      <c r="BC82" s="1">
        <v>25.460999999999999</v>
      </c>
      <c r="BD82" s="1">
        <v>27386.1</v>
      </c>
      <c r="BE82" s="1">
        <v>428.49</v>
      </c>
      <c r="BF82" s="1">
        <v>1.5524999999999998</v>
      </c>
      <c r="BG82" s="1">
        <v>4.7816999999999998</v>
      </c>
      <c r="BH82" s="1">
        <f t="shared" si="22"/>
        <v>17640</v>
      </c>
      <c r="BI82" s="1">
        <f t="shared" si="23"/>
        <v>54331.901029137582</v>
      </c>
    </row>
    <row r="83" spans="1:61" x14ac:dyDescent="0.2">
      <c r="A83" t="s">
        <v>788</v>
      </c>
      <c r="B83" t="s">
        <v>38</v>
      </c>
      <c r="C83" t="s">
        <v>789</v>
      </c>
      <c r="D83" t="s">
        <v>790</v>
      </c>
      <c r="E83">
        <v>10822</v>
      </c>
      <c r="F83">
        <v>38895</v>
      </c>
      <c r="G83" t="s">
        <v>790</v>
      </c>
      <c r="H83" s="1">
        <v>127.9</v>
      </c>
      <c r="I83" s="1">
        <v>66.23</v>
      </c>
      <c r="J83" s="11">
        <v>3.2399999999999998E-2</v>
      </c>
      <c r="K83" s="11">
        <f t="shared" ca="1" si="16"/>
        <v>1.5426937479616622E-3</v>
      </c>
      <c r="L83" s="8">
        <v>4.1900000000000001E-3</v>
      </c>
      <c r="M83" s="8">
        <f t="shared" ca="1" si="17"/>
        <v>9.7074404453491246E-5</v>
      </c>
      <c r="N83" s="8">
        <v>0.31485000000000002</v>
      </c>
      <c r="O83" s="9">
        <v>238.6635</v>
      </c>
      <c r="P83" s="9">
        <f t="shared" ca="1" si="18"/>
        <v>5.529383631265695</v>
      </c>
      <c r="Q83" s="10">
        <v>5.5500000000000001E-2</v>
      </c>
      <c r="R83" s="10">
        <f t="shared" ca="1" si="19"/>
        <v>2.9192636057745799E-3</v>
      </c>
      <c r="S83" s="9">
        <f t="shared" si="20"/>
        <v>0.2788280521739398</v>
      </c>
      <c r="T83" s="12">
        <v>1.3240000000000001E-3</v>
      </c>
      <c r="U83" s="12">
        <f t="shared" ca="1" si="21"/>
        <v>4.4689936227298424E-5</v>
      </c>
      <c r="V83" s="6" t="e">
        <f ca="1">IF(agePb6U8(1/O83)&lt;1400,age7corr(1/O83,Q83,$W$2),agePb76(Q83))</f>
        <v>#NAME?</v>
      </c>
      <c r="W83" s="6" t="e">
        <f ca="1">IF(agePb6U8(1/O83)&lt;1400,ageer7corr(V83,1/O83,P83/O83*(1/O83),Q83,R83,$W$2,0.05),ageerPb76(Q83,R83))</f>
        <v>#NAME?</v>
      </c>
      <c r="X83" s="4" t="e">
        <f ca="1">agePb6U8(L83)/agePb7u5(J83)</f>
        <v>#NAME?</v>
      </c>
      <c r="Z83" s="1">
        <v>3.2399999999999998E-2</v>
      </c>
      <c r="AA83" s="1">
        <v>1.4E-3</v>
      </c>
      <c r="AB83" s="1">
        <v>4.1900000000000001E-3</v>
      </c>
      <c r="AC83" s="1">
        <v>4.8999999999999998E-5</v>
      </c>
      <c r="AD83" s="1">
        <v>0.31485000000000002</v>
      </c>
      <c r="AE83" s="1">
        <v>238.6635</v>
      </c>
      <c r="AF83" s="1">
        <v>2.7910529999999998</v>
      </c>
      <c r="AG83" s="1">
        <v>5.5500000000000001E-2</v>
      </c>
      <c r="AH83" s="1">
        <v>2.7000000000000001E-3</v>
      </c>
      <c r="AI83" s="1">
        <v>-0.10919</v>
      </c>
      <c r="AJ83" s="1">
        <v>1.3240000000000001E-3</v>
      </c>
      <c r="AK83" s="1">
        <v>3.6000000000000001E-5</v>
      </c>
      <c r="AL83" s="1">
        <v>6.45</v>
      </c>
      <c r="AM83" s="1">
        <v>0.18</v>
      </c>
      <c r="AN83" s="1">
        <v>32.4</v>
      </c>
      <c r="AO83" s="1">
        <v>1.4</v>
      </c>
      <c r="AP83" s="1">
        <v>26.96</v>
      </c>
      <c r="AQ83" s="1">
        <v>0.32</v>
      </c>
      <c r="AR83" s="1">
        <v>26.74</v>
      </c>
      <c r="AS83" s="1">
        <v>0.73</v>
      </c>
      <c r="AT83" s="1">
        <v>420</v>
      </c>
      <c r="AU83" s="1">
        <v>110</v>
      </c>
      <c r="AV83" s="1">
        <v>26.98</v>
      </c>
      <c r="AW83" s="1">
        <v>0.64</v>
      </c>
      <c r="AX83" s="1">
        <v>5.032</v>
      </c>
      <c r="AY83" s="1">
        <v>6.6000000000000003E-2</v>
      </c>
      <c r="AZ83" s="1">
        <v>544.61699999999996</v>
      </c>
      <c r="BA83" s="1">
        <v>21.734999999999999</v>
      </c>
      <c r="BB83" s="1">
        <v>239.70600000000002</v>
      </c>
      <c r="BC83" s="1">
        <v>13.662000000000001</v>
      </c>
      <c r="BD83" s="1">
        <v>4365.63</v>
      </c>
      <c r="BE83" s="1">
        <v>105.57000000000001</v>
      </c>
      <c r="BF83" s="1">
        <v>3.9123000000000001</v>
      </c>
      <c r="BG83" s="1">
        <v>5.1543000000000001</v>
      </c>
      <c r="BH83" s="1">
        <f t="shared" si="22"/>
        <v>1115.8730158730159</v>
      </c>
      <c r="BI83" s="1">
        <f t="shared" si="23"/>
        <v>1470.3660446569093</v>
      </c>
    </row>
    <row r="84" spans="1:61" x14ac:dyDescent="0.2">
      <c r="A84" t="s">
        <v>791</v>
      </c>
      <c r="B84" t="s">
        <v>38</v>
      </c>
      <c r="C84" t="s">
        <v>792</v>
      </c>
      <c r="D84" t="s">
        <v>793</v>
      </c>
      <c r="E84">
        <v>10750</v>
      </c>
      <c r="F84">
        <v>39240</v>
      </c>
      <c r="G84" t="s">
        <v>793</v>
      </c>
      <c r="H84" s="1">
        <v>434</v>
      </c>
      <c r="I84" s="1">
        <v>317</v>
      </c>
      <c r="J84" s="11">
        <v>2.835E-2</v>
      </c>
      <c r="K84" s="11">
        <f t="shared" ca="1" si="16"/>
        <v>8.2552347029021529E-4</v>
      </c>
      <c r="L84" s="8">
        <v>4.1159999999999999E-3</v>
      </c>
      <c r="M84" s="8">
        <f t="shared" ca="1" si="17"/>
        <v>8.7278762594344782E-5</v>
      </c>
      <c r="N84" s="8">
        <v>0.32388</v>
      </c>
      <c r="O84" s="9">
        <v>242.95429999999999</v>
      </c>
      <c r="P84" s="9">
        <f t="shared" ca="1" si="18"/>
        <v>5.1517858314496143</v>
      </c>
      <c r="Q84" s="10">
        <v>0.05</v>
      </c>
      <c r="R84" s="10">
        <f t="shared" ca="1" si="19"/>
        <v>1.4142135623730952E-3</v>
      </c>
      <c r="S84" s="9">
        <f t="shared" si="20"/>
        <v>0.43706197836723515</v>
      </c>
      <c r="T84" s="12">
        <v>1.206E-3</v>
      </c>
      <c r="U84" s="12">
        <f t="shared" ca="1" si="21"/>
        <v>2.8403774397076177E-5</v>
      </c>
      <c r="V84" s="6" t="e">
        <f ca="1">IF(agePb6U8(1/O84)&lt;1400,age7corr(1/O84,Q84,$W$2),agePb76(Q84))</f>
        <v>#NAME?</v>
      </c>
      <c r="W84" s="6" t="e">
        <f ca="1">IF(agePb6U8(1/O84)&lt;1400,ageer7corr(V84,1/O84,P84/O84*(1/O84),Q84,R84,$W$2,0.05),ageerPb76(Q84,R84))</f>
        <v>#NAME?</v>
      </c>
      <c r="X84" s="4" t="e">
        <f ca="1">agePb6U8(L84)/agePb7u5(J84)</f>
        <v>#NAME?</v>
      </c>
      <c r="Z84" s="1">
        <v>2.835E-2</v>
      </c>
      <c r="AA84" s="1">
        <v>5.9999999999999995E-4</v>
      </c>
      <c r="AB84" s="1">
        <v>4.1159999999999999E-3</v>
      </c>
      <c r="AC84" s="1">
        <v>2.9E-5</v>
      </c>
      <c r="AD84" s="1">
        <v>0.32388</v>
      </c>
      <c r="AE84" s="1">
        <v>242.95429999999999</v>
      </c>
      <c r="AF84" s="1">
        <v>1.7117770000000001</v>
      </c>
      <c r="AG84" s="1">
        <v>0.05</v>
      </c>
      <c r="AH84" s="1">
        <v>1E-3</v>
      </c>
      <c r="AI84" s="1">
        <v>-1.125E-2</v>
      </c>
      <c r="AJ84" s="1">
        <v>1.206E-3</v>
      </c>
      <c r="AK84" s="1">
        <v>1.5E-5</v>
      </c>
      <c r="AL84" s="1">
        <v>4.8780000000000001</v>
      </c>
      <c r="AM84" s="1">
        <v>9.4E-2</v>
      </c>
      <c r="AN84" s="1">
        <v>28.38</v>
      </c>
      <c r="AO84" s="1">
        <v>0.59</v>
      </c>
      <c r="AP84" s="1">
        <v>26.48</v>
      </c>
      <c r="AQ84" s="1">
        <v>0.19</v>
      </c>
      <c r="AR84" s="1">
        <v>24.36</v>
      </c>
      <c r="AS84" s="1">
        <v>0.31</v>
      </c>
      <c r="AT84" s="1">
        <v>194</v>
      </c>
      <c r="AU84" s="1">
        <v>48</v>
      </c>
      <c r="AV84" s="1">
        <v>91.5</v>
      </c>
      <c r="AW84" s="1">
        <v>5</v>
      </c>
      <c r="AX84" s="1">
        <v>24.1</v>
      </c>
      <c r="AY84" s="1">
        <v>1.2</v>
      </c>
      <c r="AZ84" s="1">
        <v>2415.6899999999996</v>
      </c>
      <c r="BA84" s="1">
        <v>155.25</v>
      </c>
      <c r="BB84" s="1">
        <v>703.59299999999996</v>
      </c>
      <c r="BC84" s="1">
        <v>43.47</v>
      </c>
      <c r="BD84" s="1">
        <v>14531.4</v>
      </c>
      <c r="BE84" s="1">
        <v>745.2</v>
      </c>
      <c r="BF84" s="1">
        <v>18.63</v>
      </c>
      <c r="BG84" s="1">
        <v>7.4519999999999991</v>
      </c>
      <c r="BH84" s="1">
        <f t="shared" si="22"/>
        <v>780</v>
      </c>
      <c r="BI84" s="1">
        <f t="shared" si="23"/>
        <v>314.55365202139996</v>
      </c>
    </row>
    <row r="85" spans="1:61" x14ac:dyDescent="0.2">
      <c r="A85" t="s">
        <v>794</v>
      </c>
      <c r="B85" t="s">
        <v>38</v>
      </c>
      <c r="C85" t="s">
        <v>795</v>
      </c>
      <c r="D85" t="s">
        <v>796</v>
      </c>
      <c r="E85">
        <v>10777</v>
      </c>
      <c r="F85">
        <v>39780</v>
      </c>
      <c r="G85" t="s">
        <v>796</v>
      </c>
      <c r="H85" s="1">
        <v>249.4</v>
      </c>
      <c r="I85" s="1">
        <v>202.1</v>
      </c>
      <c r="J85" s="11">
        <v>2.75E-2</v>
      </c>
      <c r="K85" s="11">
        <f t="shared" ca="1" si="16"/>
        <v>8.7458561616344914E-4</v>
      </c>
      <c r="L85" s="8">
        <v>4.1729999999999996E-3</v>
      </c>
      <c r="M85" s="8">
        <f t="shared" ca="1" si="17"/>
        <v>8.8031651126171655E-5</v>
      </c>
      <c r="N85" s="8">
        <v>0.22223999999999999</v>
      </c>
      <c r="O85" s="9">
        <v>239.63579999999999</v>
      </c>
      <c r="P85" s="9">
        <f t="shared" ca="1" si="18"/>
        <v>5.0552442861962659</v>
      </c>
      <c r="Q85" s="10">
        <v>4.8099999999999997E-2</v>
      </c>
      <c r="R85" s="10">
        <f t="shared" ca="1" si="19"/>
        <v>1.5379999999999999E-3</v>
      </c>
      <c r="S85" s="9">
        <f t="shared" si="20"/>
        <v>0.36106382823824157</v>
      </c>
      <c r="T85" s="12">
        <v>1.268E-3</v>
      </c>
      <c r="U85" s="12">
        <f t="shared" ca="1" si="21"/>
        <v>3.2297516932420676E-5</v>
      </c>
      <c r="V85" s="6" t="e">
        <f ca="1">IF(agePb6U8(1/O85)&lt;1400,age7corr(1/O85,Q85,$W$2),agePb76(Q85))</f>
        <v>#NAME?</v>
      </c>
      <c r="W85" s="6" t="e">
        <f ca="1">IF(agePb6U8(1/O85)&lt;1400,ageer7corr(V85,1/O85,P85/O85*(1/O85),Q85,R85,$W$2,0.05),ageerPb76(Q85,R85))</f>
        <v>#NAME?</v>
      </c>
      <c r="X85" s="4" t="e">
        <f ca="1">agePb6U8(L85)/agePb7u5(J85)</f>
        <v>#NAME?</v>
      </c>
      <c r="Z85" s="1">
        <v>2.75E-2</v>
      </c>
      <c r="AA85" s="1">
        <v>6.8000000000000005E-4</v>
      </c>
      <c r="AB85" s="1">
        <v>4.1729999999999996E-3</v>
      </c>
      <c r="AC85" s="1">
        <v>2.8E-5</v>
      </c>
      <c r="AD85" s="1">
        <v>0.22223999999999999</v>
      </c>
      <c r="AE85" s="1">
        <v>239.63579999999999</v>
      </c>
      <c r="AF85" s="1">
        <v>1.6079079999999999</v>
      </c>
      <c r="AG85" s="1">
        <v>4.8099999999999997E-2</v>
      </c>
      <c r="AH85" s="1">
        <v>1.1999999999999999E-3</v>
      </c>
      <c r="AI85" s="1">
        <v>0.13199</v>
      </c>
      <c r="AJ85" s="1">
        <v>1.268E-3</v>
      </c>
      <c r="AK85" s="1">
        <v>2.0000000000000002E-5</v>
      </c>
      <c r="AL85" s="1">
        <v>4.2679999999999998</v>
      </c>
      <c r="AM85" s="1">
        <v>7.8E-2</v>
      </c>
      <c r="AN85" s="1">
        <v>27.54</v>
      </c>
      <c r="AO85" s="1">
        <v>0.67</v>
      </c>
      <c r="AP85" s="1">
        <v>26.84</v>
      </c>
      <c r="AQ85" s="1">
        <v>0.18</v>
      </c>
      <c r="AR85" s="1">
        <v>25.6</v>
      </c>
      <c r="AS85" s="1">
        <v>0.39</v>
      </c>
      <c r="AT85" s="1">
        <v>104</v>
      </c>
      <c r="AU85" s="1">
        <v>54</v>
      </c>
      <c r="AV85" s="1">
        <v>52.6</v>
      </c>
      <c r="AW85" s="1">
        <v>1.4</v>
      </c>
      <c r="AX85" s="1">
        <v>15.350000000000001</v>
      </c>
      <c r="AY85" s="1">
        <v>0.24000000000000002</v>
      </c>
      <c r="AZ85" s="1">
        <v>1618.326</v>
      </c>
      <c r="BA85" s="1">
        <v>42.227999999999994</v>
      </c>
      <c r="BB85" s="1">
        <v>397.43999999999994</v>
      </c>
      <c r="BC85" s="1">
        <v>11.177999999999999</v>
      </c>
      <c r="BD85" s="1">
        <v>8451.81</v>
      </c>
      <c r="BE85" s="1">
        <v>173.88</v>
      </c>
      <c r="BF85" s="1">
        <v>-4.2228000000000003</v>
      </c>
      <c r="BG85" s="1">
        <v>5.3406000000000002</v>
      </c>
      <c r="BH85" s="1">
        <f t="shared" si="22"/>
        <v>-2001.4705882352939</v>
      </c>
      <c r="BI85" s="1">
        <f t="shared" si="23"/>
        <v>-2531.6065152051742</v>
      </c>
    </row>
    <row r="86" spans="1:61" x14ac:dyDescent="0.2">
      <c r="A86" t="s">
        <v>797</v>
      </c>
      <c r="B86" t="s">
        <v>38</v>
      </c>
      <c r="C86" t="s">
        <v>798</v>
      </c>
      <c r="D86" t="s">
        <v>799</v>
      </c>
      <c r="E86">
        <v>10780</v>
      </c>
      <c r="F86">
        <v>39941</v>
      </c>
      <c r="G86" t="s">
        <v>799</v>
      </c>
      <c r="H86" s="1">
        <v>530</v>
      </c>
      <c r="I86" s="1">
        <v>519</v>
      </c>
      <c r="J86" s="11">
        <v>3.2000000000000001E-2</v>
      </c>
      <c r="K86" s="11">
        <f t="shared" ca="1" si="16"/>
        <v>1.1872657663724664E-3</v>
      </c>
      <c r="L86" s="8">
        <v>4.3020000000000003E-3</v>
      </c>
      <c r="M86" s="8">
        <f t="shared" ca="1" si="17"/>
        <v>1.0376358513467044E-4</v>
      </c>
      <c r="N86" s="8">
        <v>0.31945000000000001</v>
      </c>
      <c r="O86" s="9">
        <v>232.45</v>
      </c>
      <c r="P86" s="9">
        <f t="shared" ca="1" si="18"/>
        <v>5.606658918395607</v>
      </c>
      <c r="Q86" s="10">
        <v>5.33E-2</v>
      </c>
      <c r="R86" s="10">
        <f t="shared" ca="1" si="19"/>
        <v>2.2663530175151443E-3</v>
      </c>
      <c r="S86" s="9">
        <f t="shared" si="20"/>
        <v>0.28391129998715492</v>
      </c>
      <c r="T86" s="12">
        <v>1.1329999999999999E-3</v>
      </c>
      <c r="U86" s="12">
        <f t="shared" ca="1" si="21"/>
        <v>3.6803200947743661E-5</v>
      </c>
      <c r="V86" s="6" t="e">
        <f ca="1">IF(agePb6U8(1/O86)&lt;1400,age7corr(1/O86,Q86,$W$2),agePb76(Q86))</f>
        <v>#NAME?</v>
      </c>
      <c r="W86" s="6" t="e">
        <f ca="1">IF(agePb6U8(1/O86)&lt;1400,ageer7corr(V86,1/O86,P86/O86*(1/O86),Q86,R86,$W$2,0.05),ageerPb76(Q86,R86))</f>
        <v>#NAME?</v>
      </c>
      <c r="X86" s="4" t="e">
        <f ca="1">agePb6U8(L86)/agePb7u5(J86)</f>
        <v>#NAME?</v>
      </c>
      <c r="Z86" s="1">
        <v>3.2000000000000001E-2</v>
      </c>
      <c r="AA86" s="1">
        <v>1E-3</v>
      </c>
      <c r="AB86" s="1">
        <v>4.3020000000000003E-3</v>
      </c>
      <c r="AC86" s="1">
        <v>5.8E-5</v>
      </c>
      <c r="AD86" s="1">
        <v>0.31945000000000001</v>
      </c>
      <c r="AE86" s="1">
        <v>232.45</v>
      </c>
      <c r="AF86" s="1">
        <v>3.133915</v>
      </c>
      <c r="AG86" s="1">
        <v>5.33E-2</v>
      </c>
      <c r="AH86" s="1">
        <v>2E-3</v>
      </c>
      <c r="AI86" s="1">
        <v>1.0839E-2</v>
      </c>
      <c r="AJ86" s="1">
        <v>1.1329999999999999E-3</v>
      </c>
      <c r="AK86" s="1">
        <v>2.9E-5</v>
      </c>
      <c r="AL86" s="1">
        <v>4.3049999999999997</v>
      </c>
      <c r="AM86" s="1">
        <v>3.6999999999999998E-2</v>
      </c>
      <c r="AN86" s="1">
        <v>32</v>
      </c>
      <c r="AO86" s="1">
        <v>1</v>
      </c>
      <c r="AP86" s="1">
        <v>27.68</v>
      </c>
      <c r="AQ86" s="1">
        <v>0.37</v>
      </c>
      <c r="AR86" s="1">
        <v>22.89</v>
      </c>
      <c r="AS86" s="1">
        <v>0.59</v>
      </c>
      <c r="AT86" s="1">
        <v>332</v>
      </c>
      <c r="AU86" s="1">
        <v>88</v>
      </c>
      <c r="AV86" s="1">
        <v>111.69999999999999</v>
      </c>
      <c r="AW86" s="1">
        <v>2.5</v>
      </c>
      <c r="AX86" s="1">
        <v>39.440000000000005</v>
      </c>
      <c r="AY86" s="1">
        <v>0.9</v>
      </c>
      <c r="AZ86" s="1">
        <v>3558.33</v>
      </c>
      <c r="BA86" s="1">
        <v>99.359999999999985</v>
      </c>
      <c r="BB86" s="1">
        <v>984.28499999999997</v>
      </c>
      <c r="BC86" s="1">
        <v>49.679999999999993</v>
      </c>
      <c r="BD86" s="1">
        <v>18723.149999999998</v>
      </c>
      <c r="BE86" s="1">
        <v>416.07</v>
      </c>
      <c r="BF86" s="1">
        <v>24.839999999999996</v>
      </c>
      <c r="BG86" s="1">
        <v>10.556999999999999</v>
      </c>
      <c r="BH86" s="1">
        <f t="shared" si="22"/>
        <v>753.75</v>
      </c>
      <c r="BI86" s="1">
        <f t="shared" si="23"/>
        <v>320.78135959569482</v>
      </c>
    </row>
    <row r="87" spans="1:61" x14ac:dyDescent="0.2">
      <c r="A87" t="s">
        <v>800</v>
      </c>
      <c r="B87" t="s">
        <v>38</v>
      </c>
      <c r="C87" t="s">
        <v>801</v>
      </c>
      <c r="D87" t="s">
        <v>802</v>
      </c>
      <c r="E87">
        <v>10788</v>
      </c>
      <c r="F87">
        <v>40547</v>
      </c>
      <c r="G87" t="s">
        <v>802</v>
      </c>
      <c r="H87" s="1">
        <v>468.2</v>
      </c>
      <c r="I87" s="1">
        <v>383.7</v>
      </c>
      <c r="J87" s="11">
        <v>2.6200000000000001E-2</v>
      </c>
      <c r="K87" s="11">
        <f t="shared" ca="1" si="16"/>
        <v>8.2714932146499395E-4</v>
      </c>
      <c r="L87" s="8">
        <v>4.091E-3</v>
      </c>
      <c r="M87" s="8">
        <f t="shared" ca="1" si="17"/>
        <v>8.5851688393414837E-5</v>
      </c>
      <c r="N87" s="8">
        <v>0.20956</v>
      </c>
      <c r="O87" s="9">
        <v>244.43899999999999</v>
      </c>
      <c r="P87" s="9">
        <f t="shared" ca="1" si="18"/>
        <v>5.1296750691950272</v>
      </c>
      <c r="Q87" s="10">
        <v>4.6699999999999998E-2</v>
      </c>
      <c r="R87" s="10">
        <f t="shared" ca="1" si="19"/>
        <v>1.5206432849291119E-3</v>
      </c>
      <c r="S87" s="9">
        <f t="shared" si="20"/>
        <v>0.27802844251586439</v>
      </c>
      <c r="T87" s="12">
        <v>1.2310000000000001E-3</v>
      </c>
      <c r="U87" s="12">
        <f t="shared" ca="1" si="21"/>
        <v>3.1098945319737134E-5</v>
      </c>
      <c r="V87" s="6" t="e">
        <f ca="1">IF(agePb6U8(1/O87)&lt;1400,age7corr(1/O87,Q87,$W$2),agePb76(Q87))</f>
        <v>#NAME?</v>
      </c>
      <c r="W87" s="6" t="e">
        <f ca="1">IF(agePb6U8(1/O87)&lt;1400,ageer7corr(V87,1/O87,P87/O87*(1/O87),Q87,R87,$W$2,0.05),ageerPb76(Q87,R87))</f>
        <v>#NAME?</v>
      </c>
      <c r="X87" s="4" t="e">
        <f ca="1">agePb6U8(L87)/agePb7u5(J87)</f>
        <v>#NAME?</v>
      </c>
      <c r="Z87" s="1">
        <v>2.6200000000000001E-2</v>
      </c>
      <c r="AA87" s="1">
        <v>6.4000000000000005E-4</v>
      </c>
      <c r="AB87" s="1">
        <v>4.091E-3</v>
      </c>
      <c r="AC87" s="1">
        <v>2.5999999999999998E-5</v>
      </c>
      <c r="AD87" s="1">
        <v>0.20956</v>
      </c>
      <c r="AE87" s="1">
        <v>244.43899999999999</v>
      </c>
      <c r="AF87" s="1">
        <v>1.5535110000000001</v>
      </c>
      <c r="AG87" s="1">
        <v>4.6699999999999998E-2</v>
      </c>
      <c r="AH87" s="1">
        <v>1.1999999999999999E-3</v>
      </c>
      <c r="AI87" s="1">
        <v>1.1605000000000001E-2</v>
      </c>
      <c r="AJ87" s="1">
        <v>1.2310000000000001E-3</v>
      </c>
      <c r="AK87" s="1">
        <v>1.9000000000000001E-5</v>
      </c>
      <c r="AL87" s="1">
        <v>4.2690000000000001</v>
      </c>
      <c r="AM87" s="1">
        <v>5.3999999999999999E-2</v>
      </c>
      <c r="AN87" s="1">
        <v>26.25</v>
      </c>
      <c r="AO87" s="1">
        <v>0.64</v>
      </c>
      <c r="AP87" s="1">
        <v>26.32</v>
      </c>
      <c r="AQ87" s="1">
        <v>0.17</v>
      </c>
      <c r="AR87" s="1">
        <v>24.87</v>
      </c>
      <c r="AS87" s="1">
        <v>0.38</v>
      </c>
      <c r="AT87" s="1">
        <v>39</v>
      </c>
      <c r="AU87" s="1">
        <v>55</v>
      </c>
      <c r="AV87" s="1">
        <v>98.7</v>
      </c>
      <c r="AW87" s="1">
        <v>1.8</v>
      </c>
      <c r="AX87" s="1">
        <v>29.15</v>
      </c>
      <c r="AY87" s="1">
        <v>0.59000000000000008</v>
      </c>
      <c r="AZ87" s="1">
        <v>2980.8</v>
      </c>
      <c r="BA87" s="1">
        <v>68.31</v>
      </c>
      <c r="BB87" s="1">
        <v>712.28700000000003</v>
      </c>
      <c r="BC87" s="1">
        <v>22.977</v>
      </c>
      <c r="BD87" s="1">
        <v>15723.72</v>
      </c>
      <c r="BE87" s="1">
        <v>242.19</v>
      </c>
      <c r="BF87" s="1">
        <v>1.0557000000000001</v>
      </c>
      <c r="BG87" s="1">
        <v>4.7196000000000007</v>
      </c>
      <c r="BH87" s="1">
        <f t="shared" si="22"/>
        <v>14894.117647058822</v>
      </c>
      <c r="BI87" s="1">
        <f t="shared" si="23"/>
        <v>66585.86233139463</v>
      </c>
    </row>
    <row r="88" spans="1:61" x14ac:dyDescent="0.2">
      <c r="A88" t="s">
        <v>803</v>
      </c>
      <c r="B88" t="s">
        <v>38</v>
      </c>
      <c r="C88" t="s">
        <v>804</v>
      </c>
      <c r="D88" t="s">
        <v>805</v>
      </c>
      <c r="E88">
        <v>10874</v>
      </c>
      <c r="F88">
        <v>40672</v>
      </c>
      <c r="G88" t="s">
        <v>805</v>
      </c>
      <c r="H88" s="1">
        <v>1198</v>
      </c>
      <c r="I88" s="1">
        <v>889</v>
      </c>
      <c r="J88" s="11">
        <v>2.6839999999999999E-2</v>
      </c>
      <c r="K88" s="11">
        <f t="shared" ref="K88:K111" ca="1" si="24">SQRT(K$2^2+(AA88/Z88)^2)*J88</f>
        <v>7.3358996721601907E-4</v>
      </c>
      <c r="L88" s="8">
        <v>4.1510000000000002E-3</v>
      </c>
      <c r="M88" s="8">
        <f t="shared" ref="M88:M111" ca="1" si="25">SQRT(M$2^2+(AC88/AB88)^2)*L88</f>
        <v>8.793929951961183E-5</v>
      </c>
      <c r="N88" s="8">
        <v>0.53190999999999999</v>
      </c>
      <c r="O88" s="9">
        <v>240.9058</v>
      </c>
      <c r="P88" s="9">
        <f t="shared" ref="P88:P111" ca="1" si="26">SQRT(P$2^2+(AF88/AE88)^2)*O88</f>
        <v>5.1036106697655725</v>
      </c>
      <c r="Q88" s="10">
        <v>4.6710000000000002E-2</v>
      </c>
      <c r="R88" s="10">
        <f t="shared" ref="R88:R111" ca="1" si="27">SQRT(R$2^2+(AH88/AG88)^2)*Q88</f>
        <v>1.1980107011208205E-3</v>
      </c>
      <c r="S88" s="9">
        <f t="shared" ref="S88:S111" si="28">(((BE88/BD88)^2+(AW88/AV88)^2)+((BE88/BD88)^2+(BC88/BB88)^2)-((BC88/BB88)^2+(AW88/AV88)^2))/(2*SQRT((BE88/BD88)^2+(AW88/AV88)^2)*SQRT((BE88/BD88)^2+(BC88/BB88)^2))</f>
        <v>0.43269847606065759</v>
      </c>
      <c r="T88" s="12">
        <v>1.2359999999999999E-3</v>
      </c>
      <c r="U88" s="12">
        <f t="shared" ref="U88:U111" ca="1" si="29">SQRT(U$2^2+(AK88/AJ88)^2)*T88</f>
        <v>2.9446195000373137E-5</v>
      </c>
      <c r="V88" s="6" t="e">
        <f ca="1">IF(agePb6U8(1/O88)&lt;1400,age7corr(1/O88,Q88,$W$2),agePb76(Q88))</f>
        <v>#NAME?</v>
      </c>
      <c r="W88" s="6" t="e">
        <f ca="1">IF(agePb6U8(1/O88)&lt;1400,ageer7corr(V88,1/O88,P88/O88*(1/O88),Q88,R88,$W$2,0.05),ageerPb76(Q88,R88))</f>
        <v>#NAME?</v>
      </c>
      <c r="X88" s="4" t="e">
        <f ca="1">agePb6U8(L88)/agePb7u5(J88)</f>
        <v>#NAME?</v>
      </c>
      <c r="Z88" s="1">
        <v>2.6839999999999999E-2</v>
      </c>
      <c r="AA88" s="1">
        <v>5.0000000000000001E-4</v>
      </c>
      <c r="AB88" s="1">
        <v>4.1510000000000002E-3</v>
      </c>
      <c r="AC88" s="1">
        <v>2.9E-5</v>
      </c>
      <c r="AD88" s="1">
        <v>0.53190999999999999</v>
      </c>
      <c r="AE88" s="1">
        <v>240.9058</v>
      </c>
      <c r="AF88" s="1">
        <v>1.683033</v>
      </c>
      <c r="AG88" s="1">
        <v>4.6710000000000002E-2</v>
      </c>
      <c r="AH88" s="1">
        <v>7.5000000000000002E-4</v>
      </c>
      <c r="AI88" s="1">
        <v>-0.21037</v>
      </c>
      <c r="AJ88" s="1">
        <v>1.2359999999999999E-3</v>
      </c>
      <c r="AK88" s="1">
        <v>1.5999999999999999E-5</v>
      </c>
      <c r="AL88" s="1">
        <v>4.7850000000000001</v>
      </c>
      <c r="AM88" s="1">
        <v>4.3999999999999997E-2</v>
      </c>
      <c r="AN88" s="1">
        <v>26.89</v>
      </c>
      <c r="AO88" s="1">
        <v>0.5</v>
      </c>
      <c r="AP88" s="1">
        <v>26.71</v>
      </c>
      <c r="AQ88" s="1">
        <v>0.19</v>
      </c>
      <c r="AR88" s="1">
        <v>24.98</v>
      </c>
      <c r="AS88" s="1">
        <v>0.33</v>
      </c>
      <c r="AT88" s="1">
        <v>39</v>
      </c>
      <c r="AU88" s="1">
        <v>35</v>
      </c>
      <c r="AV88" s="1">
        <v>252</v>
      </c>
      <c r="AW88" s="1">
        <v>11</v>
      </c>
      <c r="AX88" s="1">
        <v>67.5</v>
      </c>
      <c r="AY88" s="1">
        <v>2.2000000000000002</v>
      </c>
      <c r="AZ88" s="1">
        <v>6855.84</v>
      </c>
      <c r="BA88" s="1">
        <v>316.71000000000004</v>
      </c>
      <c r="BB88" s="1">
        <v>1850.58</v>
      </c>
      <c r="BC88" s="1">
        <v>74.52</v>
      </c>
      <c r="BD88" s="1">
        <v>40675.5</v>
      </c>
      <c r="BE88" s="1">
        <v>1490.4</v>
      </c>
      <c r="BF88" s="1">
        <v>7.7004000000000001</v>
      </c>
      <c r="BG88" s="1">
        <v>5.7131999999999996</v>
      </c>
      <c r="BH88" s="1">
        <f t="shared" ref="BH88:BH111" si="30">BD88/BF88</f>
        <v>5282.2580645161288</v>
      </c>
      <c r="BI88" s="1">
        <f t="shared" ref="BI88:BI111" si="31">SQRT((BG88/BF88)^2+(BE88/BD88)^2)*BH88</f>
        <v>3923.8710721771608</v>
      </c>
    </row>
    <row r="89" spans="1:61" x14ac:dyDescent="0.2">
      <c r="A89" t="s">
        <v>806</v>
      </c>
      <c r="B89" t="s">
        <v>38</v>
      </c>
      <c r="C89" t="s">
        <v>807</v>
      </c>
      <c r="D89" t="s">
        <v>808</v>
      </c>
      <c r="E89">
        <v>10757</v>
      </c>
      <c r="F89">
        <v>41096</v>
      </c>
      <c r="G89" t="s">
        <v>808</v>
      </c>
      <c r="H89" s="1">
        <v>695</v>
      </c>
      <c r="I89" s="1">
        <v>608.1</v>
      </c>
      <c r="J89" s="11">
        <v>3.5799999999999998E-2</v>
      </c>
      <c r="K89" s="11">
        <f t="shared" ca="1" si="24"/>
        <v>1.572468123683275E-3</v>
      </c>
      <c r="L89" s="8">
        <v>4.169E-3</v>
      </c>
      <c r="M89" s="8">
        <f t="shared" ca="1" si="25"/>
        <v>9.2050118957011682E-5</v>
      </c>
      <c r="N89" s="8">
        <v>0.64227999999999996</v>
      </c>
      <c r="O89" s="9">
        <v>239.8657</v>
      </c>
      <c r="P89" s="9">
        <f t="shared" ca="1" si="26"/>
        <v>5.2961538870761684</v>
      </c>
      <c r="Q89" s="10">
        <v>6.2799999999999995E-2</v>
      </c>
      <c r="R89" s="10">
        <f t="shared" ca="1" si="27"/>
        <v>2.7087886591611386E-3</v>
      </c>
      <c r="S89" s="9">
        <f t="shared" si="28"/>
        <v>0.23662599069635776</v>
      </c>
      <c r="T89" s="12">
        <v>1.5399999999999999E-3</v>
      </c>
      <c r="U89" s="12">
        <f t="shared" ca="1" si="29"/>
        <v>3.727787547594417E-5</v>
      </c>
      <c r="V89" s="6" t="e">
        <f ca="1">IF(agePb6U8(1/O89)&lt;1400,age7corr(1/O89,Q89,$W$2),agePb76(Q89))</f>
        <v>#NAME?</v>
      </c>
      <c r="W89" s="6" t="e">
        <f ca="1">IF(agePb6U8(1/O89)&lt;1400,ageer7corr(V89,1/O89,P89/O89*(1/O89),Q89,R89,$W$2,0.05),ageerPb76(Q89,R89))</f>
        <v>#NAME?</v>
      </c>
      <c r="X89" s="4" t="e">
        <f ca="1">agePb6U8(L89)/agePb7u5(J89)</f>
        <v>#NAME?</v>
      </c>
      <c r="Z89" s="1">
        <v>3.5799999999999998E-2</v>
      </c>
      <c r="AA89" s="1">
        <v>1.4E-3</v>
      </c>
      <c r="AB89" s="1">
        <v>4.169E-3</v>
      </c>
      <c r="AC89" s="1">
        <v>3.8999999999999999E-5</v>
      </c>
      <c r="AD89" s="1">
        <v>0.64227999999999996</v>
      </c>
      <c r="AE89" s="1">
        <v>239.8657</v>
      </c>
      <c r="AF89" s="1">
        <v>2.2438859999999998</v>
      </c>
      <c r="AG89" s="1">
        <v>6.2799999999999995E-2</v>
      </c>
      <c r="AH89" s="1">
        <v>2.3999999999999998E-3</v>
      </c>
      <c r="AI89" s="1">
        <v>-0.45701000000000003</v>
      </c>
      <c r="AJ89" s="1">
        <v>1.5399999999999999E-3</v>
      </c>
      <c r="AK89" s="1">
        <v>2.0999999999999999E-5</v>
      </c>
      <c r="AL89" s="1">
        <v>3.21</v>
      </c>
      <c r="AM89" s="1">
        <v>4.5999999999999999E-2</v>
      </c>
      <c r="AN89" s="1">
        <v>35.700000000000003</v>
      </c>
      <c r="AO89" s="1">
        <v>1.3</v>
      </c>
      <c r="AP89" s="1">
        <v>26.82</v>
      </c>
      <c r="AQ89" s="1">
        <v>0.25</v>
      </c>
      <c r="AR89" s="1">
        <v>31.11</v>
      </c>
      <c r="AS89" s="1">
        <v>0.42</v>
      </c>
      <c r="AT89" s="1">
        <v>688</v>
      </c>
      <c r="AU89" s="1">
        <v>79</v>
      </c>
      <c r="AV89" s="1">
        <v>146.5</v>
      </c>
      <c r="AW89" s="1">
        <v>2.5</v>
      </c>
      <c r="AX89" s="1">
        <v>46.18</v>
      </c>
      <c r="AY89" s="1">
        <v>0.65</v>
      </c>
      <c r="AZ89" s="1">
        <v>5942.9699999999993</v>
      </c>
      <c r="BA89" s="1">
        <v>149.04</v>
      </c>
      <c r="BB89" s="1">
        <v>1422.09</v>
      </c>
      <c r="BC89" s="1">
        <v>68.31</v>
      </c>
      <c r="BD89" s="1">
        <v>23660.1</v>
      </c>
      <c r="BE89" s="1">
        <v>403.65</v>
      </c>
      <c r="BF89" s="1">
        <v>32.043599999999998</v>
      </c>
      <c r="BG89" s="1">
        <v>5.9615999999999998</v>
      </c>
      <c r="BH89" s="1">
        <f t="shared" si="30"/>
        <v>738.37209302325584</v>
      </c>
      <c r="BI89" s="1">
        <f t="shared" si="31"/>
        <v>137.94790763644204</v>
      </c>
    </row>
    <row r="90" spans="1:61" x14ac:dyDescent="0.2">
      <c r="A90" t="s">
        <v>584</v>
      </c>
      <c r="B90" t="s">
        <v>38</v>
      </c>
      <c r="C90" t="s">
        <v>585</v>
      </c>
      <c r="D90" t="s">
        <v>586</v>
      </c>
      <c r="E90">
        <v>10211</v>
      </c>
      <c r="F90">
        <v>53363</v>
      </c>
      <c r="G90" t="s">
        <v>586</v>
      </c>
      <c r="H90" s="1">
        <v>213.9</v>
      </c>
      <c r="I90" s="1">
        <v>128.1</v>
      </c>
      <c r="J90" s="11">
        <v>3.2599999999999997E-2</v>
      </c>
      <c r="K90" s="11">
        <f t="shared" ca="1" si="24"/>
        <v>2.583622263412359E-3</v>
      </c>
      <c r="L90" s="8">
        <v>4.2420000000000001E-3</v>
      </c>
      <c r="M90" s="8">
        <f t="shared" ca="1" si="25"/>
        <v>1.1257808667764788E-4</v>
      </c>
      <c r="N90" s="8">
        <v>0.74546999999999997</v>
      </c>
      <c r="O90" s="9">
        <v>235.7379</v>
      </c>
      <c r="P90" s="9">
        <f t="shared" ca="1" si="26"/>
        <v>6.2562281124630514</v>
      </c>
      <c r="Q90" s="10">
        <v>5.7299999999999997E-2</v>
      </c>
      <c r="R90" s="10">
        <f t="shared" ca="1" si="27"/>
        <v>4.4500916844487605E-3</v>
      </c>
      <c r="S90" s="9">
        <f t="shared" si="28"/>
        <v>0.16426300441344313</v>
      </c>
      <c r="T90" s="12">
        <v>1.3420000000000001E-3</v>
      </c>
      <c r="U90" s="12">
        <f t="shared" ca="1" si="29"/>
        <v>7.7777796317458111E-5</v>
      </c>
      <c r="V90" s="6" t="e">
        <f ca="1">IF(agePb6U8(1/O90)&lt;1400,age7corr(1/O90,Q90,$W$2),agePb76(Q90))</f>
        <v>#NAME?</v>
      </c>
      <c r="W90" s="6" t="e">
        <f ca="1">IF(agePb6U8(1/O90)&lt;1400,ageer7corr(V90,1/O90,P90/O90*(1/O90),Q90,R90,$W$2,0.05),ageerPb76(Q90,R90))</f>
        <v>#NAME?</v>
      </c>
      <c r="X90" s="4" t="e">
        <f ca="1">agePb6U8(L90)/agePb7u5(J90)</f>
        <v>#NAME?</v>
      </c>
      <c r="Z90" s="1">
        <v>3.2599999999999997E-2</v>
      </c>
      <c r="AA90" s="1">
        <v>2.5000000000000001E-3</v>
      </c>
      <c r="AB90" s="1">
        <v>4.2420000000000001E-3</v>
      </c>
      <c r="AC90" s="1">
        <v>7.3999999999999996E-5</v>
      </c>
      <c r="AD90" s="1">
        <v>0.74546999999999997</v>
      </c>
      <c r="AE90" s="1">
        <v>235.7379</v>
      </c>
      <c r="AF90" s="1">
        <v>4.1123529999999997</v>
      </c>
      <c r="AG90" s="1">
        <v>5.7299999999999997E-2</v>
      </c>
      <c r="AH90" s="1">
        <v>4.3E-3</v>
      </c>
      <c r="AI90" s="1">
        <v>-0.60829999999999995</v>
      </c>
      <c r="AJ90" s="1">
        <v>1.3420000000000001E-3</v>
      </c>
      <c r="AK90" s="1">
        <v>7.2999999999999999E-5</v>
      </c>
      <c r="AL90" s="1">
        <v>5.52</v>
      </c>
      <c r="AM90" s="1">
        <v>0.3</v>
      </c>
      <c r="AN90" s="1">
        <v>32.6</v>
      </c>
      <c r="AO90" s="1">
        <v>2.5</v>
      </c>
      <c r="AP90" s="1">
        <v>27.29</v>
      </c>
      <c r="AQ90" s="1">
        <v>0.47</v>
      </c>
      <c r="AR90" s="1">
        <v>27.1</v>
      </c>
      <c r="AS90" s="1">
        <v>1.5</v>
      </c>
      <c r="AT90" s="1">
        <v>470</v>
      </c>
      <c r="AU90" s="1">
        <v>150</v>
      </c>
      <c r="AV90" s="1">
        <v>45.379999999999995</v>
      </c>
      <c r="AW90" s="1">
        <v>0.78</v>
      </c>
      <c r="AX90" s="1">
        <v>9.7900000000000009</v>
      </c>
      <c r="AY90" s="1">
        <v>0.32</v>
      </c>
      <c r="AZ90" s="1">
        <v>1083.0240000000001</v>
      </c>
      <c r="BA90" s="1">
        <v>55.89</v>
      </c>
      <c r="BB90" s="1">
        <v>421.65899999999999</v>
      </c>
      <c r="BC90" s="1">
        <v>33.533999999999999</v>
      </c>
      <c r="BD90" s="1">
        <v>7439.58</v>
      </c>
      <c r="BE90" s="1">
        <v>136.62</v>
      </c>
      <c r="BF90" s="1">
        <v>19.996200000000002</v>
      </c>
      <c r="BG90" s="1">
        <v>5.5269000000000004</v>
      </c>
      <c r="BH90" s="1">
        <f t="shared" si="30"/>
        <v>372.04968944099375</v>
      </c>
      <c r="BI90" s="1">
        <f t="shared" si="31"/>
        <v>103.06032993007403</v>
      </c>
    </row>
    <row r="91" spans="1:61" x14ac:dyDescent="0.2">
      <c r="A91" t="s">
        <v>815</v>
      </c>
      <c r="B91" t="s">
        <v>38</v>
      </c>
      <c r="C91" t="s">
        <v>816</v>
      </c>
      <c r="D91" t="s">
        <v>817</v>
      </c>
      <c r="E91">
        <v>10764</v>
      </c>
      <c r="F91">
        <v>41276</v>
      </c>
      <c r="G91" t="s">
        <v>817</v>
      </c>
      <c r="H91" s="1">
        <v>911</v>
      </c>
      <c r="I91" s="1">
        <v>836</v>
      </c>
      <c r="J91" s="11">
        <v>3.7900000000000003E-2</v>
      </c>
      <c r="K91" s="11">
        <f t="shared" ca="1" si="24"/>
        <v>2.1388230408334393E-3</v>
      </c>
      <c r="L91" s="8">
        <v>5.0899999999999999E-3</v>
      </c>
      <c r="M91" s="8">
        <f t="shared" ca="1" si="25"/>
        <v>1.6511583812584425E-4</v>
      </c>
      <c r="N91" s="8">
        <v>0.76182000000000005</v>
      </c>
      <c r="O91" s="9">
        <v>196.46369999999999</v>
      </c>
      <c r="P91" s="9">
        <f t="shared" ca="1" si="26"/>
        <v>6.3731364909887187</v>
      </c>
      <c r="Q91" s="10">
        <v>5.4100000000000002E-2</v>
      </c>
      <c r="R91" s="10">
        <f t="shared" ca="1" si="27"/>
        <v>2.2739226020249675E-3</v>
      </c>
      <c r="S91" s="9">
        <f t="shared" si="28"/>
        <v>0.34597998800770929</v>
      </c>
      <c r="T91" s="12">
        <v>1.248E-3</v>
      </c>
      <c r="U91" s="12">
        <f t="shared" ca="1" si="29"/>
        <v>3.5327066110844815E-5</v>
      </c>
      <c r="V91" s="6" t="e">
        <f ca="1">IF(agePb6U8(1/O91)&lt;1400,age7corr(1/O91,Q91,$W$2),agePb76(Q91))</f>
        <v>#NAME?</v>
      </c>
      <c r="W91" s="6" t="e">
        <f ca="1">IF(agePb6U8(1/O91)&lt;1400,ageer7corr(V91,1/O91,P91/O91*(1/O91),Q91,R91,$W$2,0.05),ageerPb76(Q91,R91))</f>
        <v>#NAME?</v>
      </c>
      <c r="X91" s="4" t="e">
        <f ca="1">agePb6U8(L91)/agePb7u5(J91)</f>
        <v>#NAME?</v>
      </c>
      <c r="Z91" s="1">
        <v>3.7900000000000003E-2</v>
      </c>
      <c r="AA91" s="1">
        <v>2E-3</v>
      </c>
      <c r="AB91" s="1">
        <v>5.0899999999999999E-3</v>
      </c>
      <c r="AC91" s="1">
        <v>1.2999999999999999E-4</v>
      </c>
      <c r="AD91" s="1">
        <v>0.76182000000000005</v>
      </c>
      <c r="AE91" s="1">
        <v>196.46369999999999</v>
      </c>
      <c r="AF91" s="1">
        <v>5.0177360000000002</v>
      </c>
      <c r="AG91" s="1">
        <v>5.4100000000000002E-2</v>
      </c>
      <c r="AH91" s="1">
        <v>2E-3</v>
      </c>
      <c r="AI91" s="1">
        <v>-0.56396999999999997</v>
      </c>
      <c r="AJ91" s="1">
        <v>1.248E-3</v>
      </c>
      <c r="AK91" s="1">
        <v>2.5000000000000001E-5</v>
      </c>
      <c r="AL91" s="1">
        <v>4.55</v>
      </c>
      <c r="AM91" s="1">
        <v>0.15</v>
      </c>
      <c r="AN91" s="1">
        <v>37.799999999999997</v>
      </c>
      <c r="AO91" s="1">
        <v>2</v>
      </c>
      <c r="AP91" s="1">
        <v>32.76</v>
      </c>
      <c r="AQ91" s="1">
        <v>0.84</v>
      </c>
      <c r="AR91" s="1">
        <v>25.21</v>
      </c>
      <c r="AS91" s="1">
        <v>0.5</v>
      </c>
      <c r="AT91" s="1">
        <v>368</v>
      </c>
      <c r="AU91" s="1">
        <v>78</v>
      </c>
      <c r="AV91" s="1">
        <v>192</v>
      </c>
      <c r="AW91" s="1">
        <v>4.4000000000000004</v>
      </c>
      <c r="AX91" s="1">
        <v>63.5</v>
      </c>
      <c r="AY91" s="1">
        <v>1.9</v>
      </c>
      <c r="AZ91" s="1">
        <v>6762.6900000000005</v>
      </c>
      <c r="BA91" s="1">
        <v>273.24</v>
      </c>
      <c r="BB91" s="1">
        <v>2012.04</v>
      </c>
      <c r="BC91" s="1">
        <v>93.15</v>
      </c>
      <c r="BD91" s="1">
        <v>37632.6</v>
      </c>
      <c r="BE91" s="1">
        <v>931.50000000000011</v>
      </c>
      <c r="BF91" s="1">
        <v>22.977</v>
      </c>
      <c r="BG91" s="1">
        <v>9.3149999999999995</v>
      </c>
      <c r="BH91" s="1">
        <f t="shared" si="30"/>
        <v>1637.8378378378377</v>
      </c>
      <c r="BI91" s="1">
        <f t="shared" si="31"/>
        <v>665.22478512589873</v>
      </c>
    </row>
    <row r="92" spans="1:61" x14ac:dyDescent="0.2">
      <c r="A92" t="s">
        <v>818</v>
      </c>
      <c r="B92" t="s">
        <v>38</v>
      </c>
      <c r="C92" t="s">
        <v>819</v>
      </c>
      <c r="D92" t="s">
        <v>820</v>
      </c>
      <c r="E92">
        <v>10848</v>
      </c>
      <c r="F92">
        <v>42167</v>
      </c>
      <c r="G92" t="s">
        <v>820</v>
      </c>
      <c r="H92" s="1">
        <v>1307</v>
      </c>
      <c r="I92" s="1">
        <v>920</v>
      </c>
      <c r="J92" s="11">
        <v>2.9489999999999999E-2</v>
      </c>
      <c r="K92" s="11">
        <f t="shared" ca="1" si="24"/>
        <v>1.1352374377195283E-3</v>
      </c>
      <c r="L92" s="8">
        <v>4.2379999999999996E-3</v>
      </c>
      <c r="M92" s="8">
        <f t="shared" ca="1" si="25"/>
        <v>9.8408625638203066E-5</v>
      </c>
      <c r="N92" s="8">
        <v>0.57760999999999996</v>
      </c>
      <c r="O92" s="9">
        <v>235.96039999999999</v>
      </c>
      <c r="P92" s="9">
        <f t="shared" ca="1" si="26"/>
        <v>5.4791266170338684</v>
      </c>
      <c r="Q92" s="10">
        <v>5.0099999999999999E-2</v>
      </c>
      <c r="R92" s="10">
        <f t="shared" ca="1" si="27"/>
        <v>1.6413421337429927E-3</v>
      </c>
      <c r="S92" s="9">
        <f t="shared" si="28"/>
        <v>0.2898616474467125</v>
      </c>
      <c r="T92" s="12">
        <v>1.498E-3</v>
      </c>
      <c r="U92" s="12">
        <f t="shared" ca="1" si="29"/>
        <v>4.8390098160677458E-5</v>
      </c>
      <c r="V92" s="6" t="e">
        <f ca="1">IF(agePb6U8(1/O92)&lt;1400,age7corr(1/O92,Q92,$W$2),agePb76(Q92))</f>
        <v>#NAME?</v>
      </c>
      <c r="W92" s="6" t="e">
        <f ca="1">IF(agePb6U8(1/O92)&lt;1400,ageer7corr(V92,1/O92,P92/O92*(1/O92),Q92,R92,$W$2,0.05),ageerPb76(Q92,R92))</f>
        <v>#NAME?</v>
      </c>
      <c r="X92" s="4" t="e">
        <f ca="1">agePb6U8(L92)/agePb7u5(J92)</f>
        <v>#NAME?</v>
      </c>
      <c r="Z92" s="1">
        <v>2.9489999999999999E-2</v>
      </c>
      <c r="AA92" s="1">
        <v>9.7000000000000005E-4</v>
      </c>
      <c r="AB92" s="1">
        <v>4.2379999999999996E-3</v>
      </c>
      <c r="AC92" s="1">
        <v>5.0000000000000002E-5</v>
      </c>
      <c r="AD92" s="1">
        <v>0.57760999999999996</v>
      </c>
      <c r="AE92" s="1">
        <v>235.96039999999999</v>
      </c>
      <c r="AF92" s="1">
        <v>2.783865</v>
      </c>
      <c r="AG92" s="1">
        <v>5.0099999999999999E-2</v>
      </c>
      <c r="AH92" s="1">
        <v>1.2999999999999999E-3</v>
      </c>
      <c r="AI92" s="1">
        <v>-0.37669999999999998</v>
      </c>
      <c r="AJ92" s="1">
        <v>1.498E-3</v>
      </c>
      <c r="AK92" s="1">
        <v>3.8000000000000002E-5</v>
      </c>
      <c r="AL92" s="1">
        <v>4.2110000000000003</v>
      </c>
      <c r="AM92" s="1">
        <v>2.7E-2</v>
      </c>
      <c r="AN92" s="1">
        <v>29.51</v>
      </c>
      <c r="AO92" s="1">
        <v>0.95</v>
      </c>
      <c r="AP92" s="1">
        <v>27.26</v>
      </c>
      <c r="AQ92" s="1">
        <v>0.32</v>
      </c>
      <c r="AR92" s="1">
        <v>30.26</v>
      </c>
      <c r="AS92" s="1">
        <v>0.77</v>
      </c>
      <c r="AT92" s="1">
        <v>196</v>
      </c>
      <c r="AU92" s="1">
        <v>59</v>
      </c>
      <c r="AV92" s="1">
        <v>275.2</v>
      </c>
      <c r="AW92" s="1">
        <v>7.1000000000000005</v>
      </c>
      <c r="AX92" s="1">
        <v>69.8</v>
      </c>
      <c r="AY92" s="1">
        <v>1.6</v>
      </c>
      <c r="AZ92" s="1">
        <v>8644.32</v>
      </c>
      <c r="BA92" s="1">
        <v>211.14000000000001</v>
      </c>
      <c r="BB92" s="1">
        <v>2229.39</v>
      </c>
      <c r="BC92" s="1">
        <v>86.94</v>
      </c>
      <c r="BD92" s="1">
        <v>45395.1</v>
      </c>
      <c r="BE92" s="1">
        <v>931.50000000000011</v>
      </c>
      <c r="BF92" s="1">
        <v>17.388000000000002</v>
      </c>
      <c r="BG92" s="1">
        <v>8.6940000000000008</v>
      </c>
      <c r="BH92" s="1">
        <f t="shared" si="30"/>
        <v>2610.7142857142853</v>
      </c>
      <c r="BI92" s="1">
        <f t="shared" si="31"/>
        <v>1306.4559573010283</v>
      </c>
    </row>
    <row r="93" spans="1:61" x14ac:dyDescent="0.2">
      <c r="A93" t="s">
        <v>821</v>
      </c>
      <c r="B93" t="s">
        <v>38</v>
      </c>
      <c r="C93" t="s">
        <v>822</v>
      </c>
      <c r="D93" t="s">
        <v>823</v>
      </c>
      <c r="E93">
        <v>10911</v>
      </c>
      <c r="F93">
        <v>42725</v>
      </c>
      <c r="G93" t="s">
        <v>823</v>
      </c>
      <c r="H93" s="1">
        <v>1250</v>
      </c>
      <c r="I93" s="1">
        <v>697</v>
      </c>
      <c r="J93" s="11">
        <v>2.894E-2</v>
      </c>
      <c r="K93" s="11">
        <f t="shared" ca="1" si="24"/>
        <v>8.7784363072246525E-4</v>
      </c>
      <c r="L93" s="8">
        <v>4.4780000000000002E-3</v>
      </c>
      <c r="M93" s="8">
        <f t="shared" ca="1" si="25"/>
        <v>1.0068263802662304E-4</v>
      </c>
      <c r="N93" s="8">
        <v>0.73772000000000004</v>
      </c>
      <c r="O93" s="9">
        <v>223.31399999999999</v>
      </c>
      <c r="P93" s="9">
        <f t="shared" ca="1" si="26"/>
        <v>5.0209562115995396</v>
      </c>
      <c r="Q93" s="10">
        <v>4.6920000000000003E-2</v>
      </c>
      <c r="R93" s="10">
        <f t="shared" ca="1" si="27"/>
        <v>1.1827910043621401E-3</v>
      </c>
      <c r="S93" s="9">
        <f t="shared" si="28"/>
        <v>0.48029282245338684</v>
      </c>
      <c r="T93" s="12">
        <v>1.462E-3</v>
      </c>
      <c r="U93" s="12">
        <f t="shared" ca="1" si="29"/>
        <v>3.5999688887544569E-5</v>
      </c>
      <c r="V93" s="6" t="e">
        <f ca="1">IF(agePb6U8(1/O93)&lt;1400,age7corr(1/O93,Q93,$W$2),agePb76(Q93))</f>
        <v>#NAME?</v>
      </c>
      <c r="W93" s="6" t="e">
        <f ca="1">IF(agePb6U8(1/O93)&lt;1400,ageer7corr(V93,1/O93,P93/O93*(1/O93),Q93,R93,$W$2,0.05),ageerPb76(Q93,R93))</f>
        <v>#NAME?</v>
      </c>
      <c r="X93" s="4" t="e">
        <f ca="1">agePb6U8(L93)/agePb7u5(J93)</f>
        <v>#NAME?</v>
      </c>
      <c r="Z93" s="1">
        <v>2.894E-2</v>
      </c>
      <c r="AA93" s="1">
        <v>6.6E-4</v>
      </c>
      <c r="AB93" s="1">
        <v>4.4780000000000002E-3</v>
      </c>
      <c r="AC93" s="1">
        <v>4.6E-5</v>
      </c>
      <c r="AD93" s="1">
        <v>0.73772000000000004</v>
      </c>
      <c r="AE93" s="1">
        <v>223.31399999999999</v>
      </c>
      <c r="AF93" s="1">
        <v>2.2939799999999999</v>
      </c>
      <c r="AG93" s="1">
        <v>4.6920000000000003E-2</v>
      </c>
      <c r="AH93" s="1">
        <v>7.2000000000000005E-4</v>
      </c>
      <c r="AI93" s="1">
        <v>-0.22516</v>
      </c>
      <c r="AJ93" s="1">
        <v>1.462E-3</v>
      </c>
      <c r="AK93" s="1">
        <v>2.0999999999999999E-5</v>
      </c>
      <c r="AL93" s="1">
        <v>5.73</v>
      </c>
      <c r="AM93" s="1">
        <v>0.14000000000000001</v>
      </c>
      <c r="AN93" s="1">
        <v>28.97</v>
      </c>
      <c r="AO93" s="1">
        <v>0.65</v>
      </c>
      <c r="AP93" s="1">
        <v>28.8</v>
      </c>
      <c r="AQ93" s="1">
        <v>0.3</v>
      </c>
      <c r="AR93" s="1">
        <v>29.53</v>
      </c>
      <c r="AS93" s="1">
        <v>0.42</v>
      </c>
      <c r="AT93" s="1">
        <v>48</v>
      </c>
      <c r="AU93" s="1">
        <v>34</v>
      </c>
      <c r="AV93" s="1">
        <v>264</v>
      </c>
      <c r="AW93" s="1">
        <v>45</v>
      </c>
      <c r="AX93" s="1">
        <v>52.900000000000006</v>
      </c>
      <c r="AY93" s="1">
        <v>6.3</v>
      </c>
      <c r="AZ93" s="1">
        <v>6396.2999999999993</v>
      </c>
      <c r="BA93" s="1">
        <v>807.3</v>
      </c>
      <c r="BB93" s="1">
        <v>2161.08</v>
      </c>
      <c r="BC93" s="1">
        <v>341.54999999999995</v>
      </c>
      <c r="BD93" s="1">
        <v>47196</v>
      </c>
      <c r="BE93" s="1">
        <v>7452.0000000000009</v>
      </c>
      <c r="BF93" s="1">
        <v>-6.2099999999999991</v>
      </c>
      <c r="BG93" s="1">
        <v>6.2099999999999991</v>
      </c>
      <c r="BH93" s="1">
        <f t="shared" si="30"/>
        <v>-7600.0000000000009</v>
      </c>
      <c r="BI93" s="1">
        <f t="shared" si="31"/>
        <v>-7694.1536246685391</v>
      </c>
    </row>
    <row r="94" spans="1:61" s="24" customFormat="1" x14ac:dyDescent="0.2">
      <c r="A94" s="24" t="s">
        <v>824</v>
      </c>
      <c r="B94" s="24" t="s">
        <v>38</v>
      </c>
      <c r="C94" s="24" t="s">
        <v>825</v>
      </c>
      <c r="D94" s="24" t="s">
        <v>826</v>
      </c>
      <c r="E94" s="24">
        <v>10826</v>
      </c>
      <c r="F94" s="24">
        <v>43009</v>
      </c>
      <c r="G94" s="24" t="s">
        <v>826</v>
      </c>
      <c r="H94" s="25">
        <v>3230</v>
      </c>
      <c r="I94" s="25">
        <v>2680</v>
      </c>
      <c r="J94" s="26">
        <v>3.0429999999999999E-2</v>
      </c>
      <c r="K94" s="26">
        <f t="shared" ca="1" si="24"/>
        <v>1.0131603821705623E-3</v>
      </c>
      <c r="L94" s="27">
        <v>4.5710000000000004E-3</v>
      </c>
      <c r="M94" s="27">
        <f t="shared" ca="1" si="25"/>
        <v>1.2214178809891396E-4</v>
      </c>
      <c r="N94" s="27">
        <v>0.86063000000000001</v>
      </c>
      <c r="O94" s="27">
        <v>218.7705</v>
      </c>
      <c r="P94" s="27">
        <f t="shared" ca="1" si="26"/>
        <v>5.8457710200031787</v>
      </c>
      <c r="Q94" s="26">
        <v>4.8059999999999999E-2</v>
      </c>
      <c r="R94" s="26">
        <f t="shared" ca="1" si="27"/>
        <v>1.1547750603472522E-3</v>
      </c>
      <c r="S94" s="27">
        <f t="shared" si="28"/>
        <v>0.48808807610565696</v>
      </c>
      <c r="T94" s="26">
        <v>8.92E-4</v>
      </c>
      <c r="U94" s="26">
        <f t="shared" ca="1" si="29"/>
        <v>4.7479106984019819E-5</v>
      </c>
      <c r="V94" s="25" t="e">
        <f ca="1">IF(agePb6U8(1/O94)&lt;1400,age7corr(1/O94,Q94,$W$2),agePb76(Q94))</f>
        <v>#NAME?</v>
      </c>
      <c r="W94" s="25" t="e">
        <f ca="1">IF(agePb6U8(1/O94)&lt;1400,ageer7corr(V94,1/O94,P94/O94*(1/O94),Q94,R94,$W$2,0.05),ageerPb76(Q94,R94))</f>
        <v>#NAME?</v>
      </c>
      <c r="X94" s="27" t="e">
        <f ca="1">agePb6U8(L94)/agePb7u5(J94)</f>
        <v>#NAME?</v>
      </c>
      <c r="Y94" s="25"/>
      <c r="Z94" s="25">
        <v>3.0429999999999999E-2</v>
      </c>
      <c r="AA94" s="25">
        <v>8.0999999999999996E-4</v>
      </c>
      <c r="AB94" s="25">
        <v>4.5710000000000004E-3</v>
      </c>
      <c r="AC94" s="25">
        <v>8.1000000000000004E-5</v>
      </c>
      <c r="AD94" s="25">
        <v>0.86063000000000001</v>
      </c>
      <c r="AE94" s="25">
        <v>218.7705</v>
      </c>
      <c r="AF94" s="25">
        <v>3.876703</v>
      </c>
      <c r="AG94" s="25">
        <v>4.8059999999999999E-2</v>
      </c>
      <c r="AH94" s="25">
        <v>6.4000000000000005E-4</v>
      </c>
      <c r="AI94" s="25">
        <v>-0.36194999999999999</v>
      </c>
      <c r="AJ94" s="25">
        <v>8.92E-4</v>
      </c>
      <c r="AK94" s="25">
        <v>4.3999999999999999E-5</v>
      </c>
      <c r="AL94" s="25">
        <v>6.82</v>
      </c>
      <c r="AM94" s="25">
        <v>0.18</v>
      </c>
      <c r="AN94" s="25">
        <v>30.44</v>
      </c>
      <c r="AO94" s="25">
        <v>0.8</v>
      </c>
      <c r="AP94" s="25">
        <v>29.4</v>
      </c>
      <c r="AQ94" s="25">
        <v>0.52</v>
      </c>
      <c r="AR94" s="25">
        <v>18.02</v>
      </c>
      <c r="AS94" s="25">
        <v>0.88</v>
      </c>
      <c r="AT94" s="25">
        <v>101</v>
      </c>
      <c r="AU94" s="25">
        <v>31</v>
      </c>
      <c r="AV94" s="25">
        <v>680</v>
      </c>
      <c r="AW94" s="25">
        <v>110</v>
      </c>
      <c r="AX94" s="25">
        <v>203</v>
      </c>
      <c r="AY94" s="25">
        <v>31</v>
      </c>
      <c r="AZ94" s="25">
        <v>13972.5</v>
      </c>
      <c r="BA94" s="25">
        <v>2546.1</v>
      </c>
      <c r="BB94" s="25">
        <v>5651.0999999999995</v>
      </c>
      <c r="BC94" s="25">
        <v>807.3</v>
      </c>
      <c r="BD94" s="25">
        <v>121095</v>
      </c>
      <c r="BE94" s="25">
        <v>18009</v>
      </c>
      <c r="BF94" s="25">
        <v>64.583999999999989</v>
      </c>
      <c r="BG94" s="25">
        <v>14.283000000000001</v>
      </c>
      <c r="BH94" s="25">
        <f t="shared" si="30"/>
        <v>1875.0000000000002</v>
      </c>
      <c r="BI94" s="25">
        <f t="shared" si="31"/>
        <v>499.70087437371194</v>
      </c>
    </row>
    <row r="95" spans="1:61" x14ac:dyDescent="0.2">
      <c r="A95" t="s">
        <v>827</v>
      </c>
      <c r="B95" t="s">
        <v>38</v>
      </c>
      <c r="C95" t="s">
        <v>828</v>
      </c>
      <c r="D95" t="s">
        <v>829</v>
      </c>
      <c r="E95">
        <v>10909</v>
      </c>
      <c r="F95">
        <v>43607</v>
      </c>
      <c r="G95" t="s">
        <v>829</v>
      </c>
      <c r="H95" s="1">
        <v>865</v>
      </c>
      <c r="I95" s="1">
        <v>177.9</v>
      </c>
      <c r="J95" s="11">
        <v>2.7810000000000001E-2</v>
      </c>
      <c r="K95" s="11">
        <f t="shared" ca="1" si="24"/>
        <v>7.9640344047473828E-4</v>
      </c>
      <c r="L95" s="8">
        <v>4.2680000000000001E-3</v>
      </c>
      <c r="M95" s="8">
        <f t="shared" ca="1" si="25"/>
        <v>9.603296100818719E-5</v>
      </c>
      <c r="N95" s="8">
        <v>0.77107999999999999</v>
      </c>
      <c r="O95" s="9">
        <v>234.30179999999999</v>
      </c>
      <c r="P95" s="9">
        <f t="shared" ca="1" si="26"/>
        <v>5.271952834161171</v>
      </c>
      <c r="Q95" s="10">
        <v>4.7210000000000002E-2</v>
      </c>
      <c r="R95" s="10">
        <f t="shared" ca="1" si="27"/>
        <v>1.2183651505193343E-3</v>
      </c>
      <c r="S95" s="9">
        <f t="shared" si="28"/>
        <v>0.48654027921658666</v>
      </c>
      <c r="T95" s="12">
        <v>1.4760000000000001E-3</v>
      </c>
      <c r="U95" s="12">
        <f t="shared" ca="1" si="29"/>
        <v>3.8045110066866678E-5</v>
      </c>
      <c r="V95" s="6" t="e">
        <f ca="1">IF(agePb6U8(1/O95)&lt;1400,age7corr(1/O95,Q95,$W$2),agePb76(Q95))</f>
        <v>#NAME?</v>
      </c>
      <c r="W95" s="6" t="e">
        <f ca="1">IF(agePb6U8(1/O95)&lt;1400,ageer7corr(V95,1/O95,P95/O95*(1/O95),Q95,R95,$W$2,0.05),ageerPb76(Q95,R95))</f>
        <v>#NAME?</v>
      </c>
      <c r="X95" s="4" t="e">
        <f ca="1">agePb6U8(L95)/agePb7u5(J95)</f>
        <v>#NAME?</v>
      </c>
      <c r="Z95" s="1">
        <v>2.7810000000000001E-2</v>
      </c>
      <c r="AA95" s="1">
        <v>5.6999999999999998E-4</v>
      </c>
      <c r="AB95" s="1">
        <v>4.2680000000000001E-3</v>
      </c>
      <c r="AC95" s="1">
        <v>4.3999999999999999E-5</v>
      </c>
      <c r="AD95" s="1">
        <v>0.77107999999999999</v>
      </c>
      <c r="AE95" s="1">
        <v>234.30179999999999</v>
      </c>
      <c r="AF95" s="1">
        <v>2.4154819999999999</v>
      </c>
      <c r="AG95" s="1">
        <v>4.7210000000000002E-2</v>
      </c>
      <c r="AH95" s="1">
        <v>7.6999999999999996E-4</v>
      </c>
      <c r="AI95" s="1">
        <v>-0.39911000000000002</v>
      </c>
      <c r="AJ95" s="1">
        <v>1.4760000000000001E-3</v>
      </c>
      <c r="AK95" s="1">
        <v>2.4000000000000001E-5</v>
      </c>
      <c r="AL95" s="1">
        <v>15.15</v>
      </c>
      <c r="AM95" s="1">
        <v>0.54</v>
      </c>
      <c r="AN95" s="1">
        <v>27.86</v>
      </c>
      <c r="AO95" s="1">
        <v>0.56999999999999995</v>
      </c>
      <c r="AP95" s="1">
        <v>27.46</v>
      </c>
      <c r="AQ95" s="1">
        <v>0.28000000000000003</v>
      </c>
      <c r="AR95" s="1">
        <v>29.81</v>
      </c>
      <c r="AS95" s="1">
        <v>0.49</v>
      </c>
      <c r="AT95" s="1">
        <v>62</v>
      </c>
      <c r="AU95" s="1">
        <v>36</v>
      </c>
      <c r="AV95" s="1">
        <v>182</v>
      </c>
      <c r="AW95" s="1">
        <v>10</v>
      </c>
      <c r="AX95" s="1">
        <v>13.5</v>
      </c>
      <c r="AY95" s="1">
        <v>0.27</v>
      </c>
      <c r="AZ95" s="1">
        <v>1632.6090000000002</v>
      </c>
      <c r="BA95" s="1">
        <v>52.164000000000001</v>
      </c>
      <c r="BB95" s="1">
        <v>1397.2500000000002</v>
      </c>
      <c r="BC95" s="1">
        <v>93.15</v>
      </c>
      <c r="BD95" s="1">
        <v>30429</v>
      </c>
      <c r="BE95" s="1">
        <v>1800.9</v>
      </c>
      <c r="BF95" s="1">
        <v>31.05</v>
      </c>
      <c r="BG95" s="1">
        <v>6.8310000000000004</v>
      </c>
      <c r="BH95" s="1">
        <f t="shared" si="30"/>
        <v>980</v>
      </c>
      <c r="BI95" s="1">
        <f t="shared" si="31"/>
        <v>223.26522344512142</v>
      </c>
    </row>
    <row r="96" spans="1:61" x14ac:dyDescent="0.2">
      <c r="A96" t="s">
        <v>830</v>
      </c>
      <c r="B96" t="s">
        <v>38</v>
      </c>
      <c r="C96" t="s">
        <v>831</v>
      </c>
      <c r="D96" t="s">
        <v>832</v>
      </c>
      <c r="E96">
        <v>10860</v>
      </c>
      <c r="F96">
        <v>44156</v>
      </c>
      <c r="G96" t="s">
        <v>832</v>
      </c>
      <c r="H96" s="1">
        <v>253.4</v>
      </c>
      <c r="I96" s="1">
        <v>100.6</v>
      </c>
      <c r="J96" s="11">
        <v>2.673E-2</v>
      </c>
      <c r="K96" s="11">
        <f t="shared" ca="1" si="24"/>
        <v>1.0211254379360059E-3</v>
      </c>
      <c r="L96" s="8">
        <v>4.163E-3</v>
      </c>
      <c r="M96" s="8">
        <f t="shared" ca="1" si="25"/>
        <v>8.9934573996878426E-5</v>
      </c>
      <c r="N96" s="8">
        <v>0.34994999999999998</v>
      </c>
      <c r="O96" s="9">
        <v>240.2114</v>
      </c>
      <c r="P96" s="9">
        <f t="shared" ca="1" si="26"/>
        <v>5.1893608491012646</v>
      </c>
      <c r="Q96" s="10">
        <v>4.6300000000000001E-2</v>
      </c>
      <c r="R96" s="10">
        <f t="shared" ca="1" si="27"/>
        <v>1.6785338840786027E-3</v>
      </c>
      <c r="S96" s="9">
        <f t="shared" si="28"/>
        <v>0.21437766011406559</v>
      </c>
      <c r="T96" s="12">
        <v>1.464E-3</v>
      </c>
      <c r="U96" s="12">
        <f t="shared" ca="1" si="29"/>
        <v>4.7183878602760071E-5</v>
      </c>
      <c r="V96" s="6" t="e">
        <f ca="1">IF(agePb6U8(1/O96)&lt;1400,age7corr(1/O96,Q96,$W$2),agePb76(Q96))</f>
        <v>#NAME?</v>
      </c>
      <c r="W96" s="6" t="e">
        <f ca="1">IF(agePb6U8(1/O96)&lt;1400,ageer7corr(V96,1/O96,P96/O96*(1/O96),Q96,R96,$W$2,0.05),ageerPb76(Q96,R96))</f>
        <v>#NAME?</v>
      </c>
      <c r="X96" s="4" t="e">
        <f ca="1">agePb6U8(L96)/agePb7u5(J96)</f>
        <v>#NAME?</v>
      </c>
      <c r="Z96" s="1">
        <v>2.673E-2</v>
      </c>
      <c r="AA96" s="1">
        <v>8.7000000000000001E-4</v>
      </c>
      <c r="AB96" s="1">
        <v>4.163E-3</v>
      </c>
      <c r="AC96" s="1">
        <v>3.4E-5</v>
      </c>
      <c r="AD96" s="1">
        <v>0.34994999999999998</v>
      </c>
      <c r="AE96" s="1">
        <v>240.2114</v>
      </c>
      <c r="AF96" s="1">
        <v>1.961851</v>
      </c>
      <c r="AG96" s="1">
        <v>4.6300000000000001E-2</v>
      </c>
      <c r="AH96" s="1">
        <v>1.4E-3</v>
      </c>
      <c r="AI96" s="1">
        <v>-9.2549000000000006E-2</v>
      </c>
      <c r="AJ96" s="1">
        <v>1.464E-3</v>
      </c>
      <c r="AK96" s="1">
        <v>3.6999999999999998E-5</v>
      </c>
      <c r="AL96" s="1">
        <v>7.64</v>
      </c>
      <c r="AM96" s="1">
        <v>0.16</v>
      </c>
      <c r="AN96" s="1">
        <v>26.78</v>
      </c>
      <c r="AO96" s="1">
        <v>0.86</v>
      </c>
      <c r="AP96" s="1">
        <v>26.78</v>
      </c>
      <c r="AQ96" s="1">
        <v>0.22</v>
      </c>
      <c r="AR96" s="1">
        <v>29.56</v>
      </c>
      <c r="AS96" s="1">
        <v>0.74</v>
      </c>
      <c r="AT96" s="1">
        <v>27</v>
      </c>
      <c r="AU96" s="1">
        <v>60</v>
      </c>
      <c r="AV96" s="1">
        <v>53.36</v>
      </c>
      <c r="AW96" s="1">
        <v>0.84000000000000008</v>
      </c>
      <c r="AX96" s="1">
        <v>7.63</v>
      </c>
      <c r="AY96" s="1">
        <v>0.2</v>
      </c>
      <c r="AZ96" s="1">
        <v>912.24900000000002</v>
      </c>
      <c r="BA96" s="1">
        <v>19.872</v>
      </c>
      <c r="BB96" s="1">
        <v>396.81900000000002</v>
      </c>
      <c r="BC96" s="1">
        <v>14.283000000000001</v>
      </c>
      <c r="BD96" s="1">
        <v>8650.5300000000007</v>
      </c>
      <c r="BE96" s="1">
        <v>111.78</v>
      </c>
      <c r="BF96" s="1">
        <v>4.4712000000000005</v>
      </c>
      <c r="BG96" s="1">
        <v>4.5332999999999997</v>
      </c>
      <c r="BH96" s="1">
        <f t="shared" si="30"/>
        <v>1934.7222222222222</v>
      </c>
      <c r="BI96" s="1">
        <f t="shared" si="31"/>
        <v>1961.7526669954559</v>
      </c>
    </row>
    <row r="97" spans="1:61" x14ac:dyDescent="0.2">
      <c r="A97" t="s">
        <v>833</v>
      </c>
      <c r="B97" t="s">
        <v>38</v>
      </c>
      <c r="C97" t="s">
        <v>834</v>
      </c>
      <c r="D97" t="s">
        <v>835</v>
      </c>
      <c r="E97">
        <v>10956</v>
      </c>
      <c r="F97">
        <v>44611</v>
      </c>
      <c r="G97" t="s">
        <v>835</v>
      </c>
      <c r="H97" s="1">
        <v>265.60000000000002</v>
      </c>
      <c r="I97" s="1">
        <v>123</v>
      </c>
      <c r="J97" s="11">
        <v>3.2500000000000001E-2</v>
      </c>
      <c r="K97" s="11">
        <f t="shared" ca="1" si="24"/>
        <v>2.2940139493908924E-3</v>
      </c>
      <c r="L97" s="8">
        <v>4.1489999999999999E-3</v>
      </c>
      <c r="M97" s="8">
        <f t="shared" ca="1" si="25"/>
        <v>9.2556363368490231E-5</v>
      </c>
      <c r="N97" s="8">
        <v>0.53751000000000004</v>
      </c>
      <c r="O97" s="9">
        <v>241.02189999999999</v>
      </c>
      <c r="P97" s="9">
        <f t="shared" ca="1" si="26"/>
        <v>5.3767438685844064</v>
      </c>
      <c r="Q97" s="10">
        <v>5.6800000000000003E-2</v>
      </c>
      <c r="R97" s="10">
        <f t="shared" ca="1" si="27"/>
        <v>3.6797412952543286E-3</v>
      </c>
      <c r="S97" s="9">
        <f t="shared" si="28"/>
        <v>0.20858428383559888</v>
      </c>
      <c r="T97" s="12">
        <v>1.8550000000000001E-3</v>
      </c>
      <c r="U97" s="12">
        <f t="shared" ca="1" si="29"/>
        <v>7.9223796929962895E-5</v>
      </c>
      <c r="V97" s="6" t="e">
        <f ca="1">IF(agePb6U8(1/O97)&lt;1400,age7corr(1/O97,Q97,$W$2),agePb76(Q97))</f>
        <v>#NAME?</v>
      </c>
      <c r="W97" s="6" t="e">
        <f ca="1">IF(agePb6U8(1/O97)&lt;1400,ageer7corr(V97,1/O97,P97/O97*(1/O97),Q97,R97,$W$2,0.05),ageerPb76(Q97,R97))</f>
        <v>#NAME?</v>
      </c>
      <c r="X97" s="4" t="e">
        <f ca="1">agePb6U8(L97)/agePb7u5(J97)</f>
        <v>#NAME?</v>
      </c>
      <c r="Z97" s="1">
        <v>3.2500000000000001E-2</v>
      </c>
      <c r="AA97" s="1">
        <v>2.2000000000000001E-3</v>
      </c>
      <c r="AB97" s="1">
        <v>4.1489999999999999E-3</v>
      </c>
      <c r="AC97" s="1">
        <v>4.1E-5</v>
      </c>
      <c r="AD97" s="1">
        <v>0.53751000000000004</v>
      </c>
      <c r="AE97" s="1">
        <v>241.02189999999999</v>
      </c>
      <c r="AF97" s="1">
        <v>2.3817539999999999</v>
      </c>
      <c r="AG97" s="1">
        <v>5.6800000000000003E-2</v>
      </c>
      <c r="AH97" s="1">
        <v>3.5000000000000001E-3</v>
      </c>
      <c r="AI97" s="1">
        <v>-0.38980999999999999</v>
      </c>
      <c r="AJ97" s="1">
        <v>1.8550000000000001E-3</v>
      </c>
      <c r="AK97" s="1">
        <v>6.9999999999999994E-5</v>
      </c>
      <c r="AL97" s="1">
        <v>5.13</v>
      </c>
      <c r="AM97" s="1">
        <v>0.2</v>
      </c>
      <c r="AN97" s="1">
        <v>32.5</v>
      </c>
      <c r="AO97" s="1">
        <v>2.1</v>
      </c>
      <c r="AP97" s="1">
        <v>26.69</v>
      </c>
      <c r="AQ97" s="1">
        <v>0.27</v>
      </c>
      <c r="AR97" s="1">
        <v>37.5</v>
      </c>
      <c r="AS97" s="1">
        <v>1.4</v>
      </c>
      <c r="AT97" s="1">
        <v>460</v>
      </c>
      <c r="AU97" s="1">
        <v>140</v>
      </c>
      <c r="AV97" s="1">
        <v>55.9</v>
      </c>
      <c r="AW97" s="1">
        <v>1.2</v>
      </c>
      <c r="AX97" s="1">
        <v>9.33</v>
      </c>
      <c r="AY97" s="1">
        <v>0.25</v>
      </c>
      <c r="AZ97" s="1">
        <v>1423.953</v>
      </c>
      <c r="BA97" s="1">
        <v>50.300999999999995</v>
      </c>
      <c r="BB97" s="1">
        <v>496.8</v>
      </c>
      <c r="BC97" s="1">
        <v>31.05</v>
      </c>
      <c r="BD97" s="1">
        <v>8979.659999999998</v>
      </c>
      <c r="BE97" s="1">
        <v>180.09</v>
      </c>
      <c r="BF97" s="1">
        <v>8.0729999999999986</v>
      </c>
      <c r="BG97" s="1">
        <v>6.2099999999999991</v>
      </c>
      <c r="BH97" s="1">
        <f t="shared" si="30"/>
        <v>1112.3076923076922</v>
      </c>
      <c r="BI97" s="1">
        <f t="shared" si="31"/>
        <v>855.91205458708976</v>
      </c>
    </row>
    <row r="98" spans="1:61" x14ac:dyDescent="0.2">
      <c r="A98" t="s">
        <v>836</v>
      </c>
      <c r="B98" t="s">
        <v>38</v>
      </c>
      <c r="C98" t="s">
        <v>837</v>
      </c>
      <c r="D98" t="s">
        <v>838</v>
      </c>
      <c r="E98">
        <v>10811</v>
      </c>
      <c r="F98">
        <v>44710</v>
      </c>
      <c r="G98" t="s">
        <v>838</v>
      </c>
      <c r="H98" s="1">
        <v>135.69999999999999</v>
      </c>
      <c r="I98" s="1">
        <v>53</v>
      </c>
      <c r="J98" s="11">
        <v>3.4700000000000002E-2</v>
      </c>
      <c r="K98" s="11">
        <f t="shared" ca="1" si="24"/>
        <v>1.7440286694891227E-3</v>
      </c>
      <c r="L98" s="8">
        <v>4.3010000000000001E-3</v>
      </c>
      <c r="M98" s="8">
        <f t="shared" ca="1" si="25"/>
        <v>1.1090284216376061E-4</v>
      </c>
      <c r="N98" s="8">
        <v>0.45634999999999998</v>
      </c>
      <c r="O98" s="9">
        <v>232.50409999999999</v>
      </c>
      <c r="P98" s="9">
        <f t="shared" ca="1" si="26"/>
        <v>5.9952021126584212</v>
      </c>
      <c r="Q98" s="10">
        <v>5.8200000000000002E-2</v>
      </c>
      <c r="R98" s="10">
        <f t="shared" ca="1" si="27"/>
        <v>2.8486656525468202E-3</v>
      </c>
      <c r="S98" s="9">
        <f t="shared" si="28"/>
        <v>0.41198462703238253</v>
      </c>
      <c r="T98" s="12">
        <v>2.042E-3</v>
      </c>
      <c r="U98" s="12">
        <f t="shared" ca="1" si="29"/>
        <v>6.9310212811677323E-5</v>
      </c>
      <c r="V98" s="6" t="e">
        <f ca="1">IF(agePb6U8(1/O98)&lt;1400,age7corr(1/O98,Q98,$W$2),agePb76(Q98))</f>
        <v>#NAME?</v>
      </c>
      <c r="W98" s="6" t="e">
        <f ca="1">IF(agePb6U8(1/O98)&lt;1400,ageer7corr(V98,1/O98,P98/O98*(1/O98),Q98,R98,$W$2,0.05),ageerPb76(Q98,R98))</f>
        <v>#NAME?</v>
      </c>
      <c r="X98" s="4" t="e">
        <f ca="1">agePb6U8(L98)/agePb7u5(J98)</f>
        <v>#NAME?</v>
      </c>
      <c r="Z98" s="1">
        <v>3.4700000000000002E-2</v>
      </c>
      <c r="AA98" s="1">
        <v>1.6000000000000001E-3</v>
      </c>
      <c r="AB98" s="1">
        <v>4.3010000000000001E-3</v>
      </c>
      <c r="AC98" s="1">
        <v>6.9999999999999994E-5</v>
      </c>
      <c r="AD98" s="1">
        <v>0.45634999999999998</v>
      </c>
      <c r="AE98" s="1">
        <v>232.50409999999999</v>
      </c>
      <c r="AF98" s="1">
        <v>3.7840699999999998</v>
      </c>
      <c r="AG98" s="1">
        <v>5.8200000000000002E-2</v>
      </c>
      <c r="AH98" s="1">
        <v>2.5999999999999999E-3</v>
      </c>
      <c r="AI98" s="1">
        <v>-0.14832000000000001</v>
      </c>
      <c r="AJ98" s="1">
        <v>2.042E-3</v>
      </c>
      <c r="AK98" s="1">
        <v>5.5999999999999999E-5</v>
      </c>
      <c r="AL98" s="1">
        <v>5.59</v>
      </c>
      <c r="AM98" s="1">
        <v>0.11</v>
      </c>
      <c r="AN98" s="1">
        <v>34.6</v>
      </c>
      <c r="AO98" s="1">
        <v>1.6</v>
      </c>
      <c r="AP98" s="1">
        <v>27.66</v>
      </c>
      <c r="AQ98" s="1">
        <v>0.45</v>
      </c>
      <c r="AR98" s="1">
        <v>41.2</v>
      </c>
      <c r="AS98" s="1">
        <v>1.1000000000000001</v>
      </c>
      <c r="AT98" s="1">
        <v>524</v>
      </c>
      <c r="AU98" s="1">
        <v>97</v>
      </c>
      <c r="AV98" s="1">
        <v>28.57</v>
      </c>
      <c r="AW98" s="1">
        <v>0.8899999999999999</v>
      </c>
      <c r="AX98" s="1">
        <v>4.0229999999999997</v>
      </c>
      <c r="AY98" s="1">
        <v>8.3000000000000004E-2</v>
      </c>
      <c r="AZ98" s="1">
        <v>681.85800000000006</v>
      </c>
      <c r="BA98" s="1">
        <v>21.113999999999997</v>
      </c>
      <c r="BB98" s="1">
        <v>273.86099999999999</v>
      </c>
      <c r="BC98" s="1">
        <v>13.662000000000001</v>
      </c>
      <c r="BD98" s="1">
        <v>4781.7</v>
      </c>
      <c r="BE98" s="1">
        <v>161.45999999999998</v>
      </c>
      <c r="BF98" s="1">
        <v>9.3149999999999995</v>
      </c>
      <c r="BG98" s="1">
        <v>6.2099999999999991</v>
      </c>
      <c r="BH98" s="1">
        <f t="shared" si="30"/>
        <v>513.33333333333337</v>
      </c>
      <c r="BI98" s="1">
        <f t="shared" si="31"/>
        <v>342.66090209879576</v>
      </c>
    </row>
    <row r="99" spans="1:61" x14ac:dyDescent="0.2">
      <c r="A99" t="s">
        <v>839</v>
      </c>
      <c r="B99" t="s">
        <v>38</v>
      </c>
      <c r="C99" t="s">
        <v>840</v>
      </c>
      <c r="D99" t="s">
        <v>841</v>
      </c>
      <c r="E99">
        <v>10867</v>
      </c>
      <c r="F99">
        <v>45273</v>
      </c>
      <c r="G99" t="s">
        <v>841</v>
      </c>
      <c r="H99" s="1">
        <v>7550</v>
      </c>
      <c r="I99" s="1">
        <v>13710</v>
      </c>
      <c r="J99" s="11">
        <v>2.7189999999999999E-2</v>
      </c>
      <c r="K99" s="11">
        <f t="shared" ca="1" si="24"/>
        <v>6.2595402387076319E-4</v>
      </c>
      <c r="L99" s="8">
        <v>4.1349999999999998E-3</v>
      </c>
      <c r="M99" s="8">
        <f t="shared" ca="1" si="25"/>
        <v>9.4150358469843325E-5</v>
      </c>
      <c r="N99" s="8">
        <v>0.88998999999999995</v>
      </c>
      <c r="O99" s="9">
        <v>241.83799999999999</v>
      </c>
      <c r="P99" s="9">
        <f t="shared" ca="1" si="26"/>
        <v>5.5064409783002306</v>
      </c>
      <c r="Q99" s="10">
        <v>4.7469999999999998E-2</v>
      </c>
      <c r="R99" s="10">
        <f t="shared" ca="1" si="27"/>
        <v>9.817639023716445E-4</v>
      </c>
      <c r="S99" s="9">
        <f t="shared" si="28"/>
        <v>0.51542665445456437</v>
      </c>
      <c r="T99" s="12">
        <v>1.0499999999999999E-3</v>
      </c>
      <c r="U99" s="12">
        <f t="shared" ca="1" si="29"/>
        <v>4.7853944456021593E-5</v>
      </c>
      <c r="V99" s="6" t="e">
        <f ca="1">IF(agePb6U8(1/O99)&lt;1400,age7corr(1/O99,Q99,$W$2),agePb76(Q99))</f>
        <v>#NAME?</v>
      </c>
      <c r="W99" s="6" t="e">
        <f ca="1">IF(agePb6U8(1/O99)&lt;1400,ageer7corr(V99,1/O99,P99/O99*(1/O99),Q99,R99,$W$2,0.05),ageerPb76(Q99,R99))</f>
        <v>#NAME?</v>
      </c>
      <c r="X99" s="4" t="e">
        <f ca="1">agePb6U8(L99)/agePb7u5(J99)</f>
        <v>#NAME?</v>
      </c>
      <c r="Z99" s="1">
        <v>2.7189999999999999E-2</v>
      </c>
      <c r="AA99" s="1">
        <v>3.1E-4</v>
      </c>
      <c r="AB99" s="1">
        <v>4.1349999999999998E-3</v>
      </c>
      <c r="AC99" s="1">
        <v>4.5000000000000003E-5</v>
      </c>
      <c r="AD99" s="1">
        <v>0.88998999999999995</v>
      </c>
      <c r="AE99" s="1">
        <v>241.83799999999999</v>
      </c>
      <c r="AF99" s="1">
        <v>2.6318519999999999</v>
      </c>
      <c r="AG99" s="1">
        <v>4.7469999999999998E-2</v>
      </c>
      <c r="AH99" s="1">
        <v>2.5000000000000001E-4</v>
      </c>
      <c r="AI99" s="1">
        <v>-0.28277999999999998</v>
      </c>
      <c r="AJ99" s="1">
        <v>1.0499999999999999E-3</v>
      </c>
      <c r="AK99" s="1">
        <v>4.3000000000000002E-5</v>
      </c>
      <c r="AL99" s="1">
        <v>2.3530000000000002</v>
      </c>
      <c r="AM99" s="1">
        <v>3.7999999999999999E-2</v>
      </c>
      <c r="AN99" s="1">
        <v>27.24</v>
      </c>
      <c r="AO99" s="1">
        <v>0.31</v>
      </c>
      <c r="AP99" s="1">
        <v>26.6</v>
      </c>
      <c r="AQ99" s="1">
        <v>0.28999999999999998</v>
      </c>
      <c r="AR99" s="1">
        <v>21.21</v>
      </c>
      <c r="AS99" s="1">
        <v>0.87</v>
      </c>
      <c r="AT99" s="1">
        <v>73</v>
      </c>
      <c r="AU99" s="1">
        <v>13</v>
      </c>
      <c r="AV99" s="1">
        <v>1590</v>
      </c>
      <c r="AW99" s="1">
        <v>53</v>
      </c>
      <c r="AX99" s="1">
        <v>1041</v>
      </c>
      <c r="AY99" s="1">
        <v>41</v>
      </c>
      <c r="AZ99" s="1">
        <v>87995.7</v>
      </c>
      <c r="BA99" s="1">
        <v>2297.6999999999998</v>
      </c>
      <c r="BB99" s="1">
        <v>11885.939999999999</v>
      </c>
      <c r="BC99" s="1">
        <v>440.90999999999997</v>
      </c>
      <c r="BD99" s="1">
        <v>256473</v>
      </c>
      <c r="BE99" s="1">
        <v>9315</v>
      </c>
      <c r="BF99" s="1">
        <v>24.219000000000001</v>
      </c>
      <c r="BG99" s="1">
        <v>6.2099999999999991</v>
      </c>
      <c r="BH99" s="1">
        <f t="shared" si="30"/>
        <v>10589.74358974359</v>
      </c>
      <c r="BI99" s="1">
        <f t="shared" si="31"/>
        <v>2742.4232998073903</v>
      </c>
    </row>
    <row r="100" spans="1:61" x14ac:dyDescent="0.2">
      <c r="A100" t="s">
        <v>842</v>
      </c>
      <c r="B100" t="s">
        <v>38</v>
      </c>
      <c r="C100" t="s">
        <v>843</v>
      </c>
      <c r="D100" t="s">
        <v>844</v>
      </c>
      <c r="E100">
        <v>10896</v>
      </c>
      <c r="F100">
        <v>46325</v>
      </c>
      <c r="G100" t="s">
        <v>844</v>
      </c>
      <c r="H100" s="1">
        <v>195.5</v>
      </c>
      <c r="I100" s="1">
        <v>149.5</v>
      </c>
      <c r="J100" s="11">
        <v>3.3300000000000003E-2</v>
      </c>
      <c r="K100" s="11">
        <f t="shared" ca="1" si="24"/>
        <v>1.3724270472414918E-3</v>
      </c>
      <c r="L100" s="8">
        <v>4.078E-3</v>
      </c>
      <c r="M100" s="8">
        <f t="shared" ca="1" si="25"/>
        <v>9.0840704532714847E-5</v>
      </c>
      <c r="N100" s="8">
        <v>0.43713999999999997</v>
      </c>
      <c r="O100" s="9">
        <v>245.2182</v>
      </c>
      <c r="P100" s="9">
        <f t="shared" ca="1" si="26"/>
        <v>5.4624310807860077</v>
      </c>
      <c r="Q100" s="10">
        <v>5.9200000000000003E-2</v>
      </c>
      <c r="R100" s="10">
        <f t="shared" ca="1" si="27"/>
        <v>2.2387174899928751E-3</v>
      </c>
      <c r="S100" s="9">
        <f t="shared" si="28"/>
        <v>0.31672592120160131</v>
      </c>
      <c r="T100" s="12">
        <v>1.2849999999999999E-3</v>
      </c>
      <c r="U100" s="12">
        <f t="shared" ca="1" si="29"/>
        <v>3.9503037857866071E-5</v>
      </c>
      <c r="V100" s="6" t="e">
        <f ca="1">IF(agePb6U8(1/O100)&lt;1400,age7corr(1/O100,Q100,$W$2),agePb76(Q100))</f>
        <v>#NAME?</v>
      </c>
      <c r="W100" s="6" t="e">
        <f ca="1">IF(agePb6U8(1/O100)&lt;1400,ageer7corr(V100,1/O100,P100/O100*(1/O100),Q100,R100,$W$2,0.05),ageerPb76(Q100,R100))</f>
        <v>#NAME?</v>
      </c>
      <c r="X100" s="4" t="e">
        <f ca="1">agePb6U8(L100)/agePb7u5(J100)</f>
        <v>#NAME?</v>
      </c>
      <c r="Z100" s="1">
        <v>3.3300000000000003E-2</v>
      </c>
      <c r="AA100" s="1">
        <v>1.1999999999999999E-3</v>
      </c>
      <c r="AB100" s="1">
        <v>4.078E-3</v>
      </c>
      <c r="AC100" s="1">
        <v>4.0000000000000003E-5</v>
      </c>
      <c r="AD100" s="1">
        <v>0.43713999999999997</v>
      </c>
      <c r="AE100" s="1">
        <v>245.2182</v>
      </c>
      <c r="AF100" s="1">
        <v>2.4052790000000002</v>
      </c>
      <c r="AG100" s="1">
        <v>5.9200000000000003E-2</v>
      </c>
      <c r="AH100" s="1">
        <v>1.9E-3</v>
      </c>
      <c r="AI100" s="1">
        <v>-0.27861999999999998</v>
      </c>
      <c r="AJ100" s="1">
        <v>1.2849999999999999E-3</v>
      </c>
      <c r="AK100" s="1">
        <v>3.0000000000000001E-5</v>
      </c>
      <c r="AL100" s="1">
        <v>4.3499999999999996</v>
      </c>
      <c r="AM100" s="1">
        <v>0.12</v>
      </c>
      <c r="AN100" s="1">
        <v>33.200000000000003</v>
      </c>
      <c r="AO100" s="1">
        <v>1.1000000000000001</v>
      </c>
      <c r="AP100" s="1">
        <v>26.23</v>
      </c>
      <c r="AQ100" s="1">
        <v>0.26</v>
      </c>
      <c r="AR100" s="1">
        <v>25.95</v>
      </c>
      <c r="AS100" s="1">
        <v>0.6</v>
      </c>
      <c r="AT100" s="1">
        <v>568</v>
      </c>
      <c r="AU100" s="1">
        <v>69</v>
      </c>
      <c r="AV100" s="1">
        <v>41.160000000000004</v>
      </c>
      <c r="AW100" s="1">
        <v>0.88</v>
      </c>
      <c r="AX100" s="1">
        <v>11.34</v>
      </c>
      <c r="AY100" s="1">
        <v>0.27999999999999997</v>
      </c>
      <c r="AZ100" s="1">
        <v>1210.329</v>
      </c>
      <c r="BA100" s="1">
        <v>27.945</v>
      </c>
      <c r="BB100" s="1">
        <v>370.11599999999999</v>
      </c>
      <c r="BC100" s="1">
        <v>14.283000000000001</v>
      </c>
      <c r="BD100" s="1">
        <v>6483.2400000000007</v>
      </c>
      <c r="BE100" s="1">
        <v>130.41</v>
      </c>
      <c r="BF100" s="1">
        <v>11.799000000000001</v>
      </c>
      <c r="BG100" s="1">
        <v>7.4519999999999991</v>
      </c>
      <c r="BH100" s="1">
        <f t="shared" si="30"/>
        <v>549.47368421052636</v>
      </c>
      <c r="BI100" s="1">
        <f t="shared" si="31"/>
        <v>347.21197221779164</v>
      </c>
    </row>
    <row r="101" spans="1:61" x14ac:dyDescent="0.2">
      <c r="A101" t="s">
        <v>587</v>
      </c>
      <c r="B101" t="s">
        <v>38</v>
      </c>
      <c r="C101" t="s">
        <v>588</v>
      </c>
      <c r="D101" t="s">
        <v>589</v>
      </c>
      <c r="E101">
        <v>10175</v>
      </c>
      <c r="F101">
        <v>53058</v>
      </c>
      <c r="G101" t="s">
        <v>589</v>
      </c>
      <c r="H101" s="1">
        <v>609</v>
      </c>
      <c r="I101" s="1">
        <v>532</v>
      </c>
      <c r="J101" s="11">
        <v>2.6689999999999998E-2</v>
      </c>
      <c r="K101" s="11">
        <f t="shared" ca="1" si="24"/>
        <v>7.5930391807233551E-4</v>
      </c>
      <c r="L101" s="8">
        <v>4.1380000000000002E-3</v>
      </c>
      <c r="M101" s="8">
        <f t="shared" ca="1" si="25"/>
        <v>9.9369097812146813E-5</v>
      </c>
      <c r="N101" s="8">
        <v>0.37769999999999998</v>
      </c>
      <c r="O101" s="9">
        <v>241.6626</v>
      </c>
      <c r="P101" s="9">
        <f t="shared" ca="1" si="26"/>
        <v>5.8032374069669075</v>
      </c>
      <c r="Q101" s="10">
        <v>4.6600000000000003E-2</v>
      </c>
      <c r="R101" s="10">
        <f t="shared" ca="1" si="27"/>
        <v>1.366976225104153E-3</v>
      </c>
      <c r="S101" s="9">
        <f t="shared" si="28"/>
        <v>0.48251624719123742</v>
      </c>
      <c r="T101" s="12">
        <v>1.3669999999999999E-3</v>
      </c>
      <c r="U101" s="12">
        <f t="shared" ca="1" si="29"/>
        <v>4.058910691306228E-5</v>
      </c>
      <c r="V101" s="6" t="e">
        <f ca="1">IF(agePb6U8(1/O101)&lt;1400,age7corr(1/O101,Q101,$W$2),agePb76(Q101))</f>
        <v>#NAME?</v>
      </c>
      <c r="W101" s="6" t="e">
        <f ca="1">IF(agePb6U8(1/O101)&lt;1400,ageer7corr(V101,1/O101,P101/O101*(1/O101),Q101,R101,$W$2,0.05),ageerPb76(Q101,R101))</f>
        <v>#NAME?</v>
      </c>
      <c r="X101" s="4" t="e">
        <f ca="1">agePb6U8(L101)/agePb7u5(J101)</f>
        <v>#NAME?</v>
      </c>
      <c r="Z101" s="1">
        <v>2.6689999999999998E-2</v>
      </c>
      <c r="AA101" s="1">
        <v>5.4000000000000001E-4</v>
      </c>
      <c r="AB101" s="1">
        <v>4.1380000000000002E-3</v>
      </c>
      <c r="AC101" s="1">
        <v>5.5000000000000002E-5</v>
      </c>
      <c r="AD101" s="1">
        <v>0.37769999999999998</v>
      </c>
      <c r="AE101" s="1">
        <v>241.6626</v>
      </c>
      <c r="AF101" s="1">
        <v>3.212046</v>
      </c>
      <c r="AG101" s="1">
        <v>4.6600000000000003E-2</v>
      </c>
      <c r="AH101" s="1">
        <v>1E-3</v>
      </c>
      <c r="AI101" s="1">
        <v>0.51461000000000001</v>
      </c>
      <c r="AJ101" s="1">
        <v>1.3669999999999999E-3</v>
      </c>
      <c r="AK101" s="1">
        <v>3.0000000000000001E-5</v>
      </c>
      <c r="AL101" s="1">
        <v>3.625</v>
      </c>
      <c r="AM101" s="1">
        <v>3.6999999999999998E-2</v>
      </c>
      <c r="AN101" s="1">
        <v>26.75</v>
      </c>
      <c r="AO101" s="1">
        <v>0.53</v>
      </c>
      <c r="AP101" s="1">
        <v>26.62</v>
      </c>
      <c r="AQ101" s="1">
        <v>0.35</v>
      </c>
      <c r="AR101" s="1">
        <v>27.6</v>
      </c>
      <c r="AS101" s="1">
        <v>0.6</v>
      </c>
      <c r="AT101" s="1">
        <v>37</v>
      </c>
      <c r="AU101" s="1">
        <v>47</v>
      </c>
      <c r="AV101" s="1">
        <v>129.30000000000001</v>
      </c>
      <c r="AW101" s="1">
        <v>2.4</v>
      </c>
      <c r="AX101" s="1">
        <v>40.64</v>
      </c>
      <c r="AY101" s="1">
        <v>0.76999999999999991</v>
      </c>
      <c r="AZ101" s="1">
        <v>4626.45</v>
      </c>
      <c r="BA101" s="1">
        <v>117.99</v>
      </c>
      <c r="BB101" s="1">
        <v>959.44500000000005</v>
      </c>
      <c r="BC101" s="1">
        <v>26.082000000000001</v>
      </c>
      <c r="BD101" s="1">
        <v>20815.919999999998</v>
      </c>
      <c r="BE101" s="1">
        <v>459.54</v>
      </c>
      <c r="BF101" s="1">
        <v>7.4519999999999991</v>
      </c>
      <c r="BG101" s="1">
        <v>6.8310000000000004</v>
      </c>
      <c r="BH101" s="1">
        <f t="shared" si="30"/>
        <v>2793.3333333333335</v>
      </c>
      <c r="BI101" s="1">
        <f t="shared" si="31"/>
        <v>2561.2980168001145</v>
      </c>
    </row>
    <row r="102" spans="1:61" x14ac:dyDescent="0.2">
      <c r="A102" t="s">
        <v>851</v>
      </c>
      <c r="B102" t="s">
        <v>38</v>
      </c>
      <c r="C102" t="s">
        <v>852</v>
      </c>
      <c r="D102" t="s">
        <v>853</v>
      </c>
      <c r="E102">
        <v>10858</v>
      </c>
      <c r="F102">
        <v>46614</v>
      </c>
      <c r="G102" t="s">
        <v>853</v>
      </c>
      <c r="H102" s="1">
        <v>304.8</v>
      </c>
      <c r="I102" s="1">
        <v>194.8</v>
      </c>
      <c r="J102" s="11">
        <v>3.5799999999999998E-2</v>
      </c>
      <c r="K102" s="11">
        <f t="shared" ca="1" si="24"/>
        <v>2.4088702746308281E-3</v>
      </c>
      <c r="L102" s="8">
        <v>4.1790000000000004E-3</v>
      </c>
      <c r="M102" s="8">
        <f t="shared" ca="1" si="25"/>
        <v>9.5402392003555151E-5</v>
      </c>
      <c r="N102" s="8">
        <v>0.75821000000000005</v>
      </c>
      <c r="O102" s="9">
        <v>239.29169999999999</v>
      </c>
      <c r="P102" s="9">
        <f t="shared" ca="1" si="26"/>
        <v>5.4627903847586898</v>
      </c>
      <c r="Q102" s="10">
        <v>6.2E-2</v>
      </c>
      <c r="R102" s="10">
        <f t="shared" ca="1" si="27"/>
        <v>3.9022557578918377E-3</v>
      </c>
      <c r="S102" s="9">
        <f t="shared" si="28"/>
        <v>0.29598659820821949</v>
      </c>
      <c r="T102" s="12">
        <v>1.5020000000000001E-3</v>
      </c>
      <c r="U102" s="12">
        <f t="shared" ca="1" si="29"/>
        <v>5.5779939046219828E-5</v>
      </c>
      <c r="V102" s="6" t="e">
        <f ca="1">IF(agePb6U8(1/O102)&lt;1400,age7corr(1/O102,Q102,$W$2),agePb76(Q102))</f>
        <v>#NAME?</v>
      </c>
      <c r="W102" s="6" t="e">
        <f ca="1">IF(agePb6U8(1/O102)&lt;1400,ageer7corr(V102,1/O102,P102/O102*(1/O102),Q102,R102,$W$2,0.05),ageerPb76(Q102,R102))</f>
        <v>#NAME?</v>
      </c>
      <c r="X102" s="4" t="e">
        <f ca="1">agePb6U8(L102)/agePb7u5(J102)</f>
        <v>#NAME?</v>
      </c>
      <c r="Z102" s="1">
        <v>3.5799999999999998E-2</v>
      </c>
      <c r="AA102" s="1">
        <v>2.3E-3</v>
      </c>
      <c r="AB102" s="1">
        <v>4.1790000000000004E-3</v>
      </c>
      <c r="AC102" s="1">
        <v>4.6E-5</v>
      </c>
      <c r="AD102" s="1">
        <v>0.75821000000000005</v>
      </c>
      <c r="AE102" s="1">
        <v>239.29169999999999</v>
      </c>
      <c r="AF102" s="1">
        <v>2.6339839999999999</v>
      </c>
      <c r="AG102" s="1">
        <v>6.2E-2</v>
      </c>
      <c r="AH102" s="1">
        <v>3.7000000000000002E-3</v>
      </c>
      <c r="AI102" s="1">
        <v>-0.68728</v>
      </c>
      <c r="AJ102" s="1">
        <v>1.5020000000000001E-3</v>
      </c>
      <c r="AK102" s="1">
        <v>4.6999999999999997E-5</v>
      </c>
      <c r="AL102" s="1">
        <v>4.59</v>
      </c>
      <c r="AM102" s="1">
        <v>0.18</v>
      </c>
      <c r="AN102" s="1">
        <v>35.700000000000003</v>
      </c>
      <c r="AO102" s="1">
        <v>2.2999999999999998</v>
      </c>
      <c r="AP102" s="1">
        <v>26.89</v>
      </c>
      <c r="AQ102" s="1">
        <v>0.28999999999999998</v>
      </c>
      <c r="AR102" s="1">
        <v>30.34</v>
      </c>
      <c r="AS102" s="1">
        <v>0.94</v>
      </c>
      <c r="AT102" s="1">
        <v>650</v>
      </c>
      <c r="AU102" s="1">
        <v>120</v>
      </c>
      <c r="AV102" s="1">
        <v>64.100000000000009</v>
      </c>
      <c r="AW102" s="1">
        <v>1.6</v>
      </c>
      <c r="AX102" s="1">
        <v>14.78</v>
      </c>
      <c r="AY102" s="1">
        <v>0.41</v>
      </c>
      <c r="AZ102" s="1">
        <v>1831.9499999999998</v>
      </c>
      <c r="BA102" s="1">
        <v>74.52</v>
      </c>
      <c r="BB102" s="1">
        <v>629.69399999999996</v>
      </c>
      <c r="BC102" s="1">
        <v>37.26</v>
      </c>
      <c r="BD102" s="1">
        <v>10352.070000000002</v>
      </c>
      <c r="BE102" s="1">
        <v>273.24</v>
      </c>
      <c r="BF102" s="1">
        <v>13.041</v>
      </c>
      <c r="BG102" s="1">
        <v>6.8310000000000004</v>
      </c>
      <c r="BH102" s="1">
        <f t="shared" si="30"/>
        <v>793.80952380952385</v>
      </c>
      <c r="BI102" s="1">
        <f t="shared" si="31"/>
        <v>416.33254840798725</v>
      </c>
    </row>
    <row r="103" spans="1:61" x14ac:dyDescent="0.2">
      <c r="A103" t="s">
        <v>854</v>
      </c>
      <c r="B103" t="s">
        <v>38</v>
      </c>
      <c r="C103" t="s">
        <v>855</v>
      </c>
      <c r="D103" t="s">
        <v>856</v>
      </c>
      <c r="E103">
        <v>10959</v>
      </c>
      <c r="F103">
        <v>46845</v>
      </c>
      <c r="G103" t="s">
        <v>856</v>
      </c>
      <c r="H103" s="1">
        <v>569</v>
      </c>
      <c r="I103" s="1">
        <v>396</v>
      </c>
      <c r="J103" s="11">
        <v>2.6800000000000001E-2</v>
      </c>
      <c r="K103" s="11">
        <f t="shared" ca="1" si="24"/>
        <v>8.5801864781600179E-4</v>
      </c>
      <c r="L103" s="8">
        <v>4.2059999999999997E-3</v>
      </c>
      <c r="M103" s="8">
        <f t="shared" ca="1" si="25"/>
        <v>8.8978505269531239E-5</v>
      </c>
      <c r="N103" s="8">
        <v>0.28866999999999998</v>
      </c>
      <c r="O103" s="9">
        <v>237.75559999999999</v>
      </c>
      <c r="P103" s="9">
        <f t="shared" ca="1" si="26"/>
        <v>5.0297522540339896</v>
      </c>
      <c r="Q103" s="10">
        <v>4.6100000000000002E-2</v>
      </c>
      <c r="R103" s="10">
        <f t="shared" ca="1" si="27"/>
        <v>1.4352992719290289E-3</v>
      </c>
      <c r="S103" s="9">
        <f t="shared" si="28"/>
        <v>0.47684160752567706</v>
      </c>
      <c r="T103" s="12">
        <v>1.3849999999999999E-3</v>
      </c>
      <c r="U103" s="12">
        <f t="shared" ca="1" si="29"/>
        <v>3.731340241789805E-5</v>
      </c>
      <c r="V103" s="6" t="e">
        <f ca="1">IF(agePb6U8(1/O103)&lt;1400,age7corr(1/O103,Q103,$W$2),agePb76(Q103))</f>
        <v>#NAME?</v>
      </c>
      <c r="W103" s="6" t="e">
        <f ca="1">IF(agePb6U8(1/O103)&lt;1400,ageer7corr(V103,1/O103,P103/O103*(1/O103),Q103,R103,$W$2,0.05),ageerPb76(Q103,R103))</f>
        <v>#NAME?</v>
      </c>
      <c r="X103" s="4" t="e">
        <f ca="1">agePb6U8(L103)/agePb7u5(J103)</f>
        <v>#NAME?</v>
      </c>
      <c r="Z103" s="1">
        <v>2.6800000000000001E-2</v>
      </c>
      <c r="AA103" s="1">
        <v>6.7000000000000002E-4</v>
      </c>
      <c r="AB103" s="1">
        <v>4.2059999999999997E-3</v>
      </c>
      <c r="AC103" s="1">
        <v>2.9E-5</v>
      </c>
      <c r="AD103" s="1">
        <v>0.28866999999999998</v>
      </c>
      <c r="AE103" s="1">
        <v>237.75559999999999</v>
      </c>
      <c r="AF103" s="1">
        <v>1.6393040000000001</v>
      </c>
      <c r="AG103" s="1">
        <v>4.6100000000000002E-2</v>
      </c>
      <c r="AH103" s="1">
        <v>1.1000000000000001E-3</v>
      </c>
      <c r="AI103" s="1">
        <v>6.7094000000000001E-2</v>
      </c>
      <c r="AJ103" s="1">
        <v>1.3849999999999999E-3</v>
      </c>
      <c r="AK103" s="1">
        <v>2.5000000000000001E-5</v>
      </c>
      <c r="AL103" s="1">
        <v>4.5590000000000002</v>
      </c>
      <c r="AM103" s="1">
        <v>4.4999999999999998E-2</v>
      </c>
      <c r="AN103" s="1">
        <v>26.86</v>
      </c>
      <c r="AO103" s="1">
        <v>0.67</v>
      </c>
      <c r="AP103" s="1">
        <v>27.06</v>
      </c>
      <c r="AQ103" s="1">
        <v>0.19</v>
      </c>
      <c r="AR103" s="1">
        <v>27.97</v>
      </c>
      <c r="AS103" s="1">
        <v>0.5</v>
      </c>
      <c r="AT103" s="1">
        <v>16</v>
      </c>
      <c r="AU103" s="1">
        <v>47</v>
      </c>
      <c r="AV103" s="1">
        <v>119.8</v>
      </c>
      <c r="AW103" s="1">
        <v>7.6</v>
      </c>
      <c r="AX103" s="1">
        <v>30.099999999999998</v>
      </c>
      <c r="AY103" s="1">
        <v>2.2000000000000002</v>
      </c>
      <c r="AZ103" s="1">
        <v>3390.66</v>
      </c>
      <c r="BA103" s="1">
        <v>217.35</v>
      </c>
      <c r="BB103" s="1">
        <v>863.19</v>
      </c>
      <c r="BC103" s="1">
        <v>50.921999999999997</v>
      </c>
      <c r="BD103" s="1">
        <v>19126.8</v>
      </c>
      <c r="BE103" s="1">
        <v>1117.8000000000002</v>
      </c>
      <c r="BF103" s="1">
        <v>-4.3470000000000004</v>
      </c>
      <c r="BG103" s="1">
        <v>5.5889999999999995</v>
      </c>
      <c r="BH103" s="1">
        <f t="shared" si="30"/>
        <v>-4399.9999999999991</v>
      </c>
      <c r="BI103" s="1">
        <f t="shared" si="31"/>
        <v>-5662.9839974259176</v>
      </c>
    </row>
    <row r="104" spans="1:61" x14ac:dyDescent="0.2">
      <c r="A104" t="s">
        <v>857</v>
      </c>
      <c r="B104" t="s">
        <v>38</v>
      </c>
      <c r="C104" t="s">
        <v>858</v>
      </c>
      <c r="D104" t="s">
        <v>859</v>
      </c>
      <c r="E104">
        <v>10822</v>
      </c>
      <c r="F104">
        <v>48181</v>
      </c>
      <c r="G104" t="s">
        <v>859</v>
      </c>
      <c r="H104" s="1">
        <v>411.6</v>
      </c>
      <c r="I104" s="1">
        <v>430</v>
      </c>
      <c r="J104" s="11">
        <v>3.3300000000000003E-2</v>
      </c>
      <c r="K104" s="11">
        <f t="shared" ca="1" si="24"/>
        <v>2.2030787548337895E-3</v>
      </c>
      <c r="L104" s="8">
        <v>4.2719999999999998E-3</v>
      </c>
      <c r="M104" s="8">
        <f t="shared" ca="1" si="25"/>
        <v>1.1773272102521031E-4</v>
      </c>
      <c r="N104" s="8">
        <v>0.86912999999999996</v>
      </c>
      <c r="O104" s="9">
        <v>234.08240000000001</v>
      </c>
      <c r="P104" s="9">
        <f t="shared" ca="1" si="26"/>
        <v>6.451113662423257</v>
      </c>
      <c r="Q104" s="10">
        <v>5.62E-2</v>
      </c>
      <c r="R104" s="10">
        <f t="shared" ca="1" si="27"/>
        <v>2.9246155302876994E-3</v>
      </c>
      <c r="S104" s="9">
        <f t="shared" si="28"/>
        <v>0.28083723193220372</v>
      </c>
      <c r="T104" s="12">
        <v>1.5449999999999999E-3</v>
      </c>
      <c r="U104" s="12">
        <f t="shared" ca="1" si="29"/>
        <v>6.4836795108950292E-5</v>
      </c>
      <c r="V104" s="6" t="e">
        <f ca="1">IF(agePb6U8(1/O104)&lt;1400,age7corr(1/O104,Q104,$W$2),agePb76(Q104))</f>
        <v>#NAME?</v>
      </c>
      <c r="W104" s="6" t="e">
        <f ca="1">IF(agePb6U8(1/O104)&lt;1400,ageer7corr(V104,1/O104,P104/O104*(1/O104),Q104,R104,$W$2,0.05),ageerPb76(Q104,R104))</f>
        <v>#NAME?</v>
      </c>
      <c r="X104" s="4" t="e">
        <f ca="1">agePb6U8(L104)/agePb7u5(J104)</f>
        <v>#NAME?</v>
      </c>
      <c r="Z104" s="1">
        <v>3.3300000000000003E-2</v>
      </c>
      <c r="AA104" s="1">
        <v>2.0999999999999999E-3</v>
      </c>
      <c r="AB104" s="1">
        <v>4.2719999999999998E-3</v>
      </c>
      <c r="AC104" s="1">
        <v>8.1000000000000004E-5</v>
      </c>
      <c r="AD104" s="1">
        <v>0.86912999999999996</v>
      </c>
      <c r="AE104" s="1">
        <v>234.08240000000001</v>
      </c>
      <c r="AF104" s="1">
        <v>4.4383600000000003</v>
      </c>
      <c r="AG104" s="1">
        <v>5.62E-2</v>
      </c>
      <c r="AH104" s="1">
        <v>2.7000000000000001E-3</v>
      </c>
      <c r="AI104" s="1">
        <v>-0.76395999999999997</v>
      </c>
      <c r="AJ104" s="1">
        <v>1.5449999999999999E-3</v>
      </c>
      <c r="AK104" s="1">
        <v>5.7000000000000003E-5</v>
      </c>
      <c r="AL104" s="1">
        <v>2.871</v>
      </c>
      <c r="AM104" s="1">
        <v>5.0999999999999997E-2</v>
      </c>
      <c r="AN104" s="1">
        <v>33.200000000000003</v>
      </c>
      <c r="AO104" s="1">
        <v>2</v>
      </c>
      <c r="AP104" s="1">
        <v>27.48</v>
      </c>
      <c r="AQ104" s="1">
        <v>0.52</v>
      </c>
      <c r="AR104" s="1">
        <v>31.2</v>
      </c>
      <c r="AS104" s="1">
        <v>1.1000000000000001</v>
      </c>
      <c r="AT104" s="1">
        <v>450</v>
      </c>
      <c r="AU104" s="1">
        <v>100</v>
      </c>
      <c r="AV104" s="1">
        <v>86.6</v>
      </c>
      <c r="AW104" s="1">
        <v>1.9</v>
      </c>
      <c r="AX104" s="1">
        <v>32.599999999999994</v>
      </c>
      <c r="AY104" s="1">
        <v>1.2</v>
      </c>
      <c r="AZ104" s="1">
        <v>4073.7599999999993</v>
      </c>
      <c r="BA104" s="1">
        <v>130.41</v>
      </c>
      <c r="BB104" s="1">
        <v>811.02600000000007</v>
      </c>
      <c r="BC104" s="1">
        <v>50.300999999999995</v>
      </c>
      <c r="BD104" s="1">
        <v>14413.41</v>
      </c>
      <c r="BE104" s="1">
        <v>360.18</v>
      </c>
      <c r="BF104" s="1">
        <v>9.9359999999999999</v>
      </c>
      <c r="BG104" s="1">
        <v>7.4519999999999991</v>
      </c>
      <c r="BH104" s="1">
        <f t="shared" si="30"/>
        <v>1450.625</v>
      </c>
      <c r="BI104" s="1">
        <f t="shared" si="31"/>
        <v>1088.5724888479233</v>
      </c>
    </row>
    <row r="105" spans="1:61" x14ac:dyDescent="0.2">
      <c r="A105" t="s">
        <v>860</v>
      </c>
      <c r="B105" t="s">
        <v>38</v>
      </c>
      <c r="C105" t="s">
        <v>861</v>
      </c>
      <c r="D105" t="s">
        <v>862</v>
      </c>
      <c r="E105">
        <v>10949</v>
      </c>
      <c r="F105">
        <v>48596</v>
      </c>
      <c r="G105" t="s">
        <v>862</v>
      </c>
      <c r="H105" s="1">
        <v>183.8</v>
      </c>
      <c r="I105" s="1">
        <v>88.5</v>
      </c>
      <c r="J105" s="11">
        <v>4.7899999999999998E-2</v>
      </c>
      <c r="K105" s="11">
        <f t="shared" ca="1" si="24"/>
        <v>3.6287413795970638E-3</v>
      </c>
      <c r="L105" s="8">
        <v>4.5700000000000003E-3</v>
      </c>
      <c r="M105" s="8">
        <f t="shared" ca="1" si="25"/>
        <v>1.354767876796612E-4</v>
      </c>
      <c r="N105" s="8">
        <v>0.76419000000000004</v>
      </c>
      <c r="O105" s="9">
        <v>218.8184</v>
      </c>
      <c r="P105" s="9">
        <f t="shared" ca="1" si="26"/>
        <v>6.4868295908963107</v>
      </c>
      <c r="Q105" s="10">
        <v>7.5499999999999998E-2</v>
      </c>
      <c r="R105" s="10">
        <f t="shared" ca="1" si="27"/>
        <v>5.0319081867617578E-3</v>
      </c>
      <c r="S105" s="9">
        <f t="shared" si="28"/>
        <v>0.22231075413890022</v>
      </c>
      <c r="T105" s="12">
        <v>2.4099999999999998E-3</v>
      </c>
      <c r="U105" s="12">
        <f t="shared" ca="1" si="29"/>
        <v>1.4806498573261673E-4</v>
      </c>
      <c r="V105" s="6" t="e">
        <f ca="1">IF(agePb6U8(1/O105)&lt;1400,age7corr(1/O105,Q105,$W$2),agePb76(Q105))</f>
        <v>#NAME?</v>
      </c>
      <c r="W105" s="6" t="e">
        <f ca="1">IF(agePb6U8(1/O105)&lt;1400,ageer7corr(V105,1/O105,P105/O105*(1/O105),Q105,R105,$W$2,0.05),ageerPb76(Q105,R105))</f>
        <v>#NAME?</v>
      </c>
      <c r="X105" s="4" t="e">
        <f ca="1">agePb6U8(L105)/agePb7u5(J105)</f>
        <v>#NAME?</v>
      </c>
      <c r="Z105" s="1">
        <v>4.7899999999999998E-2</v>
      </c>
      <c r="AA105" s="1">
        <v>3.5000000000000001E-3</v>
      </c>
      <c r="AB105" s="1">
        <v>4.5700000000000003E-3</v>
      </c>
      <c r="AC105" s="1">
        <v>1E-4</v>
      </c>
      <c r="AD105" s="1">
        <v>0.76419000000000004</v>
      </c>
      <c r="AE105" s="1">
        <v>218.8184</v>
      </c>
      <c r="AF105" s="1">
        <v>4.7881479999999996</v>
      </c>
      <c r="AG105" s="1">
        <v>7.5499999999999998E-2</v>
      </c>
      <c r="AH105" s="1">
        <v>4.7999999999999996E-3</v>
      </c>
      <c r="AI105" s="1">
        <v>-0.60701000000000005</v>
      </c>
      <c r="AJ105" s="1">
        <v>2.4099999999999998E-3</v>
      </c>
      <c r="AK105" s="1">
        <v>1.3999999999999999E-4</v>
      </c>
      <c r="AL105" s="1">
        <v>4.18</v>
      </c>
      <c r="AM105" s="1">
        <v>0.2</v>
      </c>
      <c r="AN105" s="1">
        <v>47.5</v>
      </c>
      <c r="AO105" s="1">
        <v>3.4</v>
      </c>
      <c r="AP105" s="1">
        <v>29.42</v>
      </c>
      <c r="AQ105" s="1">
        <v>0.65</v>
      </c>
      <c r="AR105" s="1">
        <v>48.7</v>
      </c>
      <c r="AS105" s="1">
        <v>2.8</v>
      </c>
      <c r="AT105" s="1">
        <v>1060</v>
      </c>
      <c r="AU105" s="1">
        <v>130</v>
      </c>
      <c r="AV105" s="1">
        <v>38.67</v>
      </c>
      <c r="AW105" s="1">
        <v>0.99</v>
      </c>
      <c r="AX105" s="1">
        <v>6.71</v>
      </c>
      <c r="AY105" s="1">
        <v>0.15</v>
      </c>
      <c r="AZ105" s="1">
        <v>1372.4099999999999</v>
      </c>
      <c r="BA105" s="1">
        <v>86.94</v>
      </c>
      <c r="BB105" s="1">
        <v>488.72699999999992</v>
      </c>
      <c r="BC105" s="1">
        <v>38.502000000000002</v>
      </c>
      <c r="BD105" s="1">
        <v>6948.99</v>
      </c>
      <c r="BE105" s="1">
        <v>180.09</v>
      </c>
      <c r="BF105" s="1">
        <v>19.872</v>
      </c>
      <c r="BG105" s="1">
        <v>8.0729999999999986</v>
      </c>
      <c r="BH105" s="1">
        <f t="shared" si="30"/>
        <v>349.6875</v>
      </c>
      <c r="BI105" s="1">
        <f t="shared" si="31"/>
        <v>142.34931641800767</v>
      </c>
    </row>
    <row r="106" spans="1:61" x14ac:dyDescent="0.2">
      <c r="A106" t="s">
        <v>863</v>
      </c>
      <c r="B106" t="s">
        <v>38</v>
      </c>
      <c r="C106" t="s">
        <v>864</v>
      </c>
      <c r="D106" t="s">
        <v>865</v>
      </c>
      <c r="E106">
        <v>11013</v>
      </c>
      <c r="F106">
        <v>48968</v>
      </c>
      <c r="G106" t="s">
        <v>865</v>
      </c>
      <c r="H106" s="1">
        <v>266</v>
      </c>
      <c r="I106" s="1">
        <v>131.19999999999999</v>
      </c>
      <c r="J106" s="11">
        <v>3.1600000000000003E-2</v>
      </c>
      <c r="K106" s="11">
        <f t="shared" ca="1" si="24"/>
        <v>1.6277051330016749E-3</v>
      </c>
      <c r="L106" s="8">
        <v>4.6100000000000004E-3</v>
      </c>
      <c r="M106" s="8">
        <f t="shared" ca="1" si="25"/>
        <v>1.8466412753970383E-4</v>
      </c>
      <c r="N106" s="8">
        <v>0.48565999999999998</v>
      </c>
      <c r="O106" s="9">
        <v>216.91970000000001</v>
      </c>
      <c r="P106" s="9">
        <f t="shared" ca="1" si="26"/>
        <v>8.6892177066442517</v>
      </c>
      <c r="Q106" s="10">
        <v>5.0099999999999999E-2</v>
      </c>
      <c r="R106" s="10">
        <f t="shared" ca="1" si="27"/>
        <v>2.1480232773412864E-3</v>
      </c>
      <c r="S106" s="9">
        <f t="shared" si="28"/>
        <v>0.35758449657932795</v>
      </c>
      <c r="T106" s="12">
        <v>2.0110000000000002E-3</v>
      </c>
      <c r="U106" s="12">
        <f t="shared" ca="1" si="29"/>
        <v>8.5103750798657513E-5</v>
      </c>
      <c r="V106" s="6" t="e">
        <f ca="1">IF(agePb6U8(1/O106)&lt;1400,age7corr(1/O106,Q106,$W$2),agePb76(Q106))</f>
        <v>#NAME?</v>
      </c>
      <c r="W106" s="6" t="e">
        <f ca="1">IF(agePb6U8(1/O106)&lt;1400,ageer7corr(V106,1/O106,P106/O106*(1/O106),Q106,R106,$W$2,0.05),ageerPb76(Q106,R106))</f>
        <v>#NAME?</v>
      </c>
      <c r="X106" s="4" t="e">
        <f ca="1">agePb6U8(L106)/agePb7u5(J106)</f>
        <v>#NAME?</v>
      </c>
      <c r="Z106" s="1">
        <v>3.1600000000000003E-2</v>
      </c>
      <c r="AA106" s="1">
        <v>1.5E-3</v>
      </c>
      <c r="AB106" s="1">
        <v>4.6100000000000004E-3</v>
      </c>
      <c r="AC106" s="1">
        <v>1.6000000000000001E-4</v>
      </c>
      <c r="AD106" s="1">
        <v>0.48565999999999998</v>
      </c>
      <c r="AE106" s="1">
        <v>216.91970000000001</v>
      </c>
      <c r="AF106" s="1">
        <v>7.5286679999999997</v>
      </c>
      <c r="AG106" s="1">
        <v>5.0099999999999999E-2</v>
      </c>
      <c r="AH106" s="1">
        <v>1.9E-3</v>
      </c>
      <c r="AI106" s="1">
        <v>0.18814</v>
      </c>
      <c r="AJ106" s="1">
        <v>2.0110000000000002E-3</v>
      </c>
      <c r="AK106" s="1">
        <v>7.4999999999999993E-5</v>
      </c>
      <c r="AL106" s="1">
        <v>4.8380000000000001</v>
      </c>
      <c r="AM106" s="1">
        <v>8.2000000000000003E-2</v>
      </c>
      <c r="AN106" s="1">
        <v>31.5</v>
      </c>
      <c r="AO106" s="1">
        <v>1.5</v>
      </c>
      <c r="AP106" s="1">
        <v>29.7</v>
      </c>
      <c r="AQ106" s="1">
        <v>1</v>
      </c>
      <c r="AR106" s="1">
        <v>40.6</v>
      </c>
      <c r="AS106" s="1">
        <v>1.5</v>
      </c>
      <c r="AT106" s="1">
        <v>195</v>
      </c>
      <c r="AU106" s="1">
        <v>84</v>
      </c>
      <c r="AV106" s="1">
        <v>55.9</v>
      </c>
      <c r="AW106" s="1">
        <v>2.4</v>
      </c>
      <c r="AX106" s="1">
        <v>9.94</v>
      </c>
      <c r="AY106" s="1">
        <v>0.15</v>
      </c>
      <c r="AZ106" s="1">
        <v>1651.86</v>
      </c>
      <c r="BA106" s="1">
        <v>68.31</v>
      </c>
      <c r="BB106" s="1">
        <v>476.92799999999994</v>
      </c>
      <c r="BC106" s="1">
        <v>29.186999999999998</v>
      </c>
      <c r="BD106" s="1">
        <v>9954.6299999999992</v>
      </c>
      <c r="BE106" s="1">
        <v>385.02</v>
      </c>
      <c r="BF106" s="1">
        <v>3.7259999999999995</v>
      </c>
      <c r="BG106" s="1">
        <v>5.0301</v>
      </c>
      <c r="BH106" s="1">
        <f t="shared" si="30"/>
        <v>2671.666666666667</v>
      </c>
      <c r="BI106" s="1">
        <f t="shared" si="31"/>
        <v>3608.2299455935154</v>
      </c>
    </row>
    <row r="107" spans="1:61" s="24" customFormat="1" x14ac:dyDescent="0.2">
      <c r="A107" s="24" t="s">
        <v>866</v>
      </c>
      <c r="B107" s="24" t="s">
        <v>38</v>
      </c>
      <c r="C107" s="24" t="s">
        <v>867</v>
      </c>
      <c r="D107" s="24" t="s">
        <v>868</v>
      </c>
      <c r="E107" s="24">
        <v>10956</v>
      </c>
      <c r="F107" s="24">
        <v>49195</v>
      </c>
      <c r="G107" s="24" t="s">
        <v>868</v>
      </c>
      <c r="H107" s="25">
        <v>472</v>
      </c>
      <c r="I107" s="25">
        <v>336</v>
      </c>
      <c r="J107" s="26">
        <v>3.44E-2</v>
      </c>
      <c r="K107" s="26">
        <f t="shared" ca="1" si="24"/>
        <v>1.9270038920562668E-3</v>
      </c>
      <c r="L107" s="27">
        <v>4.3699999999999998E-3</v>
      </c>
      <c r="M107" s="27">
        <f t="shared" ca="1" si="25"/>
        <v>1.6504169170243014E-4</v>
      </c>
      <c r="N107" s="27">
        <v>0.86233000000000004</v>
      </c>
      <c r="O107" s="27">
        <v>228.833</v>
      </c>
      <c r="P107" s="27">
        <f t="shared" ca="1" si="26"/>
        <v>8.6423296397839966</v>
      </c>
      <c r="Q107" s="26">
        <v>5.7000000000000002E-2</v>
      </c>
      <c r="R107" s="26">
        <f t="shared" ca="1" si="27"/>
        <v>2.0468512403201164E-3</v>
      </c>
      <c r="S107" s="27">
        <f t="shared" si="28"/>
        <v>0.42682557548313205</v>
      </c>
      <c r="T107" s="26">
        <v>1.0640000000000001E-3</v>
      </c>
      <c r="U107" s="26">
        <f t="shared" ca="1" si="29"/>
        <v>3.6780951591822637E-5</v>
      </c>
      <c r="V107" s="25" t="e">
        <f ca="1">IF(agePb6U8(1/O107)&lt;1400,age7corr(1/O107,Q107,$W$2),agePb76(Q107))</f>
        <v>#NAME?</v>
      </c>
      <c r="W107" s="25" t="e">
        <f ca="1">IF(agePb6U8(1/O107)&lt;1400,ageer7corr(V107,1/O107,P107/O107*(1/O107),Q107,R107,$W$2,0.05),ageerPb76(Q107,R107))</f>
        <v>#NAME?</v>
      </c>
      <c r="X107" s="27" t="e">
        <f ca="1">agePb6U8(L107)/agePb7u5(J107)</f>
        <v>#NAME?</v>
      </c>
      <c r="Y107" s="25"/>
      <c r="Z107" s="25">
        <v>3.44E-2</v>
      </c>
      <c r="AA107" s="25">
        <v>1.8E-3</v>
      </c>
      <c r="AB107" s="25">
        <v>4.3699999999999998E-3</v>
      </c>
      <c r="AC107" s="25">
        <v>1.3999999999999999E-4</v>
      </c>
      <c r="AD107" s="25">
        <v>0.86233000000000004</v>
      </c>
      <c r="AE107" s="25">
        <v>228.833</v>
      </c>
      <c r="AF107" s="25">
        <v>7.3310329999999997</v>
      </c>
      <c r="AG107" s="25">
        <v>5.7000000000000002E-2</v>
      </c>
      <c r="AH107" s="25">
        <v>1.6999999999999999E-3</v>
      </c>
      <c r="AI107" s="25">
        <v>-0.54886000000000001</v>
      </c>
      <c r="AJ107" s="25">
        <v>1.0640000000000001E-3</v>
      </c>
      <c r="AK107" s="25">
        <v>3.0000000000000001E-5</v>
      </c>
      <c r="AL107" s="25">
        <v>6.28</v>
      </c>
      <c r="AM107" s="25">
        <v>0.3</v>
      </c>
      <c r="AN107" s="25">
        <v>34.299999999999997</v>
      </c>
      <c r="AO107" s="25">
        <v>1.8</v>
      </c>
      <c r="AP107" s="25">
        <v>28.14</v>
      </c>
      <c r="AQ107" s="25">
        <v>0.88</v>
      </c>
      <c r="AR107" s="25">
        <v>21.49</v>
      </c>
      <c r="AS107" s="25">
        <v>0.61</v>
      </c>
      <c r="AT107" s="25">
        <v>485</v>
      </c>
      <c r="AU107" s="25">
        <v>68</v>
      </c>
      <c r="AV107" s="25">
        <v>99.2</v>
      </c>
      <c r="AW107" s="25">
        <v>6.2</v>
      </c>
      <c r="AX107" s="25">
        <v>25.5</v>
      </c>
      <c r="AY107" s="25">
        <v>1.4</v>
      </c>
      <c r="AZ107" s="25">
        <v>2167.29</v>
      </c>
      <c r="BA107" s="25">
        <v>111.78</v>
      </c>
      <c r="BB107" s="25">
        <v>943.92</v>
      </c>
      <c r="BC107" s="25">
        <v>62.1</v>
      </c>
      <c r="BD107" s="25">
        <v>16829.099999999999</v>
      </c>
      <c r="BE107" s="25">
        <v>931.50000000000011</v>
      </c>
      <c r="BF107" s="25">
        <v>49.679999999999993</v>
      </c>
      <c r="BG107" s="25">
        <v>11.177999999999999</v>
      </c>
      <c r="BH107" s="25">
        <f t="shared" si="30"/>
        <v>338.75</v>
      </c>
      <c r="BI107" s="25">
        <f t="shared" si="31"/>
        <v>78.491148236998683</v>
      </c>
    </row>
    <row r="108" spans="1:61" x14ac:dyDescent="0.2">
      <c r="A108" t="s">
        <v>869</v>
      </c>
      <c r="B108" t="s">
        <v>38</v>
      </c>
      <c r="C108" t="s">
        <v>870</v>
      </c>
      <c r="D108" t="s">
        <v>871</v>
      </c>
      <c r="E108">
        <v>10881</v>
      </c>
      <c r="F108">
        <v>49321</v>
      </c>
      <c r="G108" t="s">
        <v>871</v>
      </c>
      <c r="H108" s="1">
        <v>1413</v>
      </c>
      <c r="I108" s="1">
        <v>819</v>
      </c>
      <c r="J108" s="11">
        <v>2.648E-2</v>
      </c>
      <c r="K108" s="11">
        <f t="shared" ca="1" si="24"/>
        <v>6.2934581908518305E-4</v>
      </c>
      <c r="L108" s="8">
        <v>4.071E-3</v>
      </c>
      <c r="M108" s="8">
        <f t="shared" ca="1" si="25"/>
        <v>8.6771057386665515E-5</v>
      </c>
      <c r="N108" s="8">
        <v>0.39662999999999998</v>
      </c>
      <c r="O108" s="9">
        <v>245.63990000000001</v>
      </c>
      <c r="P108" s="9">
        <f t="shared" ca="1" si="26"/>
        <v>5.2356753143567838</v>
      </c>
      <c r="Q108" s="10">
        <v>4.7030000000000002E-2</v>
      </c>
      <c r="R108" s="10">
        <f t="shared" ca="1" si="27"/>
        <v>1.0796427001559358E-3</v>
      </c>
      <c r="S108" s="9">
        <f t="shared" si="28"/>
        <v>0.49673947694277093</v>
      </c>
      <c r="T108" s="12">
        <v>1.428E-3</v>
      </c>
      <c r="U108" s="12">
        <f t="shared" ca="1" si="29"/>
        <v>3.430267628043037E-5</v>
      </c>
      <c r="V108" s="6" t="e">
        <f ca="1">IF(agePb6U8(1/O108)&lt;1400,age7corr(1/O108,Q108,$W$2),agePb76(Q108))</f>
        <v>#NAME?</v>
      </c>
      <c r="W108" s="6" t="e">
        <f ca="1">IF(agePb6U8(1/O108)&lt;1400,ageer7corr(V108,1/O108,P108/O108*(1/O108),Q108,R108,$W$2,0.05),ageerPb76(Q108,R108))</f>
        <v>#NAME?</v>
      </c>
      <c r="X108" s="4" t="e">
        <f ca="1">agePb6U8(L108)/agePb7u5(J108)</f>
        <v>#NAME?</v>
      </c>
      <c r="Z108" s="1">
        <v>2.648E-2</v>
      </c>
      <c r="AA108" s="1">
        <v>3.4000000000000002E-4</v>
      </c>
      <c r="AB108" s="1">
        <v>4.071E-3</v>
      </c>
      <c r="AC108" s="1">
        <v>3.0000000000000001E-5</v>
      </c>
      <c r="AD108" s="1">
        <v>0.39662999999999998</v>
      </c>
      <c r="AE108" s="1">
        <v>245.63990000000001</v>
      </c>
      <c r="AF108" s="1">
        <v>1.8101689999999999</v>
      </c>
      <c r="AG108" s="1">
        <v>4.7030000000000002E-2</v>
      </c>
      <c r="AH108" s="1">
        <v>5.2999999999999998E-4</v>
      </c>
      <c r="AI108" s="1">
        <v>0.17829999999999999</v>
      </c>
      <c r="AJ108" s="1">
        <v>1.428E-3</v>
      </c>
      <c r="AK108" s="1">
        <v>1.9000000000000001E-5</v>
      </c>
      <c r="AL108" s="1">
        <v>5.43</v>
      </c>
      <c r="AM108" s="1">
        <v>0.3</v>
      </c>
      <c r="AN108" s="1">
        <v>26.54</v>
      </c>
      <c r="AO108" s="1">
        <v>0.33</v>
      </c>
      <c r="AP108" s="1">
        <v>26.19</v>
      </c>
      <c r="AQ108" s="1">
        <v>0.19</v>
      </c>
      <c r="AR108" s="1">
        <v>28.84</v>
      </c>
      <c r="AS108" s="1">
        <v>0.39</v>
      </c>
      <c r="AT108" s="1">
        <v>52</v>
      </c>
      <c r="AU108" s="1">
        <v>25</v>
      </c>
      <c r="AV108" s="1">
        <v>297</v>
      </c>
      <c r="AW108" s="1">
        <v>13</v>
      </c>
      <c r="AX108" s="1">
        <v>62.1</v>
      </c>
      <c r="AY108" s="1">
        <v>5.6</v>
      </c>
      <c r="AZ108" s="1">
        <v>7228.4400000000005</v>
      </c>
      <c r="BA108" s="1">
        <v>571.31999999999994</v>
      </c>
      <c r="BB108" s="1">
        <v>2154.87</v>
      </c>
      <c r="BC108" s="1">
        <v>117.99</v>
      </c>
      <c r="BD108" s="1">
        <v>46947.6</v>
      </c>
      <c r="BE108" s="1">
        <v>2297.6999999999998</v>
      </c>
      <c r="BF108" s="1">
        <v>4.5332999999999997</v>
      </c>
      <c r="BG108" s="1">
        <v>5.6510999999999996</v>
      </c>
      <c r="BH108" s="1">
        <f t="shared" si="30"/>
        <v>10356.164383561645</v>
      </c>
      <c r="BI108" s="1">
        <f t="shared" si="31"/>
        <v>12919.685038215468</v>
      </c>
    </row>
    <row r="109" spans="1:61" x14ac:dyDescent="0.2">
      <c r="A109" t="s">
        <v>872</v>
      </c>
      <c r="B109" t="s">
        <v>38</v>
      </c>
      <c r="C109" t="s">
        <v>873</v>
      </c>
      <c r="D109" t="s">
        <v>874</v>
      </c>
      <c r="E109">
        <v>10770</v>
      </c>
      <c r="F109">
        <v>49487</v>
      </c>
      <c r="G109" t="s">
        <v>874</v>
      </c>
      <c r="H109" s="1">
        <v>691</v>
      </c>
      <c r="I109" s="1">
        <v>453</v>
      </c>
      <c r="J109" s="11">
        <v>2.6239999999999999E-2</v>
      </c>
      <c r="K109" s="11">
        <f t="shared" ca="1" si="24"/>
        <v>7.8218606482089673E-4</v>
      </c>
      <c r="L109" s="8">
        <v>4.0720000000000001E-3</v>
      </c>
      <c r="M109" s="8">
        <f t="shared" ca="1" si="25"/>
        <v>8.6118950295506963E-5</v>
      </c>
      <c r="N109" s="8">
        <v>0.28560000000000002</v>
      </c>
      <c r="O109" s="9">
        <v>245.5796</v>
      </c>
      <c r="P109" s="9">
        <f t="shared" ca="1" si="26"/>
        <v>5.1937762704399395</v>
      </c>
      <c r="Q109" s="10">
        <v>4.6699999999999998E-2</v>
      </c>
      <c r="R109" s="10">
        <f t="shared" ca="1" si="27"/>
        <v>1.3683406008739199E-3</v>
      </c>
      <c r="S109" s="9">
        <f t="shared" si="28"/>
        <v>0.33513076936082647</v>
      </c>
      <c r="T109" s="12">
        <v>1.387E-3</v>
      </c>
      <c r="U109" s="12">
        <f t="shared" ca="1" si="29"/>
        <v>3.4198064272704096E-5</v>
      </c>
      <c r="V109" s="6" t="e">
        <f ca="1">IF(agePb6U8(1/O109)&lt;1400,age7corr(1/O109,Q109,$W$2),agePb76(Q109))</f>
        <v>#NAME?</v>
      </c>
      <c r="W109" s="6" t="e">
        <f ca="1">IF(agePb6U8(1/O109)&lt;1400,ageer7corr(V109,1/O109,P109/O109*(1/O109),Q109,R109,$W$2,0.05),ageerPb76(Q109,R109))</f>
        <v>#NAME?</v>
      </c>
      <c r="X109" s="4" t="e">
        <f ca="1">agePb6U8(L109)/agePb7u5(J109)</f>
        <v>#NAME?</v>
      </c>
      <c r="Z109" s="1">
        <v>2.6239999999999999E-2</v>
      </c>
      <c r="AA109" s="1">
        <v>5.8E-4</v>
      </c>
      <c r="AB109" s="1">
        <v>4.0720000000000001E-3</v>
      </c>
      <c r="AC109" s="1">
        <v>2.8E-5</v>
      </c>
      <c r="AD109" s="1">
        <v>0.28560000000000002</v>
      </c>
      <c r="AE109" s="1">
        <v>245.5796</v>
      </c>
      <c r="AF109" s="1">
        <v>1.688661</v>
      </c>
      <c r="AG109" s="1">
        <v>4.6699999999999998E-2</v>
      </c>
      <c r="AH109" s="1">
        <v>1E-3</v>
      </c>
      <c r="AI109" s="1">
        <v>-3.1399999999999997E-2</v>
      </c>
      <c r="AJ109" s="1">
        <v>1.387E-3</v>
      </c>
      <c r="AK109" s="1">
        <v>2.0000000000000002E-5</v>
      </c>
      <c r="AL109" s="1">
        <v>4.5599999999999996</v>
      </c>
      <c r="AM109" s="1">
        <v>5.0999999999999997E-2</v>
      </c>
      <c r="AN109" s="1">
        <v>26.3</v>
      </c>
      <c r="AO109" s="1">
        <v>0.56999999999999995</v>
      </c>
      <c r="AP109" s="1">
        <v>26.19</v>
      </c>
      <c r="AQ109" s="1">
        <v>0.18</v>
      </c>
      <c r="AR109" s="1">
        <v>28.01</v>
      </c>
      <c r="AS109" s="1">
        <v>0.4</v>
      </c>
      <c r="AT109" s="1">
        <v>38</v>
      </c>
      <c r="AU109" s="1">
        <v>47</v>
      </c>
      <c r="AV109" s="1">
        <v>145.4</v>
      </c>
      <c r="AW109" s="1">
        <v>3.5</v>
      </c>
      <c r="AX109" s="1">
        <v>34.35</v>
      </c>
      <c r="AY109" s="1">
        <v>0.98</v>
      </c>
      <c r="AZ109" s="1">
        <v>4042.7099999999996</v>
      </c>
      <c r="BA109" s="1">
        <v>93.15</v>
      </c>
      <c r="BB109" s="1">
        <v>1052.595</v>
      </c>
      <c r="BC109" s="1">
        <v>39.744</v>
      </c>
      <c r="BD109" s="1">
        <v>22815.54</v>
      </c>
      <c r="BE109" s="1">
        <v>496.8</v>
      </c>
      <c r="BF109" s="1">
        <v>-0.74519999999999997</v>
      </c>
      <c r="BG109" s="1">
        <v>4.5332999999999997</v>
      </c>
      <c r="BH109" s="1">
        <f t="shared" si="30"/>
        <v>-30616.666666666668</v>
      </c>
      <c r="BI109" s="1">
        <f t="shared" si="31"/>
        <v>-186252.58201561816</v>
      </c>
    </row>
    <row r="110" spans="1:61" x14ac:dyDescent="0.2">
      <c r="A110" t="s">
        <v>875</v>
      </c>
      <c r="B110" t="s">
        <v>38</v>
      </c>
      <c r="C110" t="s">
        <v>876</v>
      </c>
      <c r="D110" t="s">
        <v>877</v>
      </c>
      <c r="E110">
        <v>10823</v>
      </c>
      <c r="F110">
        <v>49631</v>
      </c>
      <c r="G110" t="s">
        <v>877</v>
      </c>
      <c r="H110" s="1">
        <v>865</v>
      </c>
      <c r="I110" s="1">
        <v>859</v>
      </c>
      <c r="J110" s="11">
        <v>2.6630000000000001E-2</v>
      </c>
      <c r="K110" s="11">
        <f t="shared" ca="1" si="24"/>
        <v>6.8451644246139188E-4</v>
      </c>
      <c r="L110" s="8">
        <v>4.1720000000000004E-3</v>
      </c>
      <c r="M110" s="8">
        <f t="shared" ca="1" si="25"/>
        <v>8.9365729449269321E-5</v>
      </c>
      <c r="N110" s="8">
        <v>0.47299999999999998</v>
      </c>
      <c r="O110" s="9">
        <v>239.69319999999999</v>
      </c>
      <c r="P110" s="9">
        <f t="shared" ca="1" si="26"/>
        <v>5.1343137351155317</v>
      </c>
      <c r="Q110" s="10">
        <v>4.6080000000000003E-2</v>
      </c>
      <c r="R110" s="10">
        <f t="shared" ca="1" si="27"/>
        <v>1.0997029417074413E-3</v>
      </c>
      <c r="S110" s="9">
        <f t="shared" si="28"/>
        <v>0.4772431284222538</v>
      </c>
      <c r="T110" s="12">
        <v>1.2409999999999999E-3</v>
      </c>
      <c r="U110" s="12">
        <f t="shared" ca="1" si="29"/>
        <v>2.6758781736095534E-5</v>
      </c>
      <c r="V110" s="6" t="e">
        <f ca="1">IF(agePb6U8(1/O110)&lt;1400,age7corr(1/O110,Q110,$W$2),agePb76(Q110))</f>
        <v>#NAME?</v>
      </c>
      <c r="W110" s="6" t="e">
        <f ca="1">IF(agePb6U8(1/O110)&lt;1400,ageer7corr(V110,1/O110,P110/O110*(1/O110),Q110,R110,$W$2,0.05),ageerPb76(Q110,R110))</f>
        <v>#NAME?</v>
      </c>
      <c r="X110" s="4" t="e">
        <f ca="1">agePb6U8(L110)/agePb7u5(J110)</f>
        <v>#NAME?</v>
      </c>
      <c r="Z110" s="1">
        <v>2.6630000000000001E-2</v>
      </c>
      <c r="AA110" s="1">
        <v>4.2999999999999999E-4</v>
      </c>
      <c r="AB110" s="1">
        <v>4.1720000000000004E-3</v>
      </c>
      <c r="AC110" s="1">
        <v>3.1999999999999999E-5</v>
      </c>
      <c r="AD110" s="1">
        <v>0.47299999999999998</v>
      </c>
      <c r="AE110" s="1">
        <v>239.69319999999999</v>
      </c>
      <c r="AF110" s="1">
        <v>1.83849</v>
      </c>
      <c r="AG110" s="1">
        <v>4.6080000000000003E-2</v>
      </c>
      <c r="AH110" s="1">
        <v>5.9999999999999995E-4</v>
      </c>
      <c r="AI110" s="1">
        <v>-1.6407000000000001E-2</v>
      </c>
      <c r="AJ110" s="1">
        <v>1.2409999999999999E-3</v>
      </c>
      <c r="AK110" s="1">
        <v>1.0000000000000001E-5</v>
      </c>
      <c r="AL110" s="1">
        <v>3.6040000000000001</v>
      </c>
      <c r="AM110" s="1">
        <v>2.9000000000000001E-2</v>
      </c>
      <c r="AN110" s="1">
        <v>26.68</v>
      </c>
      <c r="AO110" s="1">
        <v>0.43</v>
      </c>
      <c r="AP110" s="1">
        <v>26.84</v>
      </c>
      <c r="AQ110" s="1">
        <v>0.21</v>
      </c>
      <c r="AR110" s="1">
        <v>25.07</v>
      </c>
      <c r="AS110" s="1">
        <v>0.21</v>
      </c>
      <c r="AT110" s="1">
        <v>8</v>
      </c>
      <c r="AU110" s="1">
        <v>28</v>
      </c>
      <c r="AV110" s="1">
        <v>181.9</v>
      </c>
      <c r="AW110" s="1">
        <v>2.6</v>
      </c>
      <c r="AX110" s="1">
        <v>65.100000000000009</v>
      </c>
      <c r="AY110" s="1">
        <v>1.6</v>
      </c>
      <c r="AZ110" s="1">
        <v>6650.91</v>
      </c>
      <c r="BA110" s="1">
        <v>111.78</v>
      </c>
      <c r="BB110" s="1">
        <v>1350.675</v>
      </c>
      <c r="BC110" s="1">
        <v>31.671000000000003</v>
      </c>
      <c r="BD110" s="1">
        <v>29646.54</v>
      </c>
      <c r="BE110" s="1">
        <v>534.05999999999995</v>
      </c>
      <c r="BF110" s="1">
        <v>3.4775999999999998</v>
      </c>
      <c r="BG110" s="1">
        <v>5.4647999999999994</v>
      </c>
      <c r="BH110" s="1">
        <f t="shared" si="30"/>
        <v>8525</v>
      </c>
      <c r="BI110" s="1">
        <f t="shared" si="31"/>
        <v>13397.308783970802</v>
      </c>
    </row>
    <row r="111" spans="1:61" x14ac:dyDescent="0.2">
      <c r="A111" t="s">
        <v>590</v>
      </c>
      <c r="B111" t="s">
        <v>38</v>
      </c>
      <c r="C111" t="s">
        <v>591</v>
      </c>
      <c r="D111" t="s">
        <v>592</v>
      </c>
      <c r="E111">
        <v>10266</v>
      </c>
      <c r="F111">
        <v>52901</v>
      </c>
      <c r="G111" t="s">
        <v>592</v>
      </c>
      <c r="H111" s="1">
        <v>1713</v>
      </c>
      <c r="I111" s="1">
        <v>2596</v>
      </c>
      <c r="J111" s="11">
        <v>2.8750000000000001E-2</v>
      </c>
      <c r="K111" s="11">
        <f t="shared" ca="1" si="24"/>
        <v>8.0263628126318832E-4</v>
      </c>
      <c r="L111" s="8">
        <v>4.3070000000000001E-3</v>
      </c>
      <c r="M111" s="8">
        <f t="shared" ca="1" si="25"/>
        <v>9.4974204919019988E-5</v>
      </c>
      <c r="N111" s="8">
        <v>0.70604999999999996</v>
      </c>
      <c r="O111" s="9">
        <v>232.18020000000001</v>
      </c>
      <c r="P111" s="9">
        <f t="shared" ca="1" si="26"/>
        <v>5.1198348959552407</v>
      </c>
      <c r="Q111" s="10">
        <v>4.8550000000000003E-2</v>
      </c>
      <c r="R111" s="10">
        <f t="shared" ca="1" si="27"/>
        <v>1.1970133666755773E-3</v>
      </c>
      <c r="S111" s="9">
        <f t="shared" si="28"/>
        <v>0.48493664615586568</v>
      </c>
      <c r="T111" s="12">
        <v>9.2900000000000003E-4</v>
      </c>
      <c r="U111" s="12">
        <f t="shared" ca="1" si="29"/>
        <v>2.2118236819421208E-5</v>
      </c>
      <c r="V111" s="6" t="e">
        <f ca="1">IF(agePb6U8(1/O111)&lt;1400,age7corr(1/O111,Q111,$W$2),agePb76(Q111))</f>
        <v>#NAME?</v>
      </c>
      <c r="W111" s="6" t="e">
        <f ca="1">IF(agePb6U8(1/O111)&lt;1400,ageer7corr(V111,1/O111,P111/O111*(1/O111),Q111,R111,$W$2,0.05),ageerPb76(Q111,R111))</f>
        <v>#NAME?</v>
      </c>
      <c r="X111" s="4" t="e">
        <f ca="1">agePb6U8(L111)/agePb7u5(J111)</f>
        <v>#NAME?</v>
      </c>
      <c r="Z111" s="1">
        <v>2.8750000000000001E-2</v>
      </c>
      <c r="AA111" s="1">
        <v>5.5999999999999995E-4</v>
      </c>
      <c r="AB111" s="1">
        <v>4.3070000000000001E-3</v>
      </c>
      <c r="AC111" s="1">
        <v>4.0000000000000003E-5</v>
      </c>
      <c r="AD111" s="1">
        <v>0.70604999999999996</v>
      </c>
      <c r="AE111" s="1">
        <v>232.18020000000001</v>
      </c>
      <c r="AF111" s="1">
        <v>2.1563050000000001</v>
      </c>
      <c r="AG111" s="1">
        <v>4.8550000000000003E-2</v>
      </c>
      <c r="AH111" s="1">
        <v>6.9999999999999999E-4</v>
      </c>
      <c r="AI111" s="1">
        <v>-0.21923000000000001</v>
      </c>
      <c r="AJ111" s="1">
        <v>9.2900000000000003E-4</v>
      </c>
      <c r="AK111" s="1">
        <v>1.2E-5</v>
      </c>
      <c r="AL111" s="1">
        <v>3.2160000000000002</v>
      </c>
      <c r="AM111" s="1">
        <v>2.1000000000000001E-2</v>
      </c>
      <c r="AN111" s="1">
        <v>28.78</v>
      </c>
      <c r="AO111" s="1">
        <v>0.56000000000000005</v>
      </c>
      <c r="AP111" s="1">
        <v>27.71</v>
      </c>
      <c r="AQ111" s="1">
        <v>0.26</v>
      </c>
      <c r="AR111" s="1">
        <v>18.77</v>
      </c>
      <c r="AS111" s="1">
        <v>0.24</v>
      </c>
      <c r="AT111" s="1">
        <v>125</v>
      </c>
      <c r="AU111" s="1">
        <v>33</v>
      </c>
      <c r="AV111" s="1">
        <v>363.4</v>
      </c>
      <c r="AW111" s="1">
        <v>5.2</v>
      </c>
      <c r="AX111" s="1">
        <v>198.3</v>
      </c>
      <c r="AY111" s="1">
        <v>4.2</v>
      </c>
      <c r="AZ111" s="1">
        <v>15183.449999999997</v>
      </c>
      <c r="BA111" s="1">
        <v>291.87</v>
      </c>
      <c r="BB111" s="1">
        <v>2893.86</v>
      </c>
      <c r="BC111" s="1">
        <v>68.31</v>
      </c>
      <c r="BD111" s="1">
        <v>60795.900000000009</v>
      </c>
      <c r="BE111" s="1">
        <v>1117.8000000000002</v>
      </c>
      <c r="BF111" s="1">
        <v>18.009</v>
      </c>
      <c r="BG111" s="1">
        <v>6.8310000000000004</v>
      </c>
      <c r="BH111" s="1">
        <f t="shared" si="30"/>
        <v>3375.8620689655177</v>
      </c>
      <c r="BI111" s="1">
        <f t="shared" si="31"/>
        <v>1282.002840827033</v>
      </c>
    </row>
    <row r="112" spans="1:61" x14ac:dyDescent="0.2">
      <c r="X112" s="4"/>
    </row>
    <row r="113" spans="1:61" x14ac:dyDescent="0.2">
      <c r="X113" s="4"/>
    </row>
    <row r="114" spans="1:61" x14ac:dyDescent="0.2">
      <c r="A114" t="s">
        <v>935</v>
      </c>
      <c r="B114" t="s">
        <v>38</v>
      </c>
      <c r="C114" t="s">
        <v>936</v>
      </c>
      <c r="D114" t="s">
        <v>937</v>
      </c>
      <c r="E114">
        <v>36328</v>
      </c>
      <c r="F114">
        <v>21031</v>
      </c>
      <c r="G114" t="s">
        <v>937</v>
      </c>
      <c r="H114" s="1">
        <v>119.2</v>
      </c>
      <c r="I114" s="1">
        <v>98.7</v>
      </c>
      <c r="J114" s="11">
        <v>2.4299999999999999E-2</v>
      </c>
      <c r="K114" s="11">
        <f t="shared" ref="K114:K123" ca="1" si="32">SQRT(K$2^2+(AA114/Z114)^2)*J114</f>
        <v>1.4819568144854964E-3</v>
      </c>
      <c r="L114" s="8">
        <v>3.6909999999999998E-3</v>
      </c>
      <c r="M114" s="8">
        <f t="shared" ref="M114:M123" ca="1" si="33">SQRT(M$2^2+(AC114/AB114)^2)*L114</f>
        <v>8.1696954655605122E-5</v>
      </c>
      <c r="N114" s="8">
        <v>0.23016</v>
      </c>
      <c r="O114" s="9">
        <v>270.92930000000001</v>
      </c>
      <c r="P114" s="9">
        <f t="shared" ref="P114:P123" ca="1" si="34">SQRT(P$2^2+(AF114/AE114)^2)*O114</f>
        <v>5.9967756519843238</v>
      </c>
      <c r="Q114" s="10">
        <v>4.7199999999999999E-2</v>
      </c>
      <c r="R114" s="10">
        <f t="shared" ref="R114:R123" ca="1" si="35">SQRT(R$2^2+(AH114/AG114)^2)*Q114</f>
        <v>2.4861890515405303E-3</v>
      </c>
      <c r="S114" s="9">
        <f t="shared" ref="S114:S123" si="36">(((BE114/BD114)^2+(AW114/AV114)^2)+((BE114/BD114)^2+(BC114/BB114)^2)-((BC114/BB114)^2+(AW114/AV114)^2))/(2*SQRT((BE114/BD114)^2+(AW114/AV114)^2)*SQRT((BE114/BD114)^2+(BC114/BB114)^2))</f>
        <v>0.2803422726215824</v>
      </c>
      <c r="T114" s="12">
        <v>1.2279999999999999E-3</v>
      </c>
      <c r="U114" s="12">
        <f t="shared" ref="U114:U123" ca="1" si="37">SQRT(U$2^2+(AK114/AJ114)^2)*T114</f>
        <v>3.3648084640882607E-5</v>
      </c>
      <c r="V114" s="6" t="e">
        <f ca="1">IF(agePb6U8(1/O114)&lt;1400,age7corr(1/O114,Q114,$W$2),agePb76(Q114))</f>
        <v>#NAME?</v>
      </c>
      <c r="W114" s="6" t="e">
        <f ca="1">IF(agePb6U8(1/O114)&lt;1400,ageer7corr(V114,1/O114,P114/O114*(1/O114),Q114,R114,$W$2,0.05),ageerPb76(Q114,R114))</f>
        <v>#NAME?</v>
      </c>
      <c r="X114" s="4" t="e">
        <f ca="1">agePb6U8(L114)/agePb7u5(J114)</f>
        <v>#NAME?</v>
      </c>
      <c r="Z114" s="1">
        <v>2.4299999999999999E-2</v>
      </c>
      <c r="AA114" s="1">
        <v>1.4E-3</v>
      </c>
      <c r="AB114" s="1">
        <v>3.6909999999999998E-3</v>
      </c>
      <c r="AC114" s="1">
        <v>3.4999999999999997E-5</v>
      </c>
      <c r="AD114" s="1">
        <v>0.23016</v>
      </c>
      <c r="AE114" s="1">
        <v>270.92930000000001</v>
      </c>
      <c r="AF114" s="1">
        <v>2.5690940000000002</v>
      </c>
      <c r="AG114" s="1">
        <v>4.7199999999999999E-2</v>
      </c>
      <c r="AH114" s="1">
        <v>2.3E-3</v>
      </c>
      <c r="AI114" s="1">
        <v>-9.4519000000000006E-2</v>
      </c>
      <c r="AJ114" s="1">
        <v>1.2279999999999999E-3</v>
      </c>
      <c r="AK114" s="1">
        <v>2.3E-5</v>
      </c>
      <c r="AL114" s="1">
        <v>3.722</v>
      </c>
      <c r="AM114" s="1">
        <v>5.8000000000000003E-2</v>
      </c>
      <c r="AN114" s="1">
        <v>24.4</v>
      </c>
      <c r="AO114" s="1">
        <v>1.4</v>
      </c>
      <c r="AP114" s="1">
        <v>23.75</v>
      </c>
      <c r="AQ114" s="1">
        <v>0.23</v>
      </c>
      <c r="AR114" s="1">
        <v>24.8</v>
      </c>
      <c r="AS114" s="1">
        <v>0.47</v>
      </c>
      <c r="AT114" s="1">
        <v>70</v>
      </c>
      <c r="AU114" s="1">
        <v>100</v>
      </c>
      <c r="AV114" s="1">
        <v>25.02</v>
      </c>
      <c r="AW114" s="1">
        <v>0.45</v>
      </c>
      <c r="AX114" s="1">
        <v>7.47</v>
      </c>
      <c r="AY114" s="1">
        <v>0.13999999999999999</v>
      </c>
      <c r="AZ114" s="1">
        <v>773.76599999999996</v>
      </c>
      <c r="BA114" s="1">
        <v>19.872</v>
      </c>
      <c r="BB114" s="1">
        <v>160.83900000000003</v>
      </c>
      <c r="BC114" s="1">
        <v>10.556999999999999</v>
      </c>
      <c r="BD114" s="1">
        <v>3564.54</v>
      </c>
      <c r="BE114" s="1">
        <v>86.94</v>
      </c>
      <c r="BF114" s="1">
        <v>-8.8803000000000001</v>
      </c>
      <c r="BG114" s="1">
        <v>5.7752999999999997</v>
      </c>
      <c r="BH114" s="1">
        <f t="shared" ref="BH114:BH123" si="38">BD114/BF114</f>
        <v>-401.39860139860139</v>
      </c>
      <c r="BI114" s="1">
        <f t="shared" ref="BI114:BI123" si="39">SQRT((BG114/BF114)^2+(BE114/BD114)^2)*BH114</f>
        <v>-261.23295804476055</v>
      </c>
    </row>
    <row r="115" spans="1:61" x14ac:dyDescent="0.2">
      <c r="A115" t="s">
        <v>968</v>
      </c>
      <c r="B115" t="s">
        <v>38</v>
      </c>
      <c r="C115" t="s">
        <v>969</v>
      </c>
      <c r="D115" t="s">
        <v>970</v>
      </c>
      <c r="E115">
        <v>36332</v>
      </c>
      <c r="F115">
        <v>18276</v>
      </c>
      <c r="G115" t="s">
        <v>970</v>
      </c>
      <c r="H115" s="1">
        <v>512</v>
      </c>
      <c r="I115" s="1">
        <v>185.4</v>
      </c>
      <c r="J115" s="11">
        <v>2.4299999999999999E-2</v>
      </c>
      <c r="K115" s="11">
        <f t="shared" ca="1" si="32"/>
        <v>9.1901904224014853E-4</v>
      </c>
      <c r="L115" s="8">
        <v>3.676E-3</v>
      </c>
      <c r="M115" s="8">
        <f t="shared" ca="1" si="33"/>
        <v>7.9788410185941178E-5</v>
      </c>
      <c r="N115" s="8">
        <v>0.20268</v>
      </c>
      <c r="O115" s="9">
        <v>272.03480000000002</v>
      </c>
      <c r="P115" s="9">
        <f t="shared" ca="1" si="34"/>
        <v>5.9045767401818905</v>
      </c>
      <c r="Q115" s="10">
        <v>4.8000000000000001E-2</v>
      </c>
      <c r="R115" s="10">
        <f t="shared" ca="1" si="35"/>
        <v>1.7808986495586995E-3</v>
      </c>
      <c r="S115" s="9">
        <f t="shared" si="36"/>
        <v>0.29907933619432314</v>
      </c>
      <c r="T115" s="12">
        <v>1.188E-3</v>
      </c>
      <c r="U115" s="12">
        <f t="shared" ca="1" si="37"/>
        <v>2.9215365820061195E-5</v>
      </c>
      <c r="V115" s="6" t="e">
        <f ca="1">IF(agePb6U8(1/O115)&lt;1400,age7corr(1/O115,Q115,$W$2),agePb76(Q115))</f>
        <v>#NAME?</v>
      </c>
      <c r="W115" s="6" t="e">
        <f ca="1">IF(agePb6U8(1/O115)&lt;1400,ageer7corr(V115,1/O115,P115/O115*(1/O115),Q115,R115,$W$2,0.05),ageerPb76(Q115,R115))</f>
        <v>#NAME?</v>
      </c>
      <c r="X115" s="4" t="e">
        <f ca="1">agePb6U8(L115)/agePb7u5(J115)</f>
        <v>#NAME?</v>
      </c>
      <c r="Z115" s="1">
        <v>2.4299999999999999E-2</v>
      </c>
      <c r="AA115" s="1">
        <v>7.7999999999999999E-4</v>
      </c>
      <c r="AB115" s="1">
        <v>3.676E-3</v>
      </c>
      <c r="AC115" s="1">
        <v>3.1000000000000001E-5</v>
      </c>
      <c r="AD115" s="1">
        <v>0.20268</v>
      </c>
      <c r="AE115" s="1">
        <v>272.03480000000002</v>
      </c>
      <c r="AF115" s="1">
        <v>2.2940909999999999</v>
      </c>
      <c r="AG115" s="1">
        <v>4.8000000000000001E-2</v>
      </c>
      <c r="AH115" s="1">
        <v>1.5E-3</v>
      </c>
      <c r="AI115" s="1">
        <v>7.8095999999999999E-2</v>
      </c>
      <c r="AJ115" s="1">
        <v>1.188E-3</v>
      </c>
      <c r="AK115" s="1">
        <v>1.7E-5</v>
      </c>
      <c r="AL115" s="1">
        <v>8.65</v>
      </c>
      <c r="AM115" s="1">
        <v>0.32</v>
      </c>
      <c r="AN115" s="1">
        <v>24.38</v>
      </c>
      <c r="AO115" s="1">
        <v>0.77</v>
      </c>
      <c r="AP115" s="1">
        <v>23.65</v>
      </c>
      <c r="AQ115" s="1">
        <v>0.2</v>
      </c>
      <c r="AR115" s="1">
        <v>24</v>
      </c>
      <c r="AS115" s="1">
        <v>0.34</v>
      </c>
      <c r="AT115" s="1">
        <v>114</v>
      </c>
      <c r="AU115" s="1">
        <v>73</v>
      </c>
      <c r="AV115" s="1">
        <v>107.39999999999999</v>
      </c>
      <c r="AW115" s="1">
        <v>2.2999999999999998</v>
      </c>
      <c r="AX115" s="1">
        <v>14.02</v>
      </c>
      <c r="AY115" s="1">
        <v>0.69</v>
      </c>
      <c r="AZ115" s="1">
        <v>1405.944</v>
      </c>
      <c r="BA115" s="1">
        <v>40.985999999999997</v>
      </c>
      <c r="BB115" s="1">
        <v>722.22299999999996</v>
      </c>
      <c r="BC115" s="1">
        <v>19.872</v>
      </c>
      <c r="BD115" s="1">
        <v>15202.08</v>
      </c>
      <c r="BE115" s="1">
        <v>242.19</v>
      </c>
      <c r="BF115" s="1">
        <v>-7.0173000000000005</v>
      </c>
      <c r="BG115" s="1">
        <v>4.9059000000000008</v>
      </c>
      <c r="BH115" s="1">
        <f t="shared" si="38"/>
        <v>-2166.3716814159288</v>
      </c>
      <c r="BI115" s="1">
        <f t="shared" si="39"/>
        <v>-1514.9362256119828</v>
      </c>
    </row>
    <row r="116" spans="1:61" x14ac:dyDescent="0.2">
      <c r="A116" t="s">
        <v>938</v>
      </c>
      <c r="B116" t="s">
        <v>38</v>
      </c>
      <c r="C116" t="s">
        <v>939</v>
      </c>
      <c r="D116" t="s">
        <v>940</v>
      </c>
      <c r="E116">
        <v>36368</v>
      </c>
      <c r="F116">
        <v>20963</v>
      </c>
      <c r="G116" t="s">
        <v>940</v>
      </c>
      <c r="H116" s="1">
        <v>408.4</v>
      </c>
      <c r="I116" s="1">
        <v>453</v>
      </c>
      <c r="J116" s="11">
        <v>2.4369999999999999E-2</v>
      </c>
      <c r="K116" s="11">
        <f t="shared" ca="1" si="32"/>
        <v>8.611961216819314E-4</v>
      </c>
      <c r="L116" s="8">
        <v>3.6319999999999998E-3</v>
      </c>
      <c r="M116" s="8">
        <f t="shared" ca="1" si="33"/>
        <v>8.1520363100270844E-5</v>
      </c>
      <c r="N116" s="8">
        <v>5.4573000000000003E-2</v>
      </c>
      <c r="O116" s="9">
        <v>275.3304</v>
      </c>
      <c r="P116" s="9">
        <f t="shared" ca="1" si="34"/>
        <v>6.1798003217962467</v>
      </c>
      <c r="Q116" s="10">
        <v>4.8000000000000001E-2</v>
      </c>
      <c r="R116" s="10">
        <f t="shared" ca="1" si="35"/>
        <v>1.8659046063504961E-3</v>
      </c>
      <c r="S116" s="9">
        <f t="shared" si="36"/>
        <v>0.42448838396838845</v>
      </c>
      <c r="T116" s="12">
        <v>1.188E-3</v>
      </c>
      <c r="U116" s="12">
        <f t="shared" ca="1" si="37"/>
        <v>2.7577846181310101E-5</v>
      </c>
      <c r="V116" s="6" t="e">
        <f ca="1">IF(agePb6U8(1/O116)&lt;1400,age7corr(1/O116,Q116,$W$2),agePb76(Q116))</f>
        <v>#NAME?</v>
      </c>
      <c r="W116" s="6" t="e">
        <f ca="1">IF(agePb6U8(1/O116)&lt;1400,ageer7corr(V116,1/O116,P116/O116*(1/O116),Q116,R116,$W$2,0.05),ageerPb76(Q116,R116))</f>
        <v>#NAME?</v>
      </c>
      <c r="X116" s="4" t="e">
        <f ca="1">agePb6U8(L116)/agePb7u5(J116)</f>
        <v>#NAME?</v>
      </c>
      <c r="Z116" s="1">
        <v>2.4369999999999999E-2</v>
      </c>
      <c r="AA116" s="1">
        <v>7.1000000000000002E-4</v>
      </c>
      <c r="AB116" s="1">
        <v>3.6319999999999998E-3</v>
      </c>
      <c r="AC116" s="1">
        <v>3.6999999999999998E-5</v>
      </c>
      <c r="AD116" s="1">
        <v>5.4573000000000003E-2</v>
      </c>
      <c r="AE116" s="1">
        <v>275.3304</v>
      </c>
      <c r="AF116" s="1">
        <v>2.804853</v>
      </c>
      <c r="AG116" s="1">
        <v>4.8000000000000001E-2</v>
      </c>
      <c r="AH116" s="1">
        <v>1.6000000000000001E-3</v>
      </c>
      <c r="AI116" s="1">
        <v>0.28616000000000003</v>
      </c>
      <c r="AJ116" s="1">
        <v>1.188E-3</v>
      </c>
      <c r="AK116" s="1">
        <v>1.4E-5</v>
      </c>
      <c r="AL116" s="1">
        <v>2.9420000000000002</v>
      </c>
      <c r="AM116" s="1">
        <v>3.3000000000000002E-2</v>
      </c>
      <c r="AN116" s="1">
        <v>24.45</v>
      </c>
      <c r="AO116" s="1">
        <v>0.71</v>
      </c>
      <c r="AP116" s="1">
        <v>23.37</v>
      </c>
      <c r="AQ116" s="1">
        <v>0.24</v>
      </c>
      <c r="AR116" s="1">
        <v>23.99</v>
      </c>
      <c r="AS116" s="1">
        <v>0.28000000000000003</v>
      </c>
      <c r="AT116" s="1">
        <v>103</v>
      </c>
      <c r="AU116" s="1">
        <v>71</v>
      </c>
      <c r="AV116" s="1">
        <v>85.7</v>
      </c>
      <c r="AW116" s="1">
        <v>1.9</v>
      </c>
      <c r="AX116" s="1">
        <v>34.31</v>
      </c>
      <c r="AY116" s="1">
        <v>0.76999999999999991</v>
      </c>
      <c r="AZ116" s="1">
        <v>3359.61</v>
      </c>
      <c r="BA116" s="1">
        <v>86.94</v>
      </c>
      <c r="BB116" s="1">
        <v>576.28800000000001</v>
      </c>
      <c r="BC116" s="1">
        <v>22.355999999999998</v>
      </c>
      <c r="BD116" s="1">
        <v>12159.18</v>
      </c>
      <c r="BE116" s="1">
        <v>316.71000000000004</v>
      </c>
      <c r="BF116" s="1">
        <v>-8.1971999999999987</v>
      </c>
      <c r="BG116" s="1">
        <v>5.0922000000000001</v>
      </c>
      <c r="BH116" s="1">
        <f t="shared" si="38"/>
        <v>-1483.3333333333337</v>
      </c>
      <c r="BI116" s="1">
        <f t="shared" si="39"/>
        <v>-922.2742885276906</v>
      </c>
    </row>
    <row r="117" spans="1:61" x14ac:dyDescent="0.2">
      <c r="A117" t="s">
        <v>941</v>
      </c>
      <c r="B117" t="s">
        <v>38</v>
      </c>
      <c r="C117" t="s">
        <v>942</v>
      </c>
      <c r="D117" t="s">
        <v>943</v>
      </c>
      <c r="E117">
        <v>36410</v>
      </c>
      <c r="F117">
        <v>20749</v>
      </c>
      <c r="G117" t="s">
        <v>943</v>
      </c>
      <c r="H117" s="1">
        <v>1500</v>
      </c>
      <c r="I117" s="1">
        <v>603</v>
      </c>
      <c r="J117" s="11">
        <v>2.606E-2</v>
      </c>
      <c r="K117" s="11">
        <f t="shared" ca="1" si="32"/>
        <v>8.176487265323662E-4</v>
      </c>
      <c r="L117" s="8">
        <v>3.705E-3</v>
      </c>
      <c r="M117" s="8">
        <f t="shared" ca="1" si="33"/>
        <v>7.7018244591784869E-5</v>
      </c>
      <c r="N117" s="8">
        <v>0.27556999999999998</v>
      </c>
      <c r="O117" s="9">
        <v>269.90550000000002</v>
      </c>
      <c r="P117" s="9">
        <f t="shared" ca="1" si="34"/>
        <v>5.6107012343682143</v>
      </c>
      <c r="Q117" s="10">
        <v>5.0900000000000001E-2</v>
      </c>
      <c r="R117" s="10">
        <f t="shared" ca="1" si="35"/>
        <v>1.5736340108170005E-3</v>
      </c>
      <c r="S117" s="9">
        <f t="shared" si="36"/>
        <v>0.46830627029165062</v>
      </c>
      <c r="T117" s="12">
        <v>1.3179999999999999E-3</v>
      </c>
      <c r="U117" s="12">
        <f t="shared" ca="1" si="37"/>
        <v>3.4983561854105139E-5</v>
      </c>
      <c r="V117" s="6" t="e">
        <f ca="1">IF(agePb6U8(1/O117)&lt;1400,age7corr(1/O117,Q117,$W$2),agePb76(Q117))</f>
        <v>#NAME?</v>
      </c>
      <c r="W117" s="6" t="e">
        <f ca="1">IF(agePb6U8(1/O117)&lt;1400,ageer7corr(V117,1/O117,P117/O117*(1/O117),Q117,R117,$W$2,0.05),ageerPb76(Q117,R117))</f>
        <v>#NAME?</v>
      </c>
      <c r="X117" s="4" t="e">
        <f ca="1">agePb6U8(L117)/agePb7u5(J117)</f>
        <v>#NAME?</v>
      </c>
      <c r="Z117" s="1">
        <v>2.606E-2</v>
      </c>
      <c r="AA117" s="1">
        <v>6.3000000000000003E-4</v>
      </c>
      <c r="AB117" s="1">
        <v>3.705E-3</v>
      </c>
      <c r="AC117" s="1">
        <v>2.0999999999999999E-5</v>
      </c>
      <c r="AD117" s="1">
        <v>0.27556999999999998</v>
      </c>
      <c r="AE117" s="1">
        <v>269.90550000000002</v>
      </c>
      <c r="AF117" s="1">
        <v>1.5298290000000001</v>
      </c>
      <c r="AG117" s="1">
        <v>5.0900000000000001E-2</v>
      </c>
      <c r="AH117" s="1">
        <v>1.1999999999999999E-3</v>
      </c>
      <c r="AI117" s="1">
        <v>4.6459E-2</v>
      </c>
      <c r="AJ117" s="1">
        <v>1.3179999999999999E-3</v>
      </c>
      <c r="AK117" s="1">
        <v>2.3E-5</v>
      </c>
      <c r="AL117" s="1">
        <v>7.09</v>
      </c>
      <c r="AM117" s="1">
        <v>0.17</v>
      </c>
      <c r="AN117" s="1">
        <v>26.12</v>
      </c>
      <c r="AO117" s="1">
        <v>0.63</v>
      </c>
      <c r="AP117" s="1">
        <v>23.84</v>
      </c>
      <c r="AQ117" s="1">
        <v>0.13</v>
      </c>
      <c r="AR117" s="1">
        <v>26.62</v>
      </c>
      <c r="AS117" s="1">
        <v>0.46</v>
      </c>
      <c r="AT117" s="1">
        <v>231</v>
      </c>
      <c r="AU117" s="1">
        <v>55</v>
      </c>
      <c r="AV117" s="1">
        <v>314</v>
      </c>
      <c r="AW117" s="1">
        <v>22</v>
      </c>
      <c r="AX117" s="1">
        <v>45.6</v>
      </c>
      <c r="AY117" s="1">
        <v>2.7</v>
      </c>
      <c r="AZ117" s="1">
        <v>4968</v>
      </c>
      <c r="BA117" s="1">
        <v>341.54999999999995</v>
      </c>
      <c r="BB117" s="1">
        <v>2167.29</v>
      </c>
      <c r="BC117" s="1">
        <v>142.82999999999998</v>
      </c>
      <c r="BD117" s="1">
        <v>44774.1</v>
      </c>
      <c r="BE117" s="1">
        <v>2856.6</v>
      </c>
      <c r="BF117" s="1">
        <v>8.4456000000000007</v>
      </c>
      <c r="BG117" s="1">
        <v>5.1543000000000001</v>
      </c>
      <c r="BH117" s="1">
        <f t="shared" si="38"/>
        <v>5301.4705882352937</v>
      </c>
      <c r="BI117" s="1">
        <f t="shared" si="39"/>
        <v>3253.0878684223321</v>
      </c>
    </row>
    <row r="118" spans="1:61" s="24" customFormat="1" x14ac:dyDescent="0.2">
      <c r="A118" s="24" t="s">
        <v>944</v>
      </c>
      <c r="B118" s="24" t="s">
        <v>38</v>
      </c>
      <c r="C118" s="24" t="s">
        <v>945</v>
      </c>
      <c r="D118" s="24" t="s">
        <v>946</v>
      </c>
      <c r="E118" s="24">
        <v>36640</v>
      </c>
      <c r="F118" s="24">
        <v>20832</v>
      </c>
      <c r="G118" s="24" t="s">
        <v>946</v>
      </c>
      <c r="H118" s="25">
        <v>257.3</v>
      </c>
      <c r="I118" s="25">
        <v>145.80000000000001</v>
      </c>
      <c r="J118" s="26">
        <v>2.63E-2</v>
      </c>
      <c r="K118" s="26">
        <f t="shared" ca="1" si="32"/>
        <v>1.684243450336085E-3</v>
      </c>
      <c r="L118" s="27">
        <v>3.901E-3</v>
      </c>
      <c r="M118" s="27">
        <f t="shared" ca="1" si="33"/>
        <v>9.7816769523430898E-5</v>
      </c>
      <c r="N118" s="27">
        <v>0.45801999999999998</v>
      </c>
      <c r="O118" s="27">
        <v>256.34449999999998</v>
      </c>
      <c r="P118" s="27">
        <f t="shared" ca="1" si="34"/>
        <v>6.4277853671030432</v>
      </c>
      <c r="Q118" s="26">
        <v>4.9099999999999998E-2</v>
      </c>
      <c r="R118" s="26">
        <f t="shared" ca="1" si="35"/>
        <v>3.1566317491908999E-3</v>
      </c>
      <c r="S118" s="27">
        <f t="shared" si="36"/>
        <v>0.33817174426040997</v>
      </c>
      <c r="T118" s="26">
        <v>1.3489999999999999E-3</v>
      </c>
      <c r="U118" s="26">
        <f t="shared" ca="1" si="37"/>
        <v>6.3968120184979639E-5</v>
      </c>
      <c r="V118" s="25" t="e">
        <f ca="1">IF(agePb6U8(1/O118)&lt;1400,age7corr(1/O118,Q118,$W$2),agePb76(Q118))</f>
        <v>#NAME?</v>
      </c>
      <c r="W118" s="25" t="e">
        <f ca="1">IF(agePb6U8(1/O118)&lt;1400,ageer7corr(V118,1/O118,P118/O118*(1/O118),Q118,R118,$W$2,0.05),ageerPb76(Q118,R118))</f>
        <v>#NAME?</v>
      </c>
      <c r="X118" s="27" t="e">
        <f ca="1">agePb6U8(L118)/agePb7u5(J118)</f>
        <v>#NAME?</v>
      </c>
      <c r="Y118" s="25"/>
      <c r="Z118" s="25">
        <v>2.63E-2</v>
      </c>
      <c r="AA118" s="25">
        <v>1.6000000000000001E-3</v>
      </c>
      <c r="AB118" s="25">
        <v>3.901E-3</v>
      </c>
      <c r="AC118" s="25">
        <v>5.8999999999999998E-5</v>
      </c>
      <c r="AD118" s="25">
        <v>0.45801999999999998</v>
      </c>
      <c r="AE118" s="25">
        <v>256.34449999999998</v>
      </c>
      <c r="AF118" s="25">
        <v>3.8770380000000002</v>
      </c>
      <c r="AG118" s="25">
        <v>4.9099999999999998E-2</v>
      </c>
      <c r="AH118" s="25">
        <v>3.0000000000000001E-3</v>
      </c>
      <c r="AI118" s="25">
        <v>-0.26806999999999997</v>
      </c>
      <c r="AJ118" s="25">
        <v>1.3489999999999999E-3</v>
      </c>
      <c r="AK118" s="25">
        <v>5.8E-5</v>
      </c>
      <c r="AL118" s="25">
        <v>4.99</v>
      </c>
      <c r="AM118" s="25">
        <v>0.14000000000000001</v>
      </c>
      <c r="AN118" s="25">
        <v>26.4</v>
      </c>
      <c r="AO118" s="25">
        <v>1.6</v>
      </c>
      <c r="AP118" s="25">
        <v>25.1</v>
      </c>
      <c r="AQ118" s="25">
        <v>0.38</v>
      </c>
      <c r="AR118" s="25">
        <v>27.2</v>
      </c>
      <c r="AS118" s="25">
        <v>1.2</v>
      </c>
      <c r="AT118" s="25">
        <v>150</v>
      </c>
      <c r="AU118" s="25">
        <v>130</v>
      </c>
      <c r="AV118" s="25">
        <v>54</v>
      </c>
      <c r="AW118" s="25">
        <v>1.4</v>
      </c>
      <c r="AX118" s="25">
        <v>11.03</v>
      </c>
      <c r="AY118" s="25">
        <v>0.25</v>
      </c>
      <c r="AZ118" s="25">
        <v>1309.068</v>
      </c>
      <c r="BA118" s="25">
        <v>45.954000000000001</v>
      </c>
      <c r="BB118" s="25">
        <v>388.74599999999998</v>
      </c>
      <c r="BC118" s="25">
        <v>27.945</v>
      </c>
      <c r="BD118" s="25">
        <v>8072.9999999999982</v>
      </c>
      <c r="BE118" s="25">
        <v>273.24</v>
      </c>
      <c r="BF118" s="25">
        <v>-9.2528999999999986</v>
      </c>
      <c r="BG118" s="25">
        <v>5.0922000000000001</v>
      </c>
      <c r="BH118" s="25">
        <f t="shared" si="38"/>
        <v>-872.48322147651004</v>
      </c>
      <c r="BI118" s="25">
        <f t="shared" si="39"/>
        <v>-481.06576191806272</v>
      </c>
    </row>
    <row r="119" spans="1:61" x14ac:dyDescent="0.2">
      <c r="A119" t="s">
        <v>947</v>
      </c>
      <c r="B119" t="s">
        <v>38</v>
      </c>
      <c r="C119" t="s">
        <v>948</v>
      </c>
      <c r="D119" t="s">
        <v>949</v>
      </c>
      <c r="E119">
        <v>36374</v>
      </c>
      <c r="F119">
        <v>20424</v>
      </c>
      <c r="G119" t="s">
        <v>949</v>
      </c>
      <c r="H119" s="1">
        <v>65.400000000000006</v>
      </c>
      <c r="I119" s="1">
        <v>39.89</v>
      </c>
      <c r="J119" s="11">
        <v>2.5999999999999999E-2</v>
      </c>
      <c r="K119" s="11">
        <f t="shared" ca="1" si="32"/>
        <v>2.455687276507332E-3</v>
      </c>
      <c r="L119" s="8">
        <v>3.679E-3</v>
      </c>
      <c r="M119" s="8">
        <f t="shared" ca="1" si="33"/>
        <v>9.1268923517262983E-5</v>
      </c>
      <c r="N119" s="8">
        <v>0.50799000000000005</v>
      </c>
      <c r="O119" s="9">
        <v>271.81299999999999</v>
      </c>
      <c r="P119" s="9">
        <f t="shared" ca="1" si="34"/>
        <v>6.743158164713031</v>
      </c>
      <c r="Q119" s="10">
        <v>5.0900000000000001E-2</v>
      </c>
      <c r="R119" s="10">
        <f t="shared" ca="1" si="35"/>
        <v>4.4188600339906672E-3</v>
      </c>
      <c r="S119" s="9">
        <f t="shared" si="36"/>
        <v>0.1632772512828618</v>
      </c>
      <c r="T119" s="12">
        <v>1.2639999999999999E-3</v>
      </c>
      <c r="U119" s="12">
        <f t="shared" ca="1" si="37"/>
        <v>6.1441666644061659E-5</v>
      </c>
      <c r="V119" s="6" t="e">
        <f ca="1">IF(agePb6U8(1/O119)&lt;1400,age7corr(1/O119,Q119,$W$2),agePb76(Q119))</f>
        <v>#NAME?</v>
      </c>
      <c r="W119" s="6" t="e">
        <f ca="1">IF(agePb6U8(1/O119)&lt;1400,ageer7corr(V119,1/O119,P119/O119*(1/O119),Q119,R119,$W$2,0.05),ageerPb76(Q119,R119))</f>
        <v>#NAME?</v>
      </c>
      <c r="X119" s="4" t="e">
        <f ca="1">agePb6U8(L119)/agePb7u5(J119)</f>
        <v>#NAME?</v>
      </c>
      <c r="Z119" s="1">
        <v>2.5999999999999999E-2</v>
      </c>
      <c r="AA119" s="1">
        <v>2.3999999999999998E-3</v>
      </c>
      <c r="AB119" s="1">
        <v>3.679E-3</v>
      </c>
      <c r="AC119" s="1">
        <v>5.3999999999999998E-5</v>
      </c>
      <c r="AD119" s="1">
        <v>0.50799000000000005</v>
      </c>
      <c r="AE119" s="1">
        <v>271.81299999999999</v>
      </c>
      <c r="AF119" s="1">
        <v>3.9896440000000002</v>
      </c>
      <c r="AG119" s="1">
        <v>5.0900000000000001E-2</v>
      </c>
      <c r="AH119" s="1">
        <v>4.3E-3</v>
      </c>
      <c r="AI119" s="1">
        <v>-0.37195</v>
      </c>
      <c r="AJ119" s="1">
        <v>1.2639999999999999E-3</v>
      </c>
      <c r="AK119" s="1">
        <v>5.5999999999999999E-5</v>
      </c>
      <c r="AL119" s="1">
        <v>4.79</v>
      </c>
      <c r="AM119" s="1">
        <v>0.23</v>
      </c>
      <c r="AN119" s="1">
        <v>26</v>
      </c>
      <c r="AO119" s="1">
        <v>2.4</v>
      </c>
      <c r="AP119" s="1">
        <v>23.67</v>
      </c>
      <c r="AQ119" s="1">
        <v>0.34</v>
      </c>
      <c r="AR119" s="1">
        <v>25.5</v>
      </c>
      <c r="AS119" s="1">
        <v>1.1000000000000001</v>
      </c>
      <c r="AT119" s="1">
        <v>270</v>
      </c>
      <c r="AU119" s="1">
        <v>190</v>
      </c>
      <c r="AV119" s="1">
        <v>13.719999999999999</v>
      </c>
      <c r="AW119" s="1">
        <v>0.23</v>
      </c>
      <c r="AX119" s="1">
        <v>3.0170000000000003</v>
      </c>
      <c r="AY119" s="1">
        <v>5.2999999999999999E-2</v>
      </c>
      <c r="AZ119" s="1">
        <v>322.91999999999996</v>
      </c>
      <c r="BA119" s="1">
        <v>16.766999999999999</v>
      </c>
      <c r="BB119" s="1">
        <v>96.876000000000005</v>
      </c>
      <c r="BC119" s="1">
        <v>9.3149999999999995</v>
      </c>
      <c r="BD119" s="1">
        <v>1952.4239999999998</v>
      </c>
      <c r="BE119" s="1">
        <v>40.364999999999995</v>
      </c>
      <c r="BF119" s="1">
        <v>2.3598000000000003</v>
      </c>
      <c r="BG119" s="1">
        <v>5.4647999999999994</v>
      </c>
      <c r="BH119" s="1">
        <f t="shared" si="38"/>
        <v>827.36842105263133</v>
      </c>
      <c r="BI119" s="1">
        <f t="shared" si="39"/>
        <v>1916.0874327609022</v>
      </c>
    </row>
    <row r="120" spans="1:61" x14ac:dyDescent="0.2">
      <c r="A120" t="s">
        <v>950</v>
      </c>
      <c r="B120" t="s">
        <v>38</v>
      </c>
      <c r="C120" t="s">
        <v>951</v>
      </c>
      <c r="D120" t="s">
        <v>952</v>
      </c>
      <c r="E120">
        <v>36440</v>
      </c>
      <c r="F120">
        <v>20328</v>
      </c>
      <c r="G120" t="s">
        <v>952</v>
      </c>
      <c r="H120" s="1">
        <v>944</v>
      </c>
      <c r="I120" s="1">
        <v>595</v>
      </c>
      <c r="J120" s="11">
        <v>2.3460000000000002E-2</v>
      </c>
      <c r="K120" s="11">
        <f t="shared" ca="1" si="32"/>
        <v>7.1536608809755588E-4</v>
      </c>
      <c r="L120" s="8">
        <v>3.6150000000000002E-3</v>
      </c>
      <c r="M120" s="8">
        <f t="shared" ca="1" si="33"/>
        <v>7.753250931061113E-5</v>
      </c>
      <c r="N120" s="8">
        <v>0.46699000000000002</v>
      </c>
      <c r="O120" s="9">
        <v>276.62520000000001</v>
      </c>
      <c r="P120" s="9">
        <f t="shared" ca="1" si="34"/>
        <v>5.932903491581504</v>
      </c>
      <c r="Q120" s="10">
        <v>4.6809999999999997E-2</v>
      </c>
      <c r="R120" s="10">
        <f t="shared" ca="1" si="35"/>
        <v>1.333780506680166E-3</v>
      </c>
      <c r="S120" s="9">
        <f t="shared" si="36"/>
        <v>0.4759438015303179</v>
      </c>
      <c r="T120" s="12">
        <v>1.243E-3</v>
      </c>
      <c r="U120" s="12">
        <f t="shared" ca="1" si="37"/>
        <v>2.956382248627535E-5</v>
      </c>
      <c r="V120" s="6" t="e">
        <f ca="1">IF(agePb6U8(1/O120)&lt;1400,age7corr(1/O120,Q120,$W$2),agePb76(Q120))</f>
        <v>#NAME?</v>
      </c>
      <c r="W120" s="6" t="e">
        <f ca="1">IF(agePb6U8(1/O120)&lt;1400,ageer7corr(V120,1/O120,P120/O120*(1/O120),Q120,R120,$W$2,0.05),ageerPb76(Q120,R120))</f>
        <v>#NAME?</v>
      </c>
      <c r="X120" s="4" t="e">
        <f ca="1">agePb6U8(L120)/agePb7u5(J120)</f>
        <v>#NAME?</v>
      </c>
      <c r="Z120" s="1">
        <v>2.3460000000000002E-2</v>
      </c>
      <c r="AA120" s="1">
        <v>5.4000000000000001E-4</v>
      </c>
      <c r="AB120" s="1">
        <v>3.6150000000000002E-3</v>
      </c>
      <c r="AC120" s="1">
        <v>2.8E-5</v>
      </c>
      <c r="AD120" s="1">
        <v>0.46699000000000002</v>
      </c>
      <c r="AE120" s="1">
        <v>276.62520000000001</v>
      </c>
      <c r="AF120" s="1">
        <v>2.1426020000000001</v>
      </c>
      <c r="AG120" s="1">
        <v>4.6809999999999997E-2</v>
      </c>
      <c r="AH120" s="1">
        <v>9.5E-4</v>
      </c>
      <c r="AI120" s="1">
        <v>-9.4881999999999994E-2</v>
      </c>
      <c r="AJ120" s="1">
        <v>1.243E-3</v>
      </c>
      <c r="AK120" s="1">
        <v>1.5999999999999999E-5</v>
      </c>
      <c r="AL120" s="1">
        <v>4.8899999999999997</v>
      </c>
      <c r="AM120" s="1">
        <v>0.4</v>
      </c>
      <c r="AN120" s="1">
        <v>23.55</v>
      </c>
      <c r="AO120" s="1">
        <v>0.53</v>
      </c>
      <c r="AP120" s="1">
        <v>23.26</v>
      </c>
      <c r="AQ120" s="1">
        <v>0.18</v>
      </c>
      <c r="AR120" s="1">
        <v>25.11</v>
      </c>
      <c r="AS120" s="1">
        <v>0.32</v>
      </c>
      <c r="AT120" s="1">
        <v>45</v>
      </c>
      <c r="AU120" s="1">
        <v>43</v>
      </c>
      <c r="AV120" s="1">
        <v>198</v>
      </c>
      <c r="AW120" s="1">
        <v>16</v>
      </c>
      <c r="AX120" s="1">
        <v>45</v>
      </c>
      <c r="AY120" s="1">
        <v>2.1</v>
      </c>
      <c r="AZ120" s="1">
        <v>4638.87</v>
      </c>
      <c r="BA120" s="1">
        <v>136.62</v>
      </c>
      <c r="BB120" s="1">
        <v>1297.8899999999999</v>
      </c>
      <c r="BC120" s="1">
        <v>105.57000000000001</v>
      </c>
      <c r="BD120" s="1">
        <v>28131.3</v>
      </c>
      <c r="BE120" s="1">
        <v>2173.5</v>
      </c>
      <c r="BF120" s="1">
        <v>-4.0985999999999994</v>
      </c>
      <c r="BG120" s="1">
        <v>4.4712000000000005</v>
      </c>
      <c r="BH120" s="1">
        <f t="shared" si="38"/>
        <v>-6863.6363636363649</v>
      </c>
      <c r="BI120" s="1">
        <f t="shared" si="39"/>
        <v>-7506.3589421738252</v>
      </c>
    </row>
    <row r="121" spans="1:61" s="24" customFormat="1" x14ac:dyDescent="0.2">
      <c r="A121" s="24" t="s">
        <v>953</v>
      </c>
      <c r="B121" s="24" t="s">
        <v>38</v>
      </c>
      <c r="C121" s="24" t="s">
        <v>954</v>
      </c>
      <c r="D121" s="24" t="s">
        <v>955</v>
      </c>
      <c r="E121" s="24">
        <v>36348</v>
      </c>
      <c r="F121" s="24">
        <v>20155</v>
      </c>
      <c r="G121" s="24" t="s">
        <v>955</v>
      </c>
      <c r="H121" s="25">
        <v>571</v>
      </c>
      <c r="I121" s="25">
        <v>364.9</v>
      </c>
      <c r="J121" s="26">
        <v>6.2E-2</v>
      </c>
      <c r="K121" s="26">
        <f t="shared" ca="1" si="32"/>
        <v>2.8027443693637133E-2</v>
      </c>
      <c r="L121" s="27">
        <v>4.1000000000000003E-3</v>
      </c>
      <c r="M121" s="27">
        <f t="shared" ca="1" si="33"/>
        <v>3.3033921959101374E-4</v>
      </c>
      <c r="N121" s="27">
        <v>0.99699000000000004</v>
      </c>
      <c r="O121" s="27">
        <v>243.9024</v>
      </c>
      <c r="P121" s="27">
        <f t="shared" ca="1" si="34"/>
        <v>19.651353369536764</v>
      </c>
      <c r="Q121" s="26">
        <v>0.105</v>
      </c>
      <c r="R121" s="26">
        <f t="shared" ca="1" si="35"/>
        <v>3.7059546678285198E-2</v>
      </c>
      <c r="S121" s="27">
        <f t="shared" si="36"/>
        <v>0.13822661235149919</v>
      </c>
      <c r="T121" s="26">
        <v>2.5999999999999999E-3</v>
      </c>
      <c r="U121" s="26">
        <f t="shared" ca="1" si="37"/>
        <v>1.0013510872815788E-3</v>
      </c>
      <c r="V121" s="25" t="e">
        <f ca="1">IF(agePb6U8(1/O121)&lt;1400,age7corr(1/O121,Q121,$W$2),agePb76(Q121))</f>
        <v>#NAME?</v>
      </c>
      <c r="W121" s="25" t="e">
        <f ca="1">IF(agePb6U8(1/O121)&lt;1400,ageer7corr(V121,1/O121,P121/O121*(1/O121),Q121,R121,$W$2,0.05),ageerPb76(Q121,R121))</f>
        <v>#NAME?</v>
      </c>
      <c r="X121" s="27" t="e">
        <f ca="1">agePb6U8(L121)/agePb7u5(J121)</f>
        <v>#NAME?</v>
      </c>
      <c r="Y121" s="25"/>
      <c r="Z121" s="25">
        <v>6.2E-2</v>
      </c>
      <c r="AA121" s="25">
        <v>2.8000000000000001E-2</v>
      </c>
      <c r="AB121" s="25">
        <v>4.1000000000000003E-3</v>
      </c>
      <c r="AC121" s="25">
        <v>3.2000000000000003E-4</v>
      </c>
      <c r="AD121" s="25">
        <v>0.99699000000000004</v>
      </c>
      <c r="AE121" s="25">
        <v>243.9024</v>
      </c>
      <c r="AF121" s="25">
        <v>19.036290000000001</v>
      </c>
      <c r="AG121" s="25">
        <v>0.105</v>
      </c>
      <c r="AH121" s="25">
        <v>3.6999999999999998E-2</v>
      </c>
      <c r="AI121" s="25">
        <v>-0.99382000000000004</v>
      </c>
      <c r="AJ121" s="25">
        <v>2.5999999999999999E-3</v>
      </c>
      <c r="AK121" s="25">
        <v>1E-3</v>
      </c>
      <c r="AL121" s="25">
        <v>2.99</v>
      </c>
      <c r="AM121" s="25">
        <v>0.56000000000000005</v>
      </c>
      <c r="AN121" s="25">
        <v>60</v>
      </c>
      <c r="AO121" s="25">
        <v>26</v>
      </c>
      <c r="AP121" s="25">
        <v>26.4</v>
      </c>
      <c r="AQ121" s="25">
        <v>2</v>
      </c>
      <c r="AR121" s="25">
        <v>53</v>
      </c>
      <c r="AS121" s="25">
        <v>20</v>
      </c>
      <c r="AT121" s="25">
        <v>1650</v>
      </c>
      <c r="AU121" s="25">
        <v>570</v>
      </c>
      <c r="AV121" s="25">
        <v>119.8</v>
      </c>
      <c r="AW121" s="25">
        <v>4.8</v>
      </c>
      <c r="AX121" s="25">
        <v>27.599999999999998</v>
      </c>
      <c r="AY121" s="25">
        <v>0.65</v>
      </c>
      <c r="AZ121" s="25">
        <v>6147.9</v>
      </c>
      <c r="BA121" s="25">
        <v>2173.5</v>
      </c>
      <c r="BB121" s="25">
        <v>1987.2</v>
      </c>
      <c r="BC121" s="25">
        <v>807.3</v>
      </c>
      <c r="BD121" s="25">
        <v>18692.099999999999</v>
      </c>
      <c r="BE121" s="25">
        <v>1242</v>
      </c>
      <c r="BF121" s="25">
        <v>111.78</v>
      </c>
      <c r="BG121" s="25">
        <v>74.52</v>
      </c>
      <c r="BH121" s="25">
        <f t="shared" si="38"/>
        <v>167.2222222222222</v>
      </c>
      <c r="BI121" s="25">
        <f t="shared" si="39"/>
        <v>112.03382303317757</v>
      </c>
    </row>
    <row r="122" spans="1:61" x14ac:dyDescent="0.2">
      <c r="A122" t="s">
        <v>962</v>
      </c>
      <c r="B122" t="s">
        <v>38</v>
      </c>
      <c r="C122" t="s">
        <v>963</v>
      </c>
      <c r="D122" t="s">
        <v>964</v>
      </c>
      <c r="E122">
        <v>36377</v>
      </c>
      <c r="F122">
        <v>19796</v>
      </c>
      <c r="G122" t="s">
        <v>964</v>
      </c>
      <c r="H122" s="1">
        <v>972</v>
      </c>
      <c r="I122" s="1">
        <v>276</v>
      </c>
      <c r="J122" s="11">
        <v>2.4279999999999999E-2</v>
      </c>
      <c r="K122" s="11">
        <f t="shared" ca="1" si="32"/>
        <v>6.9699882352841885E-4</v>
      </c>
      <c r="L122" s="8">
        <v>3.6519999999999999E-3</v>
      </c>
      <c r="M122" s="8">
        <f t="shared" ca="1" si="33"/>
        <v>7.5728736949720748E-5</v>
      </c>
      <c r="N122" s="8">
        <v>0.13758000000000001</v>
      </c>
      <c r="O122" s="9">
        <v>273.82260000000002</v>
      </c>
      <c r="P122" s="9">
        <f t="shared" ca="1" si="34"/>
        <v>5.6780502540995537</v>
      </c>
      <c r="Q122" s="10">
        <v>4.8099999999999997E-2</v>
      </c>
      <c r="R122" s="10">
        <f t="shared" ca="1" si="35"/>
        <v>1.3804144305243986E-3</v>
      </c>
      <c r="S122" s="9">
        <f t="shared" si="36"/>
        <v>0.49071411247177382</v>
      </c>
      <c r="T122" s="12">
        <v>1.199E-3</v>
      </c>
      <c r="U122" s="12">
        <f t="shared" ca="1" si="37"/>
        <v>2.998400240128059E-5</v>
      </c>
      <c r="V122" s="6" t="e">
        <f ca="1">IF(agePb6U8(1/O122)&lt;1400,age7corr(1/O122,Q122,$W$2),agePb76(Q122))</f>
        <v>#NAME?</v>
      </c>
      <c r="W122" s="6" t="e">
        <f ca="1">IF(agePb6U8(1/O122)&lt;1400,ageer7corr(V122,1/O122,P122/O122*(1/O122),Q122,R122,$W$2,0.05),ageerPb76(Q122,R122))</f>
        <v>#NAME?</v>
      </c>
      <c r="X122" s="4" t="e">
        <f ca="1">agePb6U8(L122)/agePb7u5(J122)</f>
        <v>#NAME?</v>
      </c>
      <c r="Z122" s="1">
        <v>2.4279999999999999E-2</v>
      </c>
      <c r="AA122" s="1">
        <v>5.0000000000000001E-4</v>
      </c>
      <c r="AB122" s="1">
        <v>3.6519999999999999E-3</v>
      </c>
      <c r="AC122" s="1">
        <v>2.0000000000000002E-5</v>
      </c>
      <c r="AD122" s="1">
        <v>0.13758000000000001</v>
      </c>
      <c r="AE122" s="1">
        <v>273.82260000000002</v>
      </c>
      <c r="AF122" s="1">
        <v>1.499576</v>
      </c>
      <c r="AG122" s="1">
        <v>4.8099999999999997E-2</v>
      </c>
      <c r="AH122" s="1">
        <v>9.8999999999999999E-4</v>
      </c>
      <c r="AI122" s="1">
        <v>0.17888999999999999</v>
      </c>
      <c r="AJ122" s="1">
        <v>1.199E-3</v>
      </c>
      <c r="AK122" s="1">
        <v>1.8E-5</v>
      </c>
      <c r="AL122" s="1">
        <v>11.01</v>
      </c>
      <c r="AM122" s="1">
        <v>0.17</v>
      </c>
      <c r="AN122" s="1">
        <v>24.36</v>
      </c>
      <c r="AO122" s="1">
        <v>0.49</v>
      </c>
      <c r="AP122" s="1">
        <v>23.5</v>
      </c>
      <c r="AQ122" s="1">
        <v>0.13</v>
      </c>
      <c r="AR122" s="1">
        <v>24.21</v>
      </c>
      <c r="AS122" s="1">
        <v>0.37</v>
      </c>
      <c r="AT122" s="1">
        <v>105</v>
      </c>
      <c r="AU122" s="1">
        <v>46</v>
      </c>
      <c r="AV122" s="1">
        <v>203.9</v>
      </c>
      <c r="AW122" s="1">
        <v>3.7</v>
      </c>
      <c r="AX122" s="1">
        <v>20.85</v>
      </c>
      <c r="AY122" s="1">
        <v>0.94</v>
      </c>
      <c r="AZ122" s="1">
        <v>2086.56</v>
      </c>
      <c r="BA122" s="1">
        <v>57.753</v>
      </c>
      <c r="BB122" s="1">
        <v>1334.529</v>
      </c>
      <c r="BC122" s="1">
        <v>34.776000000000003</v>
      </c>
      <c r="BD122" s="1">
        <v>28628.1</v>
      </c>
      <c r="BE122" s="1">
        <v>621</v>
      </c>
      <c r="BF122" s="1">
        <v>2.484</v>
      </c>
      <c r="BG122" s="1">
        <v>5.8995000000000006</v>
      </c>
      <c r="BH122" s="1">
        <f t="shared" si="38"/>
        <v>11525</v>
      </c>
      <c r="BI122" s="1">
        <f t="shared" si="39"/>
        <v>27373.016659031669</v>
      </c>
    </row>
    <row r="123" spans="1:61" x14ac:dyDescent="0.2">
      <c r="A123" t="s">
        <v>965</v>
      </c>
      <c r="B123" t="s">
        <v>38</v>
      </c>
      <c r="C123" t="s">
        <v>966</v>
      </c>
      <c r="D123" t="s">
        <v>967</v>
      </c>
      <c r="E123">
        <v>36318</v>
      </c>
      <c r="F123">
        <v>18966</v>
      </c>
      <c r="G123" t="s">
        <v>967</v>
      </c>
      <c r="H123" s="1">
        <v>115.1</v>
      </c>
      <c r="I123" s="1">
        <v>100.9</v>
      </c>
      <c r="J123" s="11">
        <v>2.4899999999999999E-2</v>
      </c>
      <c r="K123" s="11">
        <f t="shared" ca="1" si="32"/>
        <v>1.4859353956346824E-3</v>
      </c>
      <c r="L123" s="8">
        <v>3.8370000000000001E-3</v>
      </c>
      <c r="M123" s="8">
        <f t="shared" ca="1" si="33"/>
        <v>8.5194058478276513E-5</v>
      </c>
      <c r="N123" s="8">
        <v>0.36215999999999998</v>
      </c>
      <c r="O123" s="9">
        <v>260.62029999999999</v>
      </c>
      <c r="P123" s="9">
        <f t="shared" ca="1" si="34"/>
        <v>5.7866302092616912</v>
      </c>
      <c r="Q123" s="10">
        <v>4.6899999999999997E-2</v>
      </c>
      <c r="R123" s="10">
        <f t="shared" ca="1" si="35"/>
        <v>2.6701767731743906E-3</v>
      </c>
      <c r="S123" s="9">
        <f t="shared" si="36"/>
        <v>0.30534839628698202</v>
      </c>
      <c r="T123" s="12">
        <v>1.2030000000000001E-3</v>
      </c>
      <c r="U123" s="12">
        <f t="shared" ca="1" si="37"/>
        <v>3.2601895650406585E-5</v>
      </c>
      <c r="V123" s="6" t="e">
        <f ca="1">IF(agePb6U8(1/O123)&lt;1400,age7corr(1/O123,Q123,$W$2),agePb76(Q123))</f>
        <v>#NAME?</v>
      </c>
      <c r="W123" s="6" t="e">
        <f ca="1">IF(agePb6U8(1/O123)&lt;1400,ageer7corr(V123,1/O123,P123/O123*(1/O123),Q123,R123,$W$2,0.05),ageerPb76(Q123,R123))</f>
        <v>#NAME?</v>
      </c>
      <c r="X123" s="4" t="e">
        <f ca="1">agePb6U8(L123)/agePb7u5(J123)</f>
        <v>#NAME?</v>
      </c>
      <c r="Z123" s="1">
        <v>2.4899999999999999E-2</v>
      </c>
      <c r="AA123" s="1">
        <v>1.4E-3</v>
      </c>
      <c r="AB123" s="1">
        <v>3.8370000000000001E-3</v>
      </c>
      <c r="AC123" s="1">
        <v>3.6999999999999998E-5</v>
      </c>
      <c r="AD123" s="1">
        <v>0.36215999999999998</v>
      </c>
      <c r="AE123" s="1">
        <v>260.62029999999999</v>
      </c>
      <c r="AF123" s="1">
        <v>2.5131480000000002</v>
      </c>
      <c r="AG123" s="1">
        <v>4.6899999999999997E-2</v>
      </c>
      <c r="AH123" s="1">
        <v>2.5000000000000001E-3</v>
      </c>
      <c r="AI123" s="1">
        <v>-0.18737999999999999</v>
      </c>
      <c r="AJ123" s="1">
        <v>1.2030000000000001E-3</v>
      </c>
      <c r="AK123" s="1">
        <v>2.1999999999999999E-5</v>
      </c>
      <c r="AL123" s="1">
        <v>3.8</v>
      </c>
      <c r="AM123" s="1">
        <v>0.14000000000000001</v>
      </c>
      <c r="AN123" s="1">
        <v>25</v>
      </c>
      <c r="AO123" s="1">
        <v>1.3</v>
      </c>
      <c r="AP123" s="1">
        <v>24.69</v>
      </c>
      <c r="AQ123" s="1">
        <v>0.24</v>
      </c>
      <c r="AR123" s="1">
        <v>24.31</v>
      </c>
      <c r="AS123" s="1">
        <v>0.45</v>
      </c>
      <c r="AT123" s="1">
        <v>60</v>
      </c>
      <c r="AU123" s="1">
        <v>110</v>
      </c>
      <c r="AV123" s="1">
        <v>24.14</v>
      </c>
      <c r="AW123" s="1">
        <v>0.76999999999999991</v>
      </c>
      <c r="AX123" s="1">
        <v>7.63</v>
      </c>
      <c r="AY123" s="1">
        <v>0.2</v>
      </c>
      <c r="AZ123" s="1">
        <v>764.45100000000014</v>
      </c>
      <c r="BA123" s="1">
        <v>19.872</v>
      </c>
      <c r="BB123" s="1">
        <v>168.291</v>
      </c>
      <c r="BC123" s="1">
        <v>11.799000000000001</v>
      </c>
      <c r="BD123" s="1">
        <v>3583.17</v>
      </c>
      <c r="BE123" s="1">
        <v>117.99</v>
      </c>
      <c r="BF123" s="1">
        <v>-55.89</v>
      </c>
      <c r="BG123" s="1">
        <v>7.4519999999999991</v>
      </c>
      <c r="BH123" s="1">
        <f t="shared" si="38"/>
        <v>-64.111111111111114</v>
      </c>
      <c r="BI123" s="1">
        <f t="shared" si="39"/>
        <v>-8.8049773927106365</v>
      </c>
    </row>
    <row r="124" spans="1:61" x14ac:dyDescent="0.2">
      <c r="X124" s="4"/>
    </row>
    <row r="125" spans="1:61" x14ac:dyDescent="0.2">
      <c r="X125" s="4"/>
    </row>
    <row r="126" spans="1:61" x14ac:dyDescent="0.2">
      <c r="A126" t="s">
        <v>884</v>
      </c>
      <c r="B126" t="s">
        <v>38</v>
      </c>
      <c r="C126" t="s">
        <v>885</v>
      </c>
      <c r="D126" t="s">
        <v>886</v>
      </c>
      <c r="E126">
        <v>39078</v>
      </c>
      <c r="F126">
        <v>45873</v>
      </c>
      <c r="G126" t="s">
        <v>886</v>
      </c>
      <c r="H126" s="1">
        <v>202</v>
      </c>
      <c r="I126" s="1">
        <v>176</v>
      </c>
      <c r="J126" s="11">
        <v>3.9699999999999999E-2</v>
      </c>
      <c r="K126" s="11">
        <f ca="1">SQRT(K$2^2+(AA126/Z126)^2)*J126</f>
        <v>1.6971847277182292E-3</v>
      </c>
      <c r="L126" s="8">
        <v>6.0410000000000004E-3</v>
      </c>
      <c r="M126" s="8">
        <f ca="1">SQRT(M$2^2+(AC126/AB126)^2)*L126</f>
        <v>1.3963334988461749E-4</v>
      </c>
      <c r="N126" s="8">
        <v>0.61412999999999995</v>
      </c>
      <c r="O126" s="9">
        <v>165.53550000000001</v>
      </c>
      <c r="P126" s="9">
        <f ca="1">SQRT(P$2^2+(AF126/AE126)^2)*O126</f>
        <v>3.8262333650340778</v>
      </c>
      <c r="Q126" s="10">
        <v>4.7500000000000001E-2</v>
      </c>
      <c r="R126" s="10">
        <f ca="1">SQRT(R$2^2+(AH126/AG126)^2)*Q126</f>
        <v>2.1242645786248003E-3</v>
      </c>
      <c r="S126" s="9">
        <f>(((BE126/BD126)^2+(AW126/AV126)^2)+((BE126/BD126)^2+(BC126/BB126)^2)-((BC126/BB126)^2+(AW126/AV126)^2))/(2*SQRT((BE126/BD126)^2+(AW126/AV126)^2)*SQRT((BE126/BD126)^2+(BC126/BB126)^2))</f>
        <v>0.38071593898995176</v>
      </c>
      <c r="T126" s="12">
        <v>1.8060000000000001E-3</v>
      </c>
      <c r="U126" s="12">
        <f ca="1">SQRT(U$2^2+(AK126/AJ126)^2)*T126</f>
        <v>4.5096057477344963E-5</v>
      </c>
      <c r="V126" s="6" t="e">
        <f ca="1">IF(agePb6U8(1/O126)&lt;1400,age7corr(1/O126,Q126,$W$2),agePb76(Q126))</f>
        <v>#NAME?</v>
      </c>
      <c r="W126" s="6" t="e">
        <f ca="1">IF(agePb6U8(1/O126)&lt;1400,ageer7corr(V126,1/O126,P126/O126*(1/O126),Q126,R126,$W$2,0.05),ageerPb76(Q126,R126))</f>
        <v>#NAME?</v>
      </c>
      <c r="X126" s="4" t="e">
        <f ca="1">agePb6U8(L126)/agePb7u5(J126)</f>
        <v>#NAME?</v>
      </c>
      <c r="Z126" s="1">
        <v>3.9699999999999999E-2</v>
      </c>
      <c r="AA126" s="1">
        <v>1.5E-3</v>
      </c>
      <c r="AB126" s="1">
        <v>6.0410000000000004E-3</v>
      </c>
      <c r="AC126" s="1">
        <v>6.9999999999999994E-5</v>
      </c>
      <c r="AD126" s="1">
        <v>0.61412999999999995</v>
      </c>
      <c r="AE126" s="1">
        <v>165.53550000000001</v>
      </c>
      <c r="AF126" s="1">
        <v>1.91814</v>
      </c>
      <c r="AG126" s="1">
        <v>4.7500000000000001E-2</v>
      </c>
      <c r="AH126" s="1">
        <v>1.9E-3</v>
      </c>
      <c r="AI126" s="1">
        <v>-0.3624</v>
      </c>
      <c r="AJ126" s="1">
        <v>1.8060000000000001E-3</v>
      </c>
      <c r="AK126" s="1">
        <v>2.6999999999999999E-5</v>
      </c>
      <c r="AL126" s="1">
        <v>4.2320000000000002</v>
      </c>
      <c r="AM126" s="1">
        <v>5.5E-2</v>
      </c>
      <c r="AN126" s="1">
        <v>39.5</v>
      </c>
      <c r="AO126" s="1">
        <v>1.5</v>
      </c>
      <c r="AP126" s="1">
        <v>38.83</v>
      </c>
      <c r="AQ126" s="1">
        <v>0.45</v>
      </c>
      <c r="AR126" s="1">
        <v>36.47</v>
      </c>
      <c r="AS126" s="1">
        <v>0.55000000000000004</v>
      </c>
      <c r="AT126" s="1">
        <v>80</v>
      </c>
      <c r="AU126" s="1">
        <v>82</v>
      </c>
      <c r="AV126" s="1">
        <v>42.4</v>
      </c>
      <c r="AW126" s="1">
        <v>2.4</v>
      </c>
      <c r="AX126" s="1">
        <v>13.34</v>
      </c>
      <c r="AY126" s="1">
        <v>0.59000000000000008</v>
      </c>
      <c r="AZ126" s="1">
        <v>1918.89</v>
      </c>
      <c r="BA126" s="1">
        <v>99.359999999999985</v>
      </c>
      <c r="BB126" s="1">
        <v>466.99199999999996</v>
      </c>
      <c r="BC126" s="1">
        <v>30.428999999999998</v>
      </c>
      <c r="BD126" s="1">
        <v>10022.939999999999</v>
      </c>
      <c r="BE126" s="1">
        <v>478.17000000000007</v>
      </c>
      <c r="BF126" s="1">
        <v>-37.26</v>
      </c>
      <c r="BG126" s="1">
        <v>8.0729999999999986</v>
      </c>
      <c r="BH126" s="1">
        <f>BD126/BF126</f>
        <v>-269</v>
      </c>
      <c r="BI126" s="1">
        <f>SQRT((BG126/BF126)^2+(BE126/BD126)^2)*BH126</f>
        <v>-59.6794888457407</v>
      </c>
    </row>
    <row r="127" spans="1:61" x14ac:dyDescent="0.2">
      <c r="A127" t="s">
        <v>233</v>
      </c>
      <c r="B127" t="s">
        <v>38</v>
      </c>
      <c r="C127" t="s">
        <v>234</v>
      </c>
      <c r="D127" t="s">
        <v>235</v>
      </c>
      <c r="E127">
        <v>38853</v>
      </c>
      <c r="F127">
        <v>45806</v>
      </c>
      <c r="G127" t="s">
        <v>235</v>
      </c>
      <c r="H127" s="1">
        <v>207.7</v>
      </c>
      <c r="I127" s="1">
        <v>166.8</v>
      </c>
      <c r="J127" s="11">
        <v>3.7499999999999999E-2</v>
      </c>
      <c r="K127" s="11">
        <f ca="1">SQRT(K$2^2+(AA127/Z127)^2)*J127</f>
        <v>1.2500000000000002E-3</v>
      </c>
      <c r="L127" s="8">
        <v>5.9899999999999997E-3</v>
      </c>
      <c r="M127" s="8">
        <f ca="1">SQRT(M$2^2+(AC127/AB127)^2)*L127</f>
        <v>1.626408312816926E-4</v>
      </c>
      <c r="N127" s="8">
        <v>0.40188000000000001</v>
      </c>
      <c r="O127" s="9">
        <v>166.94489999999999</v>
      </c>
      <c r="P127" s="9">
        <f ca="1">SQRT(P$2^2+(AF127/AE127)^2)*O127</f>
        <v>4.5328976407106305</v>
      </c>
      <c r="Q127" s="10">
        <v>4.5199999999999997E-2</v>
      </c>
      <c r="R127" s="10">
        <f ca="1">SQRT(R$2^2+(AH127/AG127)^2)*Q127</f>
        <v>1.751346910237946E-3</v>
      </c>
      <c r="S127" s="9">
        <f>(((BE127/BD127)^2+(AW127/AV127)^2)+((BE127/BD127)^2+(BC127/BB127)^2)-((BC127/BB127)^2+(AW127/AV127)^2))/(2*SQRT((BE127/BD127)^2+(AW127/AV127)^2)*SQRT((BE127/BD127)^2+(BC127/BB127)^2))</f>
        <v>0.16771547385686988</v>
      </c>
      <c r="T127" s="12">
        <v>1.8190000000000001E-3</v>
      </c>
      <c r="U127" s="12">
        <f ca="1">SQRT(U$2^2+(AK127/AJ127)^2)*T127</f>
        <v>5.7092069501814346E-5</v>
      </c>
      <c r="V127" s="6" t="e">
        <f ca="1">IF(agePb6U8(1/O127)&lt;1400,age7corr(1/O127,Q127,$W$2),agePb76(Q127))</f>
        <v>#NAME?</v>
      </c>
      <c r="W127" s="6" t="e">
        <f ca="1">IF(agePb6U8(1/O127)&lt;1400,ageer7corr(V127,1/O127,P127/O127*(1/O127),Q127,R127,$W$2,0.05),ageerPb76(Q127,R127))</f>
        <v>#NAME?</v>
      </c>
      <c r="X127" s="4" t="e">
        <f ca="1">agePb6U8(L127)/agePb7u5(J127)</f>
        <v>#NAME?</v>
      </c>
      <c r="Z127" s="1">
        <v>3.7499999999999999E-2</v>
      </c>
      <c r="AA127" s="1">
        <v>1E-3</v>
      </c>
      <c r="AB127" s="1">
        <v>5.9899999999999997E-3</v>
      </c>
      <c r="AC127" s="1">
        <v>1.1E-4</v>
      </c>
      <c r="AD127" s="1">
        <v>0.40188000000000001</v>
      </c>
      <c r="AE127" s="1">
        <v>166.94489999999999</v>
      </c>
      <c r="AF127" s="1">
        <v>3.065766</v>
      </c>
      <c r="AG127" s="1">
        <v>4.5199999999999997E-2</v>
      </c>
      <c r="AH127" s="1">
        <v>1.5E-3</v>
      </c>
      <c r="AI127" s="1">
        <v>0.28927000000000003</v>
      </c>
      <c r="AJ127" s="1">
        <v>1.8190000000000001E-3</v>
      </c>
      <c r="AK127" s="1">
        <v>4.3999999999999999E-5</v>
      </c>
      <c r="AL127" s="1">
        <v>4.2510000000000003</v>
      </c>
      <c r="AM127" s="1">
        <v>0.06</v>
      </c>
      <c r="AN127" s="1">
        <v>37.4</v>
      </c>
      <c r="AO127" s="1">
        <v>1</v>
      </c>
      <c r="AP127" s="1">
        <v>38.53</v>
      </c>
      <c r="AQ127" s="1">
        <v>0.68</v>
      </c>
      <c r="AR127" s="1">
        <v>36.729999999999997</v>
      </c>
      <c r="AS127" s="1">
        <v>0.89</v>
      </c>
      <c r="AT127" s="1">
        <v>-24</v>
      </c>
      <c r="AU127" s="1">
        <v>63</v>
      </c>
      <c r="AV127" s="1">
        <v>44.55</v>
      </c>
      <c r="AW127" s="1">
        <v>0.68</v>
      </c>
      <c r="AX127" s="1">
        <v>12.87</v>
      </c>
      <c r="AY127" s="1">
        <v>0.23</v>
      </c>
      <c r="AZ127" s="1">
        <v>1983.4740000000002</v>
      </c>
      <c r="BA127" s="1">
        <v>33.533999999999999</v>
      </c>
      <c r="BB127" s="1">
        <v>465.75000000000006</v>
      </c>
      <c r="BC127" s="1">
        <v>14.903999999999998</v>
      </c>
      <c r="BD127" s="1">
        <v>10389.33</v>
      </c>
      <c r="BE127" s="1">
        <v>105.57000000000001</v>
      </c>
      <c r="BF127" s="1">
        <v>8.0729999999999986</v>
      </c>
      <c r="BG127" s="1">
        <v>5.2784999999999993</v>
      </c>
      <c r="BH127" s="1">
        <f>BD127/BF127</f>
        <v>1286.9230769230771</v>
      </c>
      <c r="BI127" s="1">
        <f>SQRT((BG127/BF127)^2+(BE127/BD127)^2)*BH127</f>
        <v>841.55131187458755</v>
      </c>
    </row>
    <row r="128" spans="1:61" x14ac:dyDescent="0.2">
      <c r="A128" t="s">
        <v>449</v>
      </c>
      <c r="B128" t="s">
        <v>38</v>
      </c>
      <c r="C128" t="s">
        <v>450</v>
      </c>
      <c r="D128" t="s">
        <v>451</v>
      </c>
      <c r="E128">
        <v>39000</v>
      </c>
      <c r="F128">
        <v>45923</v>
      </c>
      <c r="G128" t="s">
        <v>451</v>
      </c>
      <c r="H128" s="1">
        <v>209.5</v>
      </c>
      <c r="I128" s="1">
        <v>170</v>
      </c>
      <c r="J128" s="11">
        <v>3.85E-2</v>
      </c>
      <c r="K128" s="11">
        <f ca="1">SQRT(K$2^2+(AA128/Z128)^2)*J128</f>
        <v>1.7756407294269862E-3</v>
      </c>
      <c r="L128" s="8">
        <v>5.96E-3</v>
      </c>
      <c r="M128" s="8">
        <f ca="1">SQRT(M$2^2+(AC128/AB128)^2)*L128</f>
        <v>2.0762620258531919E-4</v>
      </c>
      <c r="N128" s="8">
        <v>0.57377999999999996</v>
      </c>
      <c r="O128" s="9">
        <v>167.7852</v>
      </c>
      <c r="P128" s="9">
        <f ca="1">SQRT(P$2^2+(AF128/AE128)^2)*O128</f>
        <v>5.8450682124348221</v>
      </c>
      <c r="Q128" s="10">
        <v>4.6399999999999997E-2</v>
      </c>
      <c r="R128" s="10">
        <f ca="1">SQRT(R$2^2+(AH128/AG128)^2)*Q128</f>
        <v>1.6796380562490241E-3</v>
      </c>
      <c r="S128" s="9">
        <f>(((BE128/BD128)^2+(AW128/AV128)^2)+((BE128/BD128)^2+(BC128/BB128)^2)-((BC128/BB128)^2+(AW128/AV128)^2))/(2*SQRT((BE128/BD128)^2+(AW128/AV128)^2)*SQRT((BE128/BD128)^2+(BC128/BB128)^2))</f>
        <v>0.25515696129583898</v>
      </c>
      <c r="T128" s="12">
        <v>1.8090000000000001E-3</v>
      </c>
      <c r="U128" s="12">
        <f ca="1">SQRT(U$2^2+(AK128/AJ128)^2)*T128</f>
        <v>4.8969300587204634E-5</v>
      </c>
      <c r="V128" s="6" t="e">
        <f ca="1">IF(agePb6U8(1/O128)&lt;1400,age7corr(1/O128,Q128,$W$2),agePb76(Q128))</f>
        <v>#NAME?</v>
      </c>
      <c r="W128" s="6" t="e">
        <f ca="1">IF(agePb6U8(1/O128)&lt;1400,ageer7corr(V128,1/O128,P128/O128*(1/O128),Q128,R128,$W$2,0.05),ageerPb76(Q128,R128))</f>
        <v>#NAME?</v>
      </c>
      <c r="X128" s="4" t="e">
        <f ca="1">agePb6U8(L128)/agePb7u5(J128)</f>
        <v>#NAME?</v>
      </c>
      <c r="Z128" s="1">
        <v>3.85E-2</v>
      </c>
      <c r="AA128" s="1">
        <v>1.6000000000000001E-3</v>
      </c>
      <c r="AB128" s="1">
        <v>5.96E-3</v>
      </c>
      <c r="AC128" s="1">
        <v>1.7000000000000001E-4</v>
      </c>
      <c r="AD128" s="1">
        <v>0.57377999999999996</v>
      </c>
      <c r="AE128" s="1">
        <v>167.7852</v>
      </c>
      <c r="AF128" s="1">
        <v>4.7858200000000002</v>
      </c>
      <c r="AG128" s="1">
        <v>4.6399999999999997E-2</v>
      </c>
      <c r="AH128" s="1">
        <v>1.4E-3</v>
      </c>
      <c r="AI128" s="1">
        <v>0.13636000000000001</v>
      </c>
      <c r="AJ128" s="1">
        <v>1.8090000000000001E-3</v>
      </c>
      <c r="AK128" s="1">
        <v>3.3000000000000003E-5</v>
      </c>
      <c r="AL128" s="1">
        <v>4.194</v>
      </c>
      <c r="AM128" s="1">
        <v>5.5E-2</v>
      </c>
      <c r="AN128" s="1">
        <v>38.4</v>
      </c>
      <c r="AO128" s="1">
        <v>1.6</v>
      </c>
      <c r="AP128" s="1">
        <v>38.299999999999997</v>
      </c>
      <c r="AQ128" s="1">
        <v>1.1000000000000001</v>
      </c>
      <c r="AR128" s="1">
        <v>36.54</v>
      </c>
      <c r="AS128" s="1">
        <v>0.66</v>
      </c>
      <c r="AT128" s="1">
        <v>29</v>
      </c>
      <c r="AU128" s="1">
        <v>61</v>
      </c>
      <c r="AV128" s="1">
        <v>44.64</v>
      </c>
      <c r="AW128" s="1">
        <v>0.8899999999999999</v>
      </c>
      <c r="AX128" s="1">
        <v>13.04</v>
      </c>
      <c r="AY128" s="1">
        <v>0.22</v>
      </c>
      <c r="AZ128" s="1">
        <v>1965.4649999999999</v>
      </c>
      <c r="BA128" s="1">
        <v>35.397000000000006</v>
      </c>
      <c r="BB128" s="1">
        <v>471.96</v>
      </c>
      <c r="BC128" s="1">
        <v>16.145999999999997</v>
      </c>
      <c r="BD128" s="1">
        <v>10364.49</v>
      </c>
      <c r="BE128" s="1">
        <v>161.45999999999998</v>
      </c>
      <c r="BF128" s="1">
        <v>2.484</v>
      </c>
      <c r="BG128" s="1">
        <v>4.4091000000000005</v>
      </c>
      <c r="BH128" s="1">
        <f>BD128/BF128</f>
        <v>4172.5</v>
      </c>
      <c r="BI128" s="1">
        <f>SQRT((BG128/BF128)^2+(BE128/BD128)^2)*BH128</f>
        <v>7406.4727289821476</v>
      </c>
    </row>
    <row r="129" spans="1:61" x14ac:dyDescent="0.2">
      <c r="A129" t="s">
        <v>668</v>
      </c>
      <c r="B129" t="s">
        <v>38</v>
      </c>
      <c r="C129" t="s">
        <v>669</v>
      </c>
      <c r="D129" t="s">
        <v>670</v>
      </c>
      <c r="E129">
        <v>39037</v>
      </c>
      <c r="F129">
        <v>45925</v>
      </c>
      <c r="G129" t="s">
        <v>670</v>
      </c>
      <c r="H129" s="1">
        <v>198</v>
      </c>
      <c r="I129" s="1">
        <v>174.8</v>
      </c>
      <c r="J129" s="11">
        <v>4.0099999999999997E-2</v>
      </c>
      <c r="K129" s="11">
        <f ca="1">SQRT(K$2^2+(AA129/Z129)^2)*J129</f>
        <v>1.9705846848080393E-3</v>
      </c>
      <c r="L129" s="8">
        <v>6.0340000000000003E-3</v>
      </c>
      <c r="M129" s="8">
        <f ca="1">SQRT(M$2^2+(AC129/AB129)^2)*L129</f>
        <v>1.4156151454403136E-4</v>
      </c>
      <c r="N129" s="8">
        <v>0.65739999999999998</v>
      </c>
      <c r="O129" s="9">
        <v>165.72749999999999</v>
      </c>
      <c r="P129" s="9">
        <f ca="1">SQRT(P$2^2+(AF129/AE129)^2)*O129</f>
        <v>3.8880739569144001</v>
      </c>
      <c r="Q129" s="10">
        <v>4.7E-2</v>
      </c>
      <c r="R129" s="10">
        <f ca="1">SQRT(R$2^2+(AH129/AG129)^2)*Q129</f>
        <v>1.7701977290687048E-3</v>
      </c>
      <c r="S129" s="9">
        <f>(((BE129/BD129)^2+(AW129/AV129)^2)+((BE129/BD129)^2+(BC129/BB129)^2)-((BC129/BB129)^2+(AW129/AV129)^2))/(2*SQRT((BE129/BD129)^2+(AW129/AV129)^2)*SQRT((BE129/BD129)^2+(BC129/BB129)^2))</f>
        <v>0.34702968438211196</v>
      </c>
      <c r="T129" s="12">
        <v>1.804E-3</v>
      </c>
      <c r="U129" s="12">
        <f ca="1">SQRT(U$2^2+(AK129/AJ129)^2)*T129</f>
        <v>4.6922983707347515E-5</v>
      </c>
      <c r="V129" s="6" t="e">
        <f ca="1">IF(agePb6U8(1/O129)&lt;1400,age7corr(1/O129,Q129,$W$2),agePb76(Q129))</f>
        <v>#NAME?</v>
      </c>
      <c r="W129" s="6" t="e">
        <f ca="1">IF(agePb6U8(1/O129)&lt;1400,ageer7corr(V129,1/O129,P129/O129*(1/O129),Q129,R129,$W$2,0.05),ageerPb76(Q129,R129))</f>
        <v>#NAME?</v>
      </c>
      <c r="X129" s="4" t="e">
        <f ca="1">agePb6U8(L129)/agePb7u5(J129)</f>
        <v>#NAME?</v>
      </c>
      <c r="Z129" s="1">
        <v>4.0099999999999997E-2</v>
      </c>
      <c r="AA129" s="1">
        <v>1.8E-3</v>
      </c>
      <c r="AB129" s="1">
        <v>6.0340000000000003E-3</v>
      </c>
      <c r="AC129" s="1">
        <v>7.3999999999999996E-5</v>
      </c>
      <c r="AD129" s="1">
        <v>0.65739999999999998</v>
      </c>
      <c r="AE129" s="1">
        <v>165.72749999999999</v>
      </c>
      <c r="AF129" s="1">
        <v>2.0324559999999998</v>
      </c>
      <c r="AG129" s="1">
        <v>4.7E-2</v>
      </c>
      <c r="AH129" s="1">
        <v>1.5E-3</v>
      </c>
      <c r="AI129" s="1">
        <v>8.8285000000000002E-2</v>
      </c>
      <c r="AJ129" s="1">
        <v>1.804E-3</v>
      </c>
      <c r="AK129" s="1">
        <v>3.0000000000000001E-5</v>
      </c>
      <c r="AL129" s="1">
        <v>4.234</v>
      </c>
      <c r="AM129" s="1">
        <v>5.2999999999999999E-2</v>
      </c>
      <c r="AN129" s="1">
        <v>39.9</v>
      </c>
      <c r="AO129" s="1">
        <v>1.7</v>
      </c>
      <c r="AP129" s="1">
        <v>38.78</v>
      </c>
      <c r="AQ129" s="1">
        <v>0.47</v>
      </c>
      <c r="AR129" s="1">
        <v>36.42</v>
      </c>
      <c r="AS129" s="1">
        <v>0.61</v>
      </c>
      <c r="AT129" s="1">
        <v>57</v>
      </c>
      <c r="AU129" s="1">
        <v>65</v>
      </c>
      <c r="AV129" s="1">
        <v>42</v>
      </c>
      <c r="AW129" s="1">
        <v>2.6</v>
      </c>
      <c r="AX129" s="1">
        <v>13.32</v>
      </c>
      <c r="AY129" s="1">
        <v>0.67</v>
      </c>
      <c r="AZ129" s="1">
        <v>1918.89</v>
      </c>
      <c r="BA129" s="1">
        <v>86.94</v>
      </c>
      <c r="BB129" s="1">
        <v>469.476</v>
      </c>
      <c r="BC129" s="1">
        <v>27.324000000000002</v>
      </c>
      <c r="BD129" s="1">
        <v>10072.620000000001</v>
      </c>
      <c r="BE129" s="1">
        <v>440.90999999999997</v>
      </c>
      <c r="BF129" s="1">
        <v>-3.7259999999999995</v>
      </c>
      <c r="BG129" s="1">
        <v>5.6510999999999996</v>
      </c>
      <c r="BH129" s="1">
        <f>BD129/BF129</f>
        <v>-2703.3333333333339</v>
      </c>
      <c r="BI129" s="1">
        <f>SQRT((BG129/BF129)^2+(BE129/BD129)^2)*BH129</f>
        <v>-4101.7628327854063</v>
      </c>
    </row>
    <row r="130" spans="1:61" x14ac:dyDescent="0.2">
      <c r="X130" s="4"/>
    </row>
    <row r="132" spans="1:61" x14ac:dyDescent="0.2">
      <c r="A132" t="s">
        <v>56</v>
      </c>
      <c r="B132" t="s">
        <v>38</v>
      </c>
      <c r="C132" t="s">
        <v>57</v>
      </c>
      <c r="D132" t="s">
        <v>58</v>
      </c>
      <c r="E132">
        <v>81268</v>
      </c>
      <c r="F132">
        <v>55931</v>
      </c>
      <c r="G132" t="s">
        <v>58</v>
      </c>
      <c r="H132" s="1">
        <v>137.19999999999999</v>
      </c>
      <c r="I132" s="1">
        <v>69.5</v>
      </c>
      <c r="J132" s="11">
        <v>2.4300000000000002</v>
      </c>
      <c r="K132" s="11">
        <f t="shared" ref="K132:K163" ca="1" si="40">SQRT(K$2^2+(AA132/Z132)^2)*J132</f>
        <v>0.13878746341078507</v>
      </c>
      <c r="L132" s="8">
        <v>0.20499999999999999</v>
      </c>
      <c r="M132" s="8">
        <f t="shared" ref="M132:M163" ca="1" si="41">SQRT(M$2^2+(AC132/AB132)^2)*L132</f>
        <v>1.1739250401963492E-2</v>
      </c>
      <c r="N132" s="8">
        <v>0.99406000000000005</v>
      </c>
      <c r="O132" s="9">
        <v>4.8780489999999999</v>
      </c>
      <c r="P132" s="9">
        <f t="shared" ref="P132:P163" ca="1" si="42">SQRT(P$2^2+(AF132/AE132)^2)*O132</f>
        <v>0.27933972832298737</v>
      </c>
      <c r="Q132" s="10">
        <v>8.4269999999999998E-2</v>
      </c>
      <c r="R132" s="10">
        <f t="shared" ref="R132:R163" ca="1" si="43">SQRT(R$2^2+(AH132/AG132)^2)*Q132</f>
        <v>1.741887814986947E-3</v>
      </c>
      <c r="S132" s="9">
        <f t="shared" ref="S132:S163" si="44">(((BE132/BD132)^2+(AW132/AV132)^2)+((BE132/BD132)^2+(BC132/BB132)^2)-((BC132/BB132)^2+(AW132/AV132)^2))/(2*SQRT((BE132/BD132)^2+(AW132/AV132)^2)*SQRT((BE132/BD132)^2+(BC132/BB132)^2))</f>
        <v>0.47955938381478302</v>
      </c>
      <c r="T132" s="12">
        <v>8.7400000000000005E-2</v>
      </c>
      <c r="U132" s="12">
        <f t="shared" ref="U132:U163" ca="1" si="45">SQRT(U$2^2+(AK132/AJ132)^2)*T132</f>
        <v>4.3652610460314977E-3</v>
      </c>
      <c r="V132" s="6" t="e">
        <f ca="1">IF(agePb6U8(1/O132)&lt;1400,age7corr(1/O132,Q132,$W$2),agePb76(Q132))</f>
        <v>#NAME?</v>
      </c>
      <c r="W132" s="6" t="e">
        <f ca="1">IF(agePb6U8(1/O132)&lt;1400,ageer7corr(V132,1/O132,P132/O132*(1/O132),Q132,R132,$W$2,0.05),ageerPb76(Q132,R132))</f>
        <v>#NAME?</v>
      </c>
      <c r="X132" s="4" t="e">
        <f ca="1">agePb6U8(L132)/agePb7u5(J132)</f>
        <v>#NAME?</v>
      </c>
      <c r="Z132" s="1">
        <v>2.4300000000000002</v>
      </c>
      <c r="AA132" s="1">
        <v>0.13</v>
      </c>
      <c r="AB132" s="1">
        <v>0.20499999999999999</v>
      </c>
      <c r="AC132" s="1">
        <v>1.0999999999999999E-2</v>
      </c>
      <c r="AD132" s="1">
        <v>0.99406000000000005</v>
      </c>
      <c r="AE132" s="1">
        <v>4.8780489999999999</v>
      </c>
      <c r="AF132" s="1">
        <v>0.26174900000000001</v>
      </c>
      <c r="AG132" s="1">
        <v>8.4269999999999998E-2</v>
      </c>
      <c r="AH132" s="1">
        <v>4.4000000000000002E-4</v>
      </c>
      <c r="AI132" s="1">
        <v>1.5751999999999999E-2</v>
      </c>
      <c r="AJ132" s="1">
        <v>8.7400000000000005E-2</v>
      </c>
      <c r="AK132" s="1">
        <v>4.0000000000000001E-3</v>
      </c>
      <c r="AL132" s="1">
        <v>5.03</v>
      </c>
      <c r="AM132" s="1">
        <v>9.9000000000000005E-2</v>
      </c>
      <c r="AN132" s="1">
        <v>1250</v>
      </c>
      <c r="AO132" s="1">
        <v>38</v>
      </c>
      <c r="AP132" s="1">
        <v>1201</v>
      </c>
      <c r="AQ132" s="1">
        <v>57</v>
      </c>
      <c r="AR132" s="1">
        <v>1712</v>
      </c>
      <c r="AS132" s="1">
        <v>79</v>
      </c>
      <c r="AT132" s="1">
        <v>1299</v>
      </c>
      <c r="AU132" s="1">
        <v>10</v>
      </c>
      <c r="AV132" s="1">
        <v>29.58</v>
      </c>
      <c r="AW132" s="1">
        <v>0.8899999999999999</v>
      </c>
      <c r="AX132" s="1">
        <v>5.39</v>
      </c>
      <c r="AY132" s="1">
        <v>0.2</v>
      </c>
      <c r="AZ132" s="1">
        <v>38377.800000000003</v>
      </c>
      <c r="BA132" s="1">
        <v>1242</v>
      </c>
      <c r="BB132" s="1">
        <v>19828.530000000002</v>
      </c>
      <c r="BC132" s="1">
        <v>596.16</v>
      </c>
      <c r="BD132" s="1">
        <v>236601</v>
      </c>
      <c r="BE132" s="1">
        <v>6831</v>
      </c>
      <c r="BF132" s="1">
        <v>4.9059000000000008</v>
      </c>
      <c r="BG132" s="1">
        <v>4.8437999999999999</v>
      </c>
      <c r="BH132" s="1">
        <f t="shared" ref="BH132:BH163" si="46">BD132/BF132</f>
        <v>48227.848101265816</v>
      </c>
      <c r="BI132" s="1">
        <f t="shared" ref="BI132:BI163" si="47">SQRT((BG132/BF132)^2+(BE132/BD132)^2)*BH132</f>
        <v>47637.722693532116</v>
      </c>
    </row>
    <row r="133" spans="1:61" x14ac:dyDescent="0.2">
      <c r="A133" t="s">
        <v>59</v>
      </c>
      <c r="B133" t="s">
        <v>38</v>
      </c>
      <c r="C133" t="s">
        <v>60</v>
      </c>
      <c r="D133" t="s">
        <v>61</v>
      </c>
      <c r="E133">
        <v>81221</v>
      </c>
      <c r="F133">
        <v>56060</v>
      </c>
      <c r="G133" t="s">
        <v>61</v>
      </c>
      <c r="H133" s="1">
        <v>205.8</v>
      </c>
      <c r="I133" s="1">
        <v>165.8</v>
      </c>
      <c r="J133" s="11">
        <v>2.33</v>
      </c>
      <c r="K133" s="11">
        <f t="shared" ca="1" si="40"/>
        <v>8.0793316555269598E-2</v>
      </c>
      <c r="L133" s="8">
        <v>0.1956</v>
      </c>
      <c r="M133" s="8">
        <f t="shared" ca="1" si="41"/>
        <v>7.2466367371353726E-3</v>
      </c>
      <c r="N133" s="8">
        <v>0.94425000000000003</v>
      </c>
      <c r="O133" s="9">
        <v>5.1124739999999997</v>
      </c>
      <c r="P133" s="9">
        <f t="shared" ca="1" si="42"/>
        <v>0.18940819383511476</v>
      </c>
      <c r="Q133" s="10">
        <v>8.3879999999999996E-2</v>
      </c>
      <c r="R133" s="10">
        <f t="shared" ca="1" si="43"/>
        <v>1.9133064992311085E-3</v>
      </c>
      <c r="S133" s="9">
        <f t="shared" si="44"/>
        <v>0.39028371180198351</v>
      </c>
      <c r="T133" s="12">
        <v>8.3400000000000002E-2</v>
      </c>
      <c r="U133" s="12">
        <f t="shared" ca="1" si="45"/>
        <v>3.1736767321200185E-3</v>
      </c>
      <c r="V133" s="6" t="e">
        <f ca="1">IF(agePb6U8(1/O133)&lt;1400,age7corr(1/O133,Q133,$W$2),agePb76(Q133))</f>
        <v>#NAME?</v>
      </c>
      <c r="W133" s="6" t="e">
        <f ca="1">IF(agePb6U8(1/O133)&lt;1400,ageer7corr(V133,1/O133,P133/O133*(1/O133),Q133,R133,$W$2,0.05),ageerPb76(Q133,R133))</f>
        <v>#NAME?</v>
      </c>
      <c r="X133" s="4" t="e">
        <f ca="1">agePb6U8(L133)/agePb7u5(J133)</f>
        <v>#NAME?</v>
      </c>
      <c r="Z133" s="1">
        <v>2.33</v>
      </c>
      <c r="AA133" s="1">
        <v>6.6000000000000003E-2</v>
      </c>
      <c r="AB133" s="1">
        <v>0.1956</v>
      </c>
      <c r="AC133" s="1">
        <v>6.1000000000000004E-3</v>
      </c>
      <c r="AD133" s="1">
        <v>0.94425000000000003</v>
      </c>
      <c r="AE133" s="1">
        <v>5.1124739999999997</v>
      </c>
      <c r="AF133" s="1">
        <v>0.1594381</v>
      </c>
      <c r="AG133" s="1">
        <v>8.3879999999999996E-2</v>
      </c>
      <c r="AH133" s="1">
        <v>9.2000000000000003E-4</v>
      </c>
      <c r="AI133" s="1">
        <v>6.6714999999999997E-2</v>
      </c>
      <c r="AJ133" s="1">
        <v>8.3400000000000002E-2</v>
      </c>
      <c r="AK133" s="1">
        <v>2.7000000000000001E-3</v>
      </c>
      <c r="AL133" s="1">
        <v>3.141</v>
      </c>
      <c r="AM133" s="1">
        <v>1.4999999999999999E-2</v>
      </c>
      <c r="AN133" s="1">
        <v>1221</v>
      </c>
      <c r="AO133" s="1">
        <v>20</v>
      </c>
      <c r="AP133" s="1">
        <v>1151</v>
      </c>
      <c r="AQ133" s="1">
        <v>33</v>
      </c>
      <c r="AR133" s="1">
        <v>1619</v>
      </c>
      <c r="AS133" s="1">
        <v>50</v>
      </c>
      <c r="AT133" s="1">
        <v>1289</v>
      </c>
      <c r="AU133" s="1">
        <v>21</v>
      </c>
      <c r="AV133" s="1">
        <v>44.4</v>
      </c>
      <c r="AW133" s="1">
        <v>2</v>
      </c>
      <c r="AX133" s="1">
        <v>12.85</v>
      </c>
      <c r="AY133" s="1">
        <v>0.25</v>
      </c>
      <c r="AZ133" s="1">
        <v>88740.9</v>
      </c>
      <c r="BA133" s="1">
        <v>3353.4</v>
      </c>
      <c r="BB133" s="1">
        <v>28441.800000000003</v>
      </c>
      <c r="BC133" s="1">
        <v>1179.8999999999999</v>
      </c>
      <c r="BD133" s="1">
        <v>340929</v>
      </c>
      <c r="BE133" s="1">
        <v>11799</v>
      </c>
      <c r="BF133" s="1">
        <v>6.2099999999999991</v>
      </c>
      <c r="BG133" s="1">
        <v>7.4519999999999991</v>
      </c>
      <c r="BH133" s="1">
        <f t="shared" si="46"/>
        <v>54900.000000000007</v>
      </c>
      <c r="BI133" s="1">
        <f t="shared" si="47"/>
        <v>65907.392605078829</v>
      </c>
    </row>
    <row r="134" spans="1:61" x14ac:dyDescent="0.2">
      <c r="A134" t="s">
        <v>62</v>
      </c>
      <c r="B134" t="s">
        <v>38</v>
      </c>
      <c r="C134" t="s">
        <v>63</v>
      </c>
      <c r="D134" t="s">
        <v>64</v>
      </c>
      <c r="E134">
        <v>81058</v>
      </c>
      <c r="F134">
        <v>51621</v>
      </c>
      <c r="G134" t="s">
        <v>64</v>
      </c>
      <c r="H134" s="1">
        <v>65.2</v>
      </c>
      <c r="I134" s="1">
        <v>17.77</v>
      </c>
      <c r="J134" s="11">
        <v>4.29</v>
      </c>
      <c r="K134" s="11">
        <f t="shared" ca="1" si="40"/>
        <v>0.16420000000000004</v>
      </c>
      <c r="L134" s="8">
        <v>0.28570000000000001</v>
      </c>
      <c r="M134" s="8">
        <f t="shared" ca="1" si="41"/>
        <v>9.9126079313165624E-3</v>
      </c>
      <c r="N134" s="8">
        <v>0.98702999999999996</v>
      </c>
      <c r="O134" s="9">
        <v>3.500175</v>
      </c>
      <c r="P134" s="9">
        <f t="shared" ca="1" si="42"/>
        <v>0.12144158826224401</v>
      </c>
      <c r="Q134" s="10">
        <v>0.10643</v>
      </c>
      <c r="R134" s="10">
        <f t="shared" ca="1" si="43"/>
        <v>2.2810826289286412E-3</v>
      </c>
      <c r="S134" s="9">
        <f t="shared" si="44"/>
        <v>0.40361458348503199</v>
      </c>
      <c r="T134" s="12">
        <v>9.7000000000000003E-2</v>
      </c>
      <c r="U134" s="12">
        <f t="shared" ca="1" si="45"/>
        <v>3.3246954747765999E-3</v>
      </c>
      <c r="V134" s="6" t="e">
        <f ca="1">IF(agePb6U8(1/O134)&lt;1400,age7corr(1/O134,Q134,$W$2),agePb76(Q134))</f>
        <v>#NAME?</v>
      </c>
      <c r="W134" s="6" t="e">
        <f ca="1">IF(agePb6U8(1/O134)&lt;1400,ageer7corr(V134,1/O134,P134/O134*(1/O134),Q134,R134,$W$2,0.05),ageerPb76(Q134,R134))</f>
        <v>#NAME?</v>
      </c>
      <c r="X134" s="4" t="e">
        <f ca="1">agePb6U8(L134)/agePb7u5(J134)</f>
        <v>#NAME?</v>
      </c>
      <c r="Z134" s="1">
        <v>4.29</v>
      </c>
      <c r="AA134" s="1">
        <v>0.14000000000000001</v>
      </c>
      <c r="AB134" s="1">
        <v>0.28570000000000001</v>
      </c>
      <c r="AC134" s="1">
        <v>8.0999999999999996E-3</v>
      </c>
      <c r="AD134" s="1">
        <v>0.98702999999999996</v>
      </c>
      <c r="AE134" s="1">
        <v>3.500175</v>
      </c>
      <c r="AF134" s="1">
        <v>9.9234920000000004E-2</v>
      </c>
      <c r="AG134" s="1">
        <v>0.10643</v>
      </c>
      <c r="AH134" s="1">
        <v>8.1999999999999998E-4</v>
      </c>
      <c r="AI134" s="1">
        <v>-0.32162000000000002</v>
      </c>
      <c r="AJ134" s="1">
        <v>9.7000000000000003E-2</v>
      </c>
      <c r="AK134" s="1">
        <v>2.7000000000000001E-3</v>
      </c>
      <c r="AL134" s="1">
        <v>11.92</v>
      </c>
      <c r="AM134" s="1">
        <v>0.16</v>
      </c>
      <c r="AN134" s="1">
        <v>1690</v>
      </c>
      <c r="AO134" s="1">
        <v>27</v>
      </c>
      <c r="AP134" s="1">
        <v>1620</v>
      </c>
      <c r="AQ134" s="1">
        <v>41</v>
      </c>
      <c r="AR134" s="1">
        <v>1870</v>
      </c>
      <c r="AS134" s="1">
        <v>49</v>
      </c>
      <c r="AT134" s="1">
        <v>1739</v>
      </c>
      <c r="AU134" s="1">
        <v>14</v>
      </c>
      <c r="AV134" s="1">
        <v>14.069999999999999</v>
      </c>
      <c r="AW134" s="1">
        <v>0.42000000000000004</v>
      </c>
      <c r="AX134" s="1">
        <v>1.3780000000000001</v>
      </c>
      <c r="AY134" s="1">
        <v>3.6999999999999998E-2</v>
      </c>
      <c r="AZ134" s="1">
        <v>10910.97</v>
      </c>
      <c r="BA134" s="1">
        <v>291.87</v>
      </c>
      <c r="BB134" s="1">
        <v>16934.669999999998</v>
      </c>
      <c r="BC134" s="1">
        <v>453.33</v>
      </c>
      <c r="BD134" s="1">
        <v>160031.70000000001</v>
      </c>
      <c r="BE134" s="1">
        <v>3726.0000000000005</v>
      </c>
      <c r="BF134" s="1">
        <v>4.0985999999999994</v>
      </c>
      <c r="BG134" s="1">
        <v>4.7816999999999998</v>
      </c>
      <c r="BH134" s="1">
        <f t="shared" si="46"/>
        <v>39045.454545454551</v>
      </c>
      <c r="BI134" s="1">
        <f t="shared" si="47"/>
        <v>45562.100654708513</v>
      </c>
    </row>
    <row r="135" spans="1:61" x14ac:dyDescent="0.2">
      <c r="A135" t="s">
        <v>65</v>
      </c>
      <c r="B135" t="s">
        <v>38</v>
      </c>
      <c r="C135" t="s">
        <v>66</v>
      </c>
      <c r="D135" t="s">
        <v>67</v>
      </c>
      <c r="E135">
        <v>80975</v>
      </c>
      <c r="F135">
        <v>51866</v>
      </c>
      <c r="G135" t="s">
        <v>67</v>
      </c>
      <c r="H135" s="1">
        <v>146</v>
      </c>
      <c r="I135" s="1">
        <v>57.4</v>
      </c>
      <c r="J135" s="11">
        <v>1.806</v>
      </c>
      <c r="K135" s="11">
        <f t="shared" ca="1" si="40"/>
        <v>7.08918500252321E-2</v>
      </c>
      <c r="L135" s="8">
        <v>0.16900000000000001</v>
      </c>
      <c r="M135" s="8">
        <f t="shared" ca="1" si="41"/>
        <v>6.7995882228264392E-3</v>
      </c>
      <c r="N135" s="8">
        <v>0.98392000000000002</v>
      </c>
      <c r="O135" s="9">
        <v>5.91716</v>
      </c>
      <c r="P135" s="9">
        <f t="shared" ca="1" si="42"/>
        <v>0.23807248659053404</v>
      </c>
      <c r="Q135" s="10">
        <v>7.5870000000000007E-2</v>
      </c>
      <c r="R135" s="10">
        <f t="shared" ca="1" si="43"/>
        <v>1.5945540944100956E-3</v>
      </c>
      <c r="S135" s="9">
        <f t="shared" si="44"/>
        <v>0.5058374038277178</v>
      </c>
      <c r="T135" s="12">
        <v>5.91E-2</v>
      </c>
      <c r="U135" s="12">
        <f t="shared" ca="1" si="45"/>
        <v>2.9473927461402226E-3</v>
      </c>
      <c r="V135" s="6" t="e">
        <f ca="1">IF(agePb6U8(1/O135)&lt;1400,age7corr(1/O135,Q135,$W$2),agePb76(Q135))</f>
        <v>#NAME?</v>
      </c>
      <c r="W135" s="6" t="e">
        <f ca="1">IF(agePb6U8(1/O135)&lt;1400,ageer7corr(V135,1/O135,P135/O135*(1/O135),Q135,R135,$W$2,0.05),ageerPb76(Q135,R135))</f>
        <v>#NAME?</v>
      </c>
      <c r="X135" s="4" t="e">
        <f ca="1">agePb6U8(L135)/agePb7u5(J135)</f>
        <v>#NAME?</v>
      </c>
      <c r="Z135" s="1">
        <v>1.806</v>
      </c>
      <c r="AA135" s="1">
        <v>6.0999999999999999E-2</v>
      </c>
      <c r="AB135" s="1">
        <v>0.16900000000000001</v>
      </c>
      <c r="AC135" s="1">
        <v>5.8999999999999999E-3</v>
      </c>
      <c r="AD135" s="1">
        <v>0.98392000000000002</v>
      </c>
      <c r="AE135" s="1">
        <v>5.91716</v>
      </c>
      <c r="AF135" s="1">
        <v>0.20657539999999999</v>
      </c>
      <c r="AG135" s="1">
        <v>7.5870000000000007E-2</v>
      </c>
      <c r="AH135" s="1">
        <v>4.8999999999999998E-4</v>
      </c>
      <c r="AI135" s="1">
        <v>0.28323999999999999</v>
      </c>
      <c r="AJ135" s="1">
        <v>5.91E-2</v>
      </c>
      <c r="AK135" s="1">
        <v>2.7000000000000001E-3</v>
      </c>
      <c r="AL135" s="1">
        <v>7.8579999999999997</v>
      </c>
      <c r="AM135" s="1">
        <v>7.4999999999999997E-2</v>
      </c>
      <c r="AN135" s="1">
        <v>1047</v>
      </c>
      <c r="AO135" s="1">
        <v>22</v>
      </c>
      <c r="AP135" s="1">
        <v>1006</v>
      </c>
      <c r="AQ135" s="1">
        <v>33</v>
      </c>
      <c r="AR135" s="1">
        <v>1160</v>
      </c>
      <c r="AS135" s="1">
        <v>52</v>
      </c>
      <c r="AT135" s="1">
        <v>1091</v>
      </c>
      <c r="AU135" s="1">
        <v>13</v>
      </c>
      <c r="AV135" s="1">
        <v>31.49</v>
      </c>
      <c r="AW135" s="1">
        <v>0.9</v>
      </c>
      <c r="AX135" s="1">
        <v>4.45</v>
      </c>
      <c r="AY135" s="1">
        <v>0.23</v>
      </c>
      <c r="AZ135" s="1">
        <v>21716.37</v>
      </c>
      <c r="BA135" s="1">
        <v>521.64</v>
      </c>
      <c r="BB135" s="1">
        <v>15872.76</v>
      </c>
      <c r="BC135" s="1">
        <v>385.02</v>
      </c>
      <c r="BD135" s="1">
        <v>209090.7</v>
      </c>
      <c r="BE135" s="1">
        <v>5589.0000000000009</v>
      </c>
      <c r="BF135" s="1">
        <v>6.0858000000000008</v>
      </c>
      <c r="BG135" s="1">
        <v>3.7881000000000005</v>
      </c>
      <c r="BH135" s="1">
        <f t="shared" si="46"/>
        <v>34357.142857142855</v>
      </c>
      <c r="BI135" s="1">
        <f t="shared" si="47"/>
        <v>21405.278302634913</v>
      </c>
    </row>
    <row r="136" spans="1:61" x14ac:dyDescent="0.2">
      <c r="A136" t="s">
        <v>68</v>
      </c>
      <c r="B136" t="s">
        <v>38</v>
      </c>
      <c r="C136" t="s">
        <v>69</v>
      </c>
      <c r="D136" t="s">
        <v>70</v>
      </c>
      <c r="E136">
        <v>80966</v>
      </c>
      <c r="F136">
        <v>51979</v>
      </c>
      <c r="G136" t="s">
        <v>70</v>
      </c>
      <c r="H136" s="1">
        <v>166.1</v>
      </c>
      <c r="I136" s="1">
        <v>48.47</v>
      </c>
      <c r="J136" s="11">
        <v>2.3929999999999998</v>
      </c>
      <c r="K136" s="11">
        <f t="shared" ca="1" si="40"/>
        <v>8.3153951198965889E-2</v>
      </c>
      <c r="L136" s="8">
        <v>0.2044</v>
      </c>
      <c r="M136" s="8">
        <f t="shared" ca="1" si="41"/>
        <v>6.6934104909231436E-3</v>
      </c>
      <c r="N136" s="8">
        <v>0.98670000000000002</v>
      </c>
      <c r="O136" s="9">
        <v>4.8923680000000003</v>
      </c>
      <c r="P136" s="9">
        <f t="shared" ca="1" si="42"/>
        <v>0.16020854826312983</v>
      </c>
      <c r="Q136" s="10">
        <v>8.3030000000000007E-2</v>
      </c>
      <c r="R136" s="10">
        <f t="shared" ca="1" si="43"/>
        <v>1.7153694529167764E-3</v>
      </c>
      <c r="S136" s="9">
        <f t="shared" si="44"/>
        <v>0.49668407595159569</v>
      </c>
      <c r="T136" s="12">
        <v>7.46E-2</v>
      </c>
      <c r="U136" s="12">
        <f t="shared" ca="1" si="45"/>
        <v>2.415794693263482E-3</v>
      </c>
      <c r="V136" s="6" t="e">
        <f ca="1">IF(agePb6U8(1/O136)&lt;1400,age7corr(1/O136,Q136,$W$2),agePb76(Q136))</f>
        <v>#NAME?</v>
      </c>
      <c r="W136" s="6" t="e">
        <f ca="1">IF(agePb6U8(1/O136)&lt;1400,ageer7corr(V136,1/O136,P136/O136*(1/O136),Q136,R136,$W$2,0.05),ageerPb76(Q136,R136))</f>
        <v>#NAME?</v>
      </c>
      <c r="X136" s="4" t="e">
        <f ca="1">agePb6U8(L136)/agePb7u5(J136)</f>
        <v>#NAME?</v>
      </c>
      <c r="Z136" s="1">
        <v>2.3929999999999998</v>
      </c>
      <c r="AA136" s="1">
        <v>6.8000000000000005E-2</v>
      </c>
      <c r="AB136" s="1">
        <v>0.2044</v>
      </c>
      <c r="AC136" s="1">
        <v>5.3E-3</v>
      </c>
      <c r="AD136" s="1">
        <v>0.98670000000000002</v>
      </c>
      <c r="AE136" s="1">
        <v>4.8923680000000003</v>
      </c>
      <c r="AF136" s="1">
        <v>0.12685689999999999</v>
      </c>
      <c r="AG136" s="1">
        <v>8.3030000000000007E-2</v>
      </c>
      <c r="AH136" s="1">
        <v>4.2999999999999999E-4</v>
      </c>
      <c r="AI136" s="1">
        <v>-0.13088</v>
      </c>
      <c r="AJ136" s="1">
        <v>7.46E-2</v>
      </c>
      <c r="AK136" s="1">
        <v>1.9E-3</v>
      </c>
      <c r="AL136" s="1">
        <v>10.009</v>
      </c>
      <c r="AM136" s="1">
        <v>0.06</v>
      </c>
      <c r="AN136" s="1">
        <v>1240</v>
      </c>
      <c r="AO136" s="1">
        <v>20</v>
      </c>
      <c r="AP136" s="1">
        <v>1199</v>
      </c>
      <c r="AQ136" s="1">
        <v>28</v>
      </c>
      <c r="AR136" s="1">
        <v>1454</v>
      </c>
      <c r="AS136" s="1">
        <v>36</v>
      </c>
      <c r="AT136" s="1">
        <v>1270</v>
      </c>
      <c r="AU136" s="1">
        <v>10</v>
      </c>
      <c r="AV136" s="1">
        <v>35.81</v>
      </c>
      <c r="AW136" s="1">
        <v>0.61</v>
      </c>
      <c r="AX136" s="1">
        <v>3.7559999999999998</v>
      </c>
      <c r="AY136" s="1">
        <v>6.9999999999999993E-2</v>
      </c>
      <c r="AZ136" s="1">
        <v>23393.07</v>
      </c>
      <c r="BA136" s="1">
        <v>385.02</v>
      </c>
      <c r="BB136" s="1">
        <v>23629.05</v>
      </c>
      <c r="BC136" s="1">
        <v>391.23</v>
      </c>
      <c r="BD136" s="1">
        <v>286591.5</v>
      </c>
      <c r="BE136" s="1">
        <v>4781.7</v>
      </c>
      <c r="BF136" s="1">
        <v>7.8246000000000002</v>
      </c>
      <c r="BG136" s="1">
        <v>5.7131999999999996</v>
      </c>
      <c r="BH136" s="1">
        <f t="shared" si="46"/>
        <v>36626.984126984127</v>
      </c>
      <c r="BI136" s="1">
        <f t="shared" si="47"/>
        <v>26750.493502653571</v>
      </c>
    </row>
    <row r="137" spans="1:61" x14ac:dyDescent="0.2">
      <c r="A137" t="s">
        <v>71</v>
      </c>
      <c r="B137" t="s">
        <v>38</v>
      </c>
      <c r="C137" t="s">
        <v>72</v>
      </c>
      <c r="D137" t="s">
        <v>73</v>
      </c>
      <c r="E137">
        <v>81086</v>
      </c>
      <c r="F137">
        <v>52269</v>
      </c>
      <c r="G137" t="s">
        <v>73</v>
      </c>
      <c r="H137" s="1">
        <v>169.8</v>
      </c>
      <c r="I137" s="1">
        <v>96.5</v>
      </c>
      <c r="J137" s="11">
        <v>2.891</v>
      </c>
      <c r="K137" s="11">
        <f t="shared" ca="1" si="40"/>
        <v>0.11464794982903097</v>
      </c>
      <c r="L137" s="8">
        <v>0.2238</v>
      </c>
      <c r="M137" s="8">
        <f t="shared" ca="1" si="41"/>
        <v>9.0798995589158361E-3</v>
      </c>
      <c r="N137" s="8">
        <v>0.98694999999999999</v>
      </c>
      <c r="O137" s="9">
        <v>4.4682750000000002</v>
      </c>
      <c r="P137" s="9">
        <f t="shared" ca="1" si="42"/>
        <v>0.18128456568483703</v>
      </c>
      <c r="Q137" s="10">
        <v>9.1550000000000006E-2</v>
      </c>
      <c r="R137" s="10">
        <f t="shared" ca="1" si="43"/>
        <v>1.8831253277464036E-3</v>
      </c>
      <c r="S137" s="9">
        <f t="shared" si="44"/>
        <v>0.49467613017297152</v>
      </c>
      <c r="T137" s="12">
        <v>6.9900000000000004E-2</v>
      </c>
      <c r="U137" s="12">
        <f t="shared" ca="1" si="45"/>
        <v>3.4920486823639793E-3</v>
      </c>
      <c r="V137" s="6" t="e">
        <f ca="1">IF(agePb6U8(1/O137)&lt;1400,age7corr(1/O137,Q137,$W$2),agePb76(Q137))</f>
        <v>#NAME?</v>
      </c>
      <c r="W137" s="6" t="e">
        <f ca="1">IF(agePb6U8(1/O137)&lt;1400,ageer7corr(V137,1/O137,P137/O137*(1/O137),Q137,R137,$W$2,0.05),ageerPb76(Q137,R137))</f>
        <v>#NAME?</v>
      </c>
      <c r="X137" s="4" t="e">
        <f ca="1">agePb6U8(L137)/agePb7u5(J137)</f>
        <v>#NAME?</v>
      </c>
      <c r="Z137" s="1">
        <v>2.891</v>
      </c>
      <c r="AA137" s="1">
        <v>9.9000000000000005E-2</v>
      </c>
      <c r="AB137" s="1">
        <v>0.2238</v>
      </c>
      <c r="AC137" s="1">
        <v>7.9000000000000008E-3</v>
      </c>
      <c r="AD137" s="1">
        <v>0.98694999999999999</v>
      </c>
      <c r="AE137" s="1">
        <v>4.4682750000000002</v>
      </c>
      <c r="AF137" s="1">
        <v>0.15772729999999999</v>
      </c>
      <c r="AG137" s="1">
        <v>9.1550000000000006E-2</v>
      </c>
      <c r="AH137" s="1">
        <v>4.4000000000000002E-4</v>
      </c>
      <c r="AI137" s="1">
        <v>0.20888000000000001</v>
      </c>
      <c r="AJ137" s="1">
        <v>6.9900000000000004E-2</v>
      </c>
      <c r="AK137" s="1">
        <v>3.2000000000000002E-3</v>
      </c>
      <c r="AL137" s="1">
        <v>6.13</v>
      </c>
      <c r="AM137" s="1">
        <v>6.4000000000000001E-2</v>
      </c>
      <c r="AN137" s="1">
        <v>1378</v>
      </c>
      <c r="AO137" s="1">
        <v>26</v>
      </c>
      <c r="AP137" s="1">
        <v>1301</v>
      </c>
      <c r="AQ137" s="1">
        <v>41</v>
      </c>
      <c r="AR137" s="1">
        <v>1365</v>
      </c>
      <c r="AS137" s="1">
        <v>60</v>
      </c>
      <c r="AT137" s="1">
        <v>1458</v>
      </c>
      <c r="AU137" s="1">
        <v>9.1999999999999993</v>
      </c>
      <c r="AV137" s="1">
        <v>36.61</v>
      </c>
      <c r="AW137" s="1">
        <v>0.55999999999999994</v>
      </c>
      <c r="AX137" s="1">
        <v>7.4799999999999995</v>
      </c>
      <c r="AY137" s="1">
        <v>0.15</v>
      </c>
      <c r="AZ137" s="1">
        <v>42911.1</v>
      </c>
      <c r="BA137" s="1">
        <v>1055.7</v>
      </c>
      <c r="BB137" s="1">
        <v>29621.699999999997</v>
      </c>
      <c r="BC137" s="1">
        <v>683.09999999999991</v>
      </c>
      <c r="BD137" s="1">
        <v>327267</v>
      </c>
      <c r="BE137" s="1">
        <v>6210</v>
      </c>
      <c r="BF137" s="1">
        <v>7.2035999999999998</v>
      </c>
      <c r="BG137" s="1">
        <v>6.0858000000000008</v>
      </c>
      <c r="BH137" s="1">
        <f t="shared" si="46"/>
        <v>45431.034482758623</v>
      </c>
      <c r="BI137" s="1">
        <f t="shared" si="47"/>
        <v>38391.071272130015</v>
      </c>
    </row>
    <row r="138" spans="1:61" x14ac:dyDescent="0.2">
      <c r="A138" t="s">
        <v>74</v>
      </c>
      <c r="B138" t="s">
        <v>38</v>
      </c>
      <c r="C138" t="s">
        <v>75</v>
      </c>
      <c r="D138" t="s">
        <v>76</v>
      </c>
      <c r="E138">
        <v>81091</v>
      </c>
      <c r="F138">
        <v>52327</v>
      </c>
      <c r="G138" t="s">
        <v>76</v>
      </c>
      <c r="H138" s="1">
        <v>96.3</v>
      </c>
      <c r="I138" s="1">
        <v>55.8</v>
      </c>
      <c r="J138" s="11">
        <v>1.9219999999999999</v>
      </c>
      <c r="K138" s="11">
        <f t="shared" ca="1" si="40"/>
        <v>6.87505170889645E-2</v>
      </c>
      <c r="L138" s="8">
        <v>0.18110000000000001</v>
      </c>
      <c r="M138" s="8">
        <f t="shared" ca="1" si="41"/>
        <v>6.6692491331483486E-3</v>
      </c>
      <c r="N138" s="8">
        <v>0.96938999999999997</v>
      </c>
      <c r="O138" s="9">
        <v>5.5218109999999996</v>
      </c>
      <c r="P138" s="9">
        <f t="shared" ca="1" si="42"/>
        <v>0.20334803540316881</v>
      </c>
      <c r="Q138" s="10">
        <v>7.5300000000000006E-2</v>
      </c>
      <c r="R138" s="10">
        <f t="shared" ca="1" si="43"/>
        <v>1.6138265086433549E-3</v>
      </c>
      <c r="S138" s="9">
        <f t="shared" si="44"/>
        <v>0.50508349435130351</v>
      </c>
      <c r="T138" s="12">
        <v>6.5799999999999997E-2</v>
      </c>
      <c r="U138" s="12">
        <f t="shared" ca="1" si="45"/>
        <v>2.14985022734143E-3</v>
      </c>
      <c r="V138" s="6" t="e">
        <f ca="1">IF(agePb6U8(1/O138)&lt;1400,age7corr(1/O138,Q138,$W$2),agePb76(Q138))</f>
        <v>#NAME?</v>
      </c>
      <c r="W138" s="6" t="e">
        <f ca="1">IF(agePb6U8(1/O138)&lt;1400,ageer7corr(V138,1/O138,P138/O138*(1/O138),Q138,R138,$W$2,0.05),ageerPb76(Q138,R138))</f>
        <v>#NAME?</v>
      </c>
      <c r="X138" s="4" t="e">
        <f ca="1">agePb6U8(L138)/agePb7u5(J138)</f>
        <v>#NAME?</v>
      </c>
      <c r="Z138" s="1">
        <v>1.9219999999999999</v>
      </c>
      <c r="AA138" s="1">
        <v>5.7000000000000002E-2</v>
      </c>
      <c r="AB138" s="1">
        <v>0.18110000000000001</v>
      </c>
      <c r="AC138" s="1">
        <v>5.5999999999999999E-3</v>
      </c>
      <c r="AD138" s="1">
        <v>0.96938999999999997</v>
      </c>
      <c r="AE138" s="1">
        <v>5.5218109999999996</v>
      </c>
      <c r="AF138" s="1">
        <v>0.17074619999999999</v>
      </c>
      <c r="AG138" s="1">
        <v>7.5300000000000006E-2</v>
      </c>
      <c r="AH138" s="1">
        <v>5.8E-4</v>
      </c>
      <c r="AI138" s="1">
        <v>0.24210999999999999</v>
      </c>
      <c r="AJ138" s="1">
        <v>6.5799999999999997E-2</v>
      </c>
      <c r="AK138" s="1">
        <v>1.6999999999999999E-3</v>
      </c>
      <c r="AL138" s="1">
        <v>5.1440000000000001</v>
      </c>
      <c r="AM138" s="1">
        <v>2.4E-2</v>
      </c>
      <c r="AN138" s="1">
        <v>1088</v>
      </c>
      <c r="AO138" s="1">
        <v>20</v>
      </c>
      <c r="AP138" s="1">
        <v>1072</v>
      </c>
      <c r="AQ138" s="1">
        <v>31</v>
      </c>
      <c r="AR138" s="1">
        <v>1288</v>
      </c>
      <c r="AS138" s="1">
        <v>32</v>
      </c>
      <c r="AT138" s="1">
        <v>1076</v>
      </c>
      <c r="AU138" s="1">
        <v>16</v>
      </c>
      <c r="AV138" s="1">
        <v>20.75</v>
      </c>
      <c r="AW138" s="1">
        <v>0.34</v>
      </c>
      <c r="AX138" s="1">
        <v>4.32</v>
      </c>
      <c r="AY138" s="1">
        <v>0.12000000000000001</v>
      </c>
      <c r="AZ138" s="1">
        <v>23616.629999999997</v>
      </c>
      <c r="BA138" s="1">
        <v>509.21999999999991</v>
      </c>
      <c r="BB138" s="1">
        <v>11233.89</v>
      </c>
      <c r="BC138" s="1">
        <v>279.45000000000005</v>
      </c>
      <c r="BD138" s="1">
        <v>148915.80000000002</v>
      </c>
      <c r="BE138" s="1">
        <v>3105</v>
      </c>
      <c r="BF138" s="1">
        <v>0.24840000000000004</v>
      </c>
      <c r="BG138" s="1">
        <v>6.2099999999999991</v>
      </c>
      <c r="BH138" s="1">
        <f t="shared" si="46"/>
        <v>599500</v>
      </c>
      <c r="BI138" s="1">
        <f t="shared" si="47"/>
        <v>14987505.212676322</v>
      </c>
    </row>
    <row r="139" spans="1:61" x14ac:dyDescent="0.2">
      <c r="A139" t="s">
        <v>77</v>
      </c>
      <c r="B139" t="s">
        <v>38</v>
      </c>
      <c r="C139" t="s">
        <v>78</v>
      </c>
      <c r="D139" t="s">
        <v>79</v>
      </c>
      <c r="E139">
        <v>81105</v>
      </c>
      <c r="F139">
        <v>52461</v>
      </c>
      <c r="G139" t="s">
        <v>79</v>
      </c>
      <c r="H139" s="1">
        <v>142.69999999999999</v>
      </c>
      <c r="I139" s="1">
        <v>64.7</v>
      </c>
      <c r="J139" s="11">
        <v>2.3690000000000002</v>
      </c>
      <c r="K139" s="11">
        <f t="shared" ca="1" si="40"/>
        <v>6.9612243176039076E-2</v>
      </c>
      <c r="L139" s="8">
        <v>0.20430000000000001</v>
      </c>
      <c r="M139" s="8">
        <f t="shared" ca="1" si="41"/>
        <v>6.303601827526862E-3</v>
      </c>
      <c r="N139" s="8">
        <v>0.97609000000000001</v>
      </c>
      <c r="O139" s="9">
        <v>4.8947630000000002</v>
      </c>
      <c r="P139" s="9">
        <f t="shared" ca="1" si="42"/>
        <v>0.15102614321271532</v>
      </c>
      <c r="Q139" s="10">
        <v>8.2350000000000007E-2</v>
      </c>
      <c r="R139" s="10">
        <f t="shared" ca="1" si="43"/>
        <v>1.7155200377728032E-3</v>
      </c>
      <c r="S139" s="9">
        <f t="shared" si="44"/>
        <v>0.49001436815198401</v>
      </c>
      <c r="T139" s="12">
        <v>7.1599999999999997E-2</v>
      </c>
      <c r="U139" s="12">
        <f t="shared" ca="1" si="45"/>
        <v>2.1472363633284531E-3</v>
      </c>
      <c r="V139" s="6" t="e">
        <f ca="1">IF(agePb6U8(1/O139)&lt;1400,age7corr(1/O139,Q139,$W$2),agePb76(Q139))</f>
        <v>#NAME?</v>
      </c>
      <c r="W139" s="6" t="e">
        <f ca="1">IF(agePb6U8(1/O139)&lt;1400,ageer7corr(V139,1/O139,P139/O139*(1/O139),Q139,R139,$W$2,0.05),ageerPb76(Q139,R139))</f>
        <v>#NAME?</v>
      </c>
      <c r="X139" s="4" t="e">
        <f ca="1">agePb6U8(L139)/agePb7u5(J139)</f>
        <v>#NAME?</v>
      </c>
      <c r="Z139" s="1">
        <v>2.3690000000000002</v>
      </c>
      <c r="AA139" s="1">
        <v>5.0999999999999997E-2</v>
      </c>
      <c r="AB139" s="1">
        <v>0.20430000000000001</v>
      </c>
      <c r="AC139" s="1">
        <v>4.7999999999999996E-3</v>
      </c>
      <c r="AD139" s="1">
        <v>0.97609000000000001</v>
      </c>
      <c r="AE139" s="1">
        <v>4.8947630000000002</v>
      </c>
      <c r="AF139" s="1">
        <v>0.1150018</v>
      </c>
      <c r="AG139" s="1">
        <v>8.2350000000000007E-2</v>
      </c>
      <c r="AH139" s="1">
        <v>4.8000000000000001E-4</v>
      </c>
      <c r="AI139" s="1">
        <v>0.40706999999999999</v>
      </c>
      <c r="AJ139" s="1">
        <v>7.1599999999999997E-2</v>
      </c>
      <c r="AK139" s="1">
        <v>1.6000000000000001E-3</v>
      </c>
      <c r="AL139" s="1">
        <v>6.8860000000000001</v>
      </c>
      <c r="AM139" s="1">
        <v>3.2000000000000001E-2</v>
      </c>
      <c r="AN139" s="1">
        <v>1233</v>
      </c>
      <c r="AO139" s="1">
        <v>16</v>
      </c>
      <c r="AP139" s="1">
        <v>1198</v>
      </c>
      <c r="AQ139" s="1">
        <v>26</v>
      </c>
      <c r="AR139" s="1">
        <v>1397</v>
      </c>
      <c r="AS139" s="1">
        <v>30</v>
      </c>
      <c r="AT139" s="1">
        <v>1254</v>
      </c>
      <c r="AU139" s="1">
        <v>11</v>
      </c>
      <c r="AV139" s="1">
        <v>30.759999999999998</v>
      </c>
      <c r="AW139" s="1">
        <v>0.44</v>
      </c>
      <c r="AX139" s="1">
        <v>5.0200000000000005</v>
      </c>
      <c r="AY139" s="1">
        <v>0.15</v>
      </c>
      <c r="AZ139" s="1">
        <v>29435.399999999998</v>
      </c>
      <c r="BA139" s="1">
        <v>341.54999999999995</v>
      </c>
      <c r="BB139" s="1">
        <v>20312.91</v>
      </c>
      <c r="BC139" s="1">
        <v>217.35</v>
      </c>
      <c r="BD139" s="1">
        <v>248337.9</v>
      </c>
      <c r="BE139" s="1">
        <v>3042.9</v>
      </c>
      <c r="BF139" s="1">
        <v>3.2913000000000001</v>
      </c>
      <c r="BG139" s="1">
        <v>4.7816999999999998</v>
      </c>
      <c r="BH139" s="1">
        <f t="shared" si="46"/>
        <v>75452.830188679247</v>
      </c>
      <c r="BI139" s="1">
        <f t="shared" si="47"/>
        <v>109624.04815202283</v>
      </c>
    </row>
    <row r="140" spans="1:61" x14ac:dyDescent="0.2">
      <c r="A140" t="s">
        <v>80</v>
      </c>
      <c r="B140" t="s">
        <v>38</v>
      </c>
      <c r="C140" t="s">
        <v>81</v>
      </c>
      <c r="D140" t="s">
        <v>82</v>
      </c>
      <c r="E140">
        <v>81109</v>
      </c>
      <c r="F140">
        <v>52860</v>
      </c>
      <c r="G140" t="s">
        <v>82</v>
      </c>
      <c r="H140" s="1">
        <v>293</v>
      </c>
      <c r="I140" s="1">
        <v>54.5</v>
      </c>
      <c r="J140" s="11">
        <v>3.06</v>
      </c>
      <c r="K140" s="11">
        <f t="shared" ca="1" si="40"/>
        <v>0.1620044443834798</v>
      </c>
      <c r="L140" s="8">
        <v>0.223</v>
      </c>
      <c r="M140" s="8">
        <f t="shared" ca="1" si="41"/>
        <v>1.0949502271792998E-2</v>
      </c>
      <c r="N140" s="8">
        <v>0.96921000000000002</v>
      </c>
      <c r="O140" s="9">
        <v>4.484305</v>
      </c>
      <c r="P140" s="9">
        <f t="shared" ca="1" si="42"/>
        <v>0.22018343356215517</v>
      </c>
      <c r="Q140" s="10">
        <v>9.7199999999999995E-2</v>
      </c>
      <c r="R140" s="10">
        <f t="shared" ca="1" si="43"/>
        <v>2.3956493900402038E-3</v>
      </c>
      <c r="S140" s="9">
        <f t="shared" si="44"/>
        <v>0.4147975375445328</v>
      </c>
      <c r="T140" s="12">
        <v>0.10589999999999999</v>
      </c>
      <c r="U140" s="12">
        <f t="shared" ca="1" si="45"/>
        <v>4.7933207695709246E-3</v>
      </c>
      <c r="V140" s="6" t="e">
        <f ca="1">IF(agePb6U8(1/O140)&lt;1400,age7corr(1/O140,Q140,$W$2),agePb76(Q140))</f>
        <v>#NAME?</v>
      </c>
      <c r="W140" s="6" t="e">
        <f ca="1">IF(agePb6U8(1/O140)&lt;1400,ageer7corr(V140,1/O140,P140/O140*(1/O140),Q140,R140,$W$2,0.05),ageerPb76(Q140,R140))</f>
        <v>#NAME?</v>
      </c>
      <c r="X140" s="4" t="e">
        <f ca="1">agePb6U8(L140)/agePb7u5(J140)</f>
        <v>#NAME?</v>
      </c>
      <c r="Z140" s="1">
        <v>3.06</v>
      </c>
      <c r="AA140" s="1">
        <v>0.15</v>
      </c>
      <c r="AB140" s="1">
        <v>0.223</v>
      </c>
      <c r="AC140" s="1">
        <v>0.01</v>
      </c>
      <c r="AD140" s="1">
        <v>0.96921000000000002</v>
      </c>
      <c r="AE140" s="1">
        <v>4.484305</v>
      </c>
      <c r="AF140" s="1">
        <v>0.20108989999999999</v>
      </c>
      <c r="AG140" s="1">
        <v>9.7199999999999995E-2</v>
      </c>
      <c r="AH140" s="1">
        <v>1.4E-3</v>
      </c>
      <c r="AI140" s="1">
        <v>7.2041999999999995E-2</v>
      </c>
      <c r="AJ140" s="1">
        <v>0.10589999999999999</v>
      </c>
      <c r="AK140" s="1">
        <v>4.3E-3</v>
      </c>
      <c r="AL140" s="1">
        <v>13.1</v>
      </c>
      <c r="AM140" s="1">
        <v>1.4</v>
      </c>
      <c r="AN140" s="1">
        <v>1420</v>
      </c>
      <c r="AO140" s="1">
        <v>37</v>
      </c>
      <c r="AP140" s="1">
        <v>1299</v>
      </c>
      <c r="AQ140" s="1">
        <v>55</v>
      </c>
      <c r="AR140" s="1">
        <v>2034</v>
      </c>
      <c r="AS140" s="1">
        <v>78</v>
      </c>
      <c r="AT140" s="1">
        <v>1570</v>
      </c>
      <c r="AU140" s="1">
        <v>26</v>
      </c>
      <c r="AV140" s="1">
        <v>63.2</v>
      </c>
      <c r="AW140" s="1">
        <v>6.6</v>
      </c>
      <c r="AX140" s="1">
        <v>4.22</v>
      </c>
      <c r="AY140" s="1">
        <v>0.23</v>
      </c>
      <c r="AZ140" s="1">
        <v>35210.700000000004</v>
      </c>
      <c r="BA140" s="1">
        <v>1738.8</v>
      </c>
      <c r="BB140" s="1">
        <v>53716.5</v>
      </c>
      <c r="BC140" s="1">
        <v>4968</v>
      </c>
      <c r="BD140" s="1">
        <v>554553</v>
      </c>
      <c r="BE140" s="1">
        <v>45954</v>
      </c>
      <c r="BF140" s="1">
        <v>13.662000000000001</v>
      </c>
      <c r="BG140" s="1">
        <v>13.041</v>
      </c>
      <c r="BH140" s="1">
        <f t="shared" si="46"/>
        <v>40590.909090909088</v>
      </c>
      <c r="BI140" s="1">
        <f t="shared" si="47"/>
        <v>38891.597019513465</v>
      </c>
    </row>
    <row r="141" spans="1:61" x14ac:dyDescent="0.2">
      <c r="A141" t="s">
        <v>83</v>
      </c>
      <c r="B141" t="s">
        <v>38</v>
      </c>
      <c r="C141" t="s">
        <v>84</v>
      </c>
      <c r="D141" t="s">
        <v>85</v>
      </c>
      <c r="E141">
        <v>81103</v>
      </c>
      <c r="F141">
        <v>53226</v>
      </c>
      <c r="G141" t="s">
        <v>85</v>
      </c>
      <c r="H141" s="1">
        <v>172.6</v>
      </c>
      <c r="I141" s="1">
        <v>3.42</v>
      </c>
      <c r="J141" s="11">
        <v>2.4500000000000002</v>
      </c>
      <c r="K141" s="11">
        <f t="shared" ca="1" si="40"/>
        <v>9.381364506296512E-2</v>
      </c>
      <c r="L141" s="8">
        <v>0.20419999999999999</v>
      </c>
      <c r="M141" s="8">
        <f t="shared" ca="1" si="41"/>
        <v>7.0120650310732295E-3</v>
      </c>
      <c r="N141" s="8">
        <v>0.98755000000000004</v>
      </c>
      <c r="O141" s="9">
        <v>4.8971600000000004</v>
      </c>
      <c r="P141" s="9">
        <f t="shared" ca="1" si="42"/>
        <v>0.16816457114624356</v>
      </c>
      <c r="Q141" s="10">
        <v>8.4900000000000003E-2</v>
      </c>
      <c r="R141" s="10">
        <f t="shared" ca="1" si="43"/>
        <v>1.7758389566624559E-3</v>
      </c>
      <c r="S141" s="9">
        <f t="shared" si="44"/>
        <v>0.39559854945947437</v>
      </c>
      <c r="T141" s="12">
        <v>0.108</v>
      </c>
      <c r="U141" s="12">
        <f t="shared" ca="1" si="45"/>
        <v>1.4165648590869391E-2</v>
      </c>
      <c r="V141" s="6" t="e">
        <f ca="1">IF(agePb6U8(1/O141)&lt;1400,age7corr(1/O141,Q141,$W$2),agePb76(Q141))</f>
        <v>#NAME?</v>
      </c>
      <c r="W141" s="6" t="e">
        <f ca="1">IF(agePb6U8(1/O141)&lt;1400,ageer7corr(V141,1/O141,P141/O141*(1/O141),Q141,R141,$W$2,0.05),ageerPb76(Q141,R141))</f>
        <v>#NAME?</v>
      </c>
      <c r="X141" s="4" t="e">
        <f ca="1">agePb6U8(L141)/agePb7u5(J141)</f>
        <v>#NAME?</v>
      </c>
      <c r="Z141" s="1">
        <v>2.4500000000000002</v>
      </c>
      <c r="AA141" s="1">
        <v>0.08</v>
      </c>
      <c r="AB141" s="1">
        <v>0.20419999999999999</v>
      </c>
      <c r="AC141" s="1">
        <v>5.7000000000000002E-3</v>
      </c>
      <c r="AD141" s="1">
        <v>0.98755000000000004</v>
      </c>
      <c r="AE141" s="1">
        <v>4.8971600000000004</v>
      </c>
      <c r="AF141" s="1">
        <v>0.1366984</v>
      </c>
      <c r="AG141" s="1">
        <v>8.4900000000000003E-2</v>
      </c>
      <c r="AH141" s="1">
        <v>5.1999999999999995E-4</v>
      </c>
      <c r="AI141" s="1">
        <v>-0.53408999999999995</v>
      </c>
      <c r="AJ141" s="1">
        <v>0.108</v>
      </c>
      <c r="AK141" s="1">
        <v>1.4E-2</v>
      </c>
      <c r="AL141" s="1">
        <v>109.2</v>
      </c>
      <c r="AM141" s="1">
        <v>6.2</v>
      </c>
      <c r="AN141" s="1">
        <v>1256</v>
      </c>
      <c r="AO141" s="1">
        <v>24</v>
      </c>
      <c r="AP141" s="1">
        <v>1198</v>
      </c>
      <c r="AQ141" s="1">
        <v>30</v>
      </c>
      <c r="AR141" s="1">
        <v>2070</v>
      </c>
      <c r="AS141" s="1">
        <v>250</v>
      </c>
      <c r="AT141" s="1">
        <v>1313</v>
      </c>
      <c r="AU141" s="1">
        <v>12</v>
      </c>
      <c r="AV141" s="1">
        <v>37.199999999999996</v>
      </c>
      <c r="AW141" s="1">
        <v>1.2</v>
      </c>
      <c r="AX141" s="1">
        <v>0.26500000000000001</v>
      </c>
      <c r="AY141" s="1">
        <v>3.4000000000000002E-2</v>
      </c>
      <c r="AZ141" s="1">
        <v>2260.4399999999996</v>
      </c>
      <c r="BA141" s="1">
        <v>136.62</v>
      </c>
      <c r="BB141" s="1">
        <v>25212.600000000002</v>
      </c>
      <c r="BC141" s="1">
        <v>745.2</v>
      </c>
      <c r="BD141" s="1">
        <v>298080</v>
      </c>
      <c r="BE141" s="1">
        <v>7452.0000000000009</v>
      </c>
      <c r="BF141" s="1">
        <v>1.242</v>
      </c>
      <c r="BG141" s="1">
        <v>6.0236999999999998</v>
      </c>
      <c r="BH141" s="1">
        <f t="shared" si="46"/>
        <v>240000</v>
      </c>
      <c r="BI141" s="1">
        <f t="shared" si="47"/>
        <v>1164015.4638148067</v>
      </c>
    </row>
    <row r="142" spans="1:61" x14ac:dyDescent="0.2">
      <c r="A142" t="s">
        <v>92</v>
      </c>
      <c r="B142" t="s">
        <v>38</v>
      </c>
      <c r="C142" t="s">
        <v>93</v>
      </c>
      <c r="D142" t="s">
        <v>94</v>
      </c>
      <c r="E142">
        <v>81071</v>
      </c>
      <c r="F142">
        <v>53275</v>
      </c>
      <c r="G142" t="s">
        <v>94</v>
      </c>
      <c r="H142" s="1">
        <v>104.4</v>
      </c>
      <c r="I142" s="1">
        <v>38</v>
      </c>
      <c r="J142" s="11">
        <v>3.3</v>
      </c>
      <c r="K142" s="11">
        <f t="shared" ca="1" si="40"/>
        <v>0.1369525465261599</v>
      </c>
      <c r="L142" s="8">
        <v>0.25009999999999999</v>
      </c>
      <c r="M142" s="8">
        <f t="shared" ca="1" si="41"/>
        <v>1.0559829733475818E-2</v>
      </c>
      <c r="N142" s="8">
        <v>0.99573</v>
      </c>
      <c r="O142" s="9">
        <v>3.9984009999999999</v>
      </c>
      <c r="P142" s="9">
        <f t="shared" ca="1" si="42"/>
        <v>0.16882216674276043</v>
      </c>
      <c r="Q142" s="10">
        <v>9.3810000000000004E-2</v>
      </c>
      <c r="R142" s="10">
        <f t="shared" ca="1" si="43"/>
        <v>1.8984800341325691E-3</v>
      </c>
      <c r="S142" s="9">
        <f t="shared" si="44"/>
        <v>0.39534840024786488</v>
      </c>
      <c r="T142" s="12">
        <v>9.0700000000000003E-2</v>
      </c>
      <c r="U142" s="12">
        <f t="shared" ca="1" si="45"/>
        <v>3.3362547864334343E-3</v>
      </c>
      <c r="V142" s="6" t="e">
        <f ca="1">IF(agePb6U8(1/O142)&lt;1400,age7corr(1/O142,Q142,$W$2),agePb76(Q142))</f>
        <v>#NAME?</v>
      </c>
      <c r="W142" s="6" t="e">
        <f ca="1">IF(agePb6U8(1/O142)&lt;1400,ageer7corr(V142,1/O142,P142/O142*(1/O142),Q142,R142,$W$2,0.05),ageerPb76(Q142,R142))</f>
        <v>#NAME?</v>
      </c>
      <c r="X142" s="4" t="e">
        <f ca="1">agePb6U8(L142)/agePb7u5(J142)</f>
        <v>#NAME?</v>
      </c>
      <c r="Z142" s="1">
        <v>3.3</v>
      </c>
      <c r="AA142" s="1">
        <v>0.12</v>
      </c>
      <c r="AB142" s="1">
        <v>0.25009999999999999</v>
      </c>
      <c r="AC142" s="1">
        <v>9.2999999999999992E-3</v>
      </c>
      <c r="AD142" s="1">
        <v>0.99573</v>
      </c>
      <c r="AE142" s="1">
        <v>3.9984009999999999</v>
      </c>
      <c r="AF142" s="1">
        <v>0.14868100000000001</v>
      </c>
      <c r="AG142" s="1">
        <v>9.3810000000000004E-2</v>
      </c>
      <c r="AH142" s="1">
        <v>2.9E-4</v>
      </c>
      <c r="AI142" s="1">
        <v>5.6863999999999998E-2</v>
      </c>
      <c r="AJ142" s="1">
        <v>9.0700000000000003E-2</v>
      </c>
      <c r="AK142" s="1">
        <v>2.8E-3</v>
      </c>
      <c r="AL142" s="1">
        <v>8.2579999999999991</v>
      </c>
      <c r="AM142" s="1">
        <v>0.04</v>
      </c>
      <c r="AN142" s="1">
        <v>1479</v>
      </c>
      <c r="AO142" s="1">
        <v>29</v>
      </c>
      <c r="AP142" s="1">
        <v>1438</v>
      </c>
      <c r="AQ142" s="1">
        <v>48</v>
      </c>
      <c r="AR142" s="1">
        <v>1754</v>
      </c>
      <c r="AS142" s="1">
        <v>52</v>
      </c>
      <c r="AT142" s="1">
        <v>1504.2</v>
      </c>
      <c r="AU142" s="1">
        <v>5.8</v>
      </c>
      <c r="AV142" s="1">
        <v>22.5</v>
      </c>
      <c r="AW142" s="1">
        <v>0.59000000000000008</v>
      </c>
      <c r="AX142" s="1">
        <v>2.94</v>
      </c>
      <c r="AY142" s="1">
        <v>8.6999999999999994E-2</v>
      </c>
      <c r="AZ142" s="1">
        <v>21933.72</v>
      </c>
      <c r="BA142" s="1">
        <v>403.65</v>
      </c>
      <c r="BB142" s="1">
        <v>20710.349999999999</v>
      </c>
      <c r="BC142" s="1">
        <v>422.28000000000003</v>
      </c>
      <c r="BD142" s="1">
        <v>221138.1</v>
      </c>
      <c r="BE142" s="1">
        <v>4160.7</v>
      </c>
      <c r="BF142" s="1">
        <v>2.8565999999999998</v>
      </c>
      <c r="BG142" s="1">
        <v>5.8373999999999997</v>
      </c>
      <c r="BH142" s="1">
        <f t="shared" si="46"/>
        <v>77413.043478260879</v>
      </c>
      <c r="BI142" s="1">
        <f t="shared" si="47"/>
        <v>158198.57663769997</v>
      </c>
    </row>
    <row r="143" spans="1:61" x14ac:dyDescent="0.2">
      <c r="A143" t="s">
        <v>95</v>
      </c>
      <c r="B143" t="s">
        <v>38</v>
      </c>
      <c r="C143" t="s">
        <v>96</v>
      </c>
      <c r="D143" t="s">
        <v>97</v>
      </c>
      <c r="E143">
        <v>81101</v>
      </c>
      <c r="F143">
        <v>53877</v>
      </c>
      <c r="G143" t="s">
        <v>97</v>
      </c>
      <c r="H143" s="1">
        <v>22.34</v>
      </c>
      <c r="I143" s="1">
        <v>22.89</v>
      </c>
      <c r="J143" s="11">
        <v>2.4500000000000002</v>
      </c>
      <c r="K143" s="11">
        <f t="shared" ca="1" si="40"/>
        <v>0.14832734070291964</v>
      </c>
      <c r="L143" s="8">
        <v>0.19719999999999999</v>
      </c>
      <c r="M143" s="8">
        <f t="shared" ca="1" si="41"/>
        <v>9.5522319904826434E-3</v>
      </c>
      <c r="N143" s="8">
        <v>0.78302000000000005</v>
      </c>
      <c r="O143" s="9">
        <v>5.0709939999999998</v>
      </c>
      <c r="P143" s="9">
        <f t="shared" ca="1" si="42"/>
        <v>0.24563543044785785</v>
      </c>
      <c r="Q143" s="10">
        <v>8.6699999999999999E-2</v>
      </c>
      <c r="R143" s="10">
        <f t="shared" ca="1" si="43"/>
        <v>3.4650766225294361E-3</v>
      </c>
      <c r="S143" s="9">
        <f t="shared" si="44"/>
        <v>0.32351655373628418</v>
      </c>
      <c r="T143" s="12">
        <v>7.8600000000000003E-2</v>
      </c>
      <c r="U143" s="12">
        <f t="shared" ca="1" si="45"/>
        <v>3.2986639719741083E-3</v>
      </c>
      <c r="V143" s="6" t="e">
        <f ca="1">IF(agePb6U8(1/O143)&lt;1400,age7corr(1/O143,Q143,$W$2),agePb76(Q143))</f>
        <v>#NAME?</v>
      </c>
      <c r="W143" s="6" t="e">
        <f ca="1">IF(agePb6U8(1/O143)&lt;1400,ageer7corr(V143,1/O143,P143/O143*(1/O143),Q143,R143,$W$2,0.05),ageerPb76(Q143,R143))</f>
        <v>#NAME?</v>
      </c>
      <c r="X143" s="4" t="e">
        <f ca="1">agePb6U8(L143)/agePb7u5(J143)</f>
        <v>#NAME?</v>
      </c>
      <c r="Z143" s="1">
        <v>2.4500000000000002</v>
      </c>
      <c r="AA143" s="1">
        <v>0.14000000000000001</v>
      </c>
      <c r="AB143" s="1">
        <v>0.19719999999999999</v>
      </c>
      <c r="AC143" s="1">
        <v>8.6999999999999994E-3</v>
      </c>
      <c r="AD143" s="1">
        <v>0.78302000000000005</v>
      </c>
      <c r="AE143" s="1">
        <v>5.0709939999999998</v>
      </c>
      <c r="AF143" s="1">
        <v>0.22372030000000001</v>
      </c>
      <c r="AG143" s="1">
        <v>8.6699999999999999E-2</v>
      </c>
      <c r="AH143" s="1">
        <v>3.0000000000000001E-3</v>
      </c>
      <c r="AI143" s="1">
        <v>-6.8234000000000003E-2</v>
      </c>
      <c r="AJ143" s="1">
        <v>7.8600000000000003E-2</v>
      </c>
      <c r="AK143" s="1">
        <v>2.8999999999999998E-3</v>
      </c>
      <c r="AL143" s="1">
        <v>2.8849999999999998</v>
      </c>
      <c r="AM143" s="1">
        <v>7.3999999999999996E-2</v>
      </c>
      <c r="AN143" s="1">
        <v>1254</v>
      </c>
      <c r="AO143" s="1">
        <v>41</v>
      </c>
      <c r="AP143" s="1">
        <v>1159</v>
      </c>
      <c r="AQ143" s="1">
        <v>47</v>
      </c>
      <c r="AR143" s="1">
        <v>1529</v>
      </c>
      <c r="AS143" s="1">
        <v>54</v>
      </c>
      <c r="AT143" s="1">
        <v>1348</v>
      </c>
      <c r="AU143" s="1">
        <v>65</v>
      </c>
      <c r="AV143" s="1">
        <v>4.8099999999999996</v>
      </c>
      <c r="AW143" s="1">
        <v>0.2</v>
      </c>
      <c r="AX143" s="1">
        <v>1.772</v>
      </c>
      <c r="AY143" s="1">
        <v>5.3999999999999999E-2</v>
      </c>
      <c r="AZ143" s="1">
        <v>10929.599999999999</v>
      </c>
      <c r="BA143" s="1">
        <v>621</v>
      </c>
      <c r="BB143" s="1">
        <v>3384.4500000000003</v>
      </c>
      <c r="BC143" s="1">
        <v>242.19</v>
      </c>
      <c r="BD143" s="1">
        <v>38564.1</v>
      </c>
      <c r="BE143" s="1">
        <v>1490.4</v>
      </c>
      <c r="BF143" s="1">
        <v>24.839999999999996</v>
      </c>
      <c r="BG143" s="1">
        <v>14.283000000000001</v>
      </c>
      <c r="BH143" s="1">
        <f t="shared" si="46"/>
        <v>1552.5000000000002</v>
      </c>
      <c r="BI143" s="1">
        <f t="shared" si="47"/>
        <v>894.70161096102356</v>
      </c>
    </row>
    <row r="144" spans="1:61" x14ac:dyDescent="0.2">
      <c r="A144" t="s">
        <v>98</v>
      </c>
      <c r="B144" t="s">
        <v>38</v>
      </c>
      <c r="C144" t="s">
        <v>99</v>
      </c>
      <c r="D144" t="s">
        <v>100</v>
      </c>
      <c r="E144">
        <v>81210</v>
      </c>
      <c r="F144">
        <v>53881</v>
      </c>
      <c r="G144" t="s">
        <v>100</v>
      </c>
      <c r="H144" s="1">
        <v>102.2</v>
      </c>
      <c r="I144" s="1">
        <v>77.599999999999994</v>
      </c>
      <c r="J144" s="11">
        <v>1.921</v>
      </c>
      <c r="K144" s="11">
        <f t="shared" ca="1" si="40"/>
        <v>7.0406650254077566E-2</v>
      </c>
      <c r="L144" s="8">
        <v>0.18079999999999999</v>
      </c>
      <c r="M144" s="8">
        <f t="shared" ca="1" si="41"/>
        <v>5.7728204545092173E-3</v>
      </c>
      <c r="N144" s="8">
        <v>0.99209999999999998</v>
      </c>
      <c r="O144" s="9">
        <v>5.5309730000000004</v>
      </c>
      <c r="P144" s="9">
        <f t="shared" ca="1" si="42"/>
        <v>0.17660019489497059</v>
      </c>
      <c r="Q144" s="10">
        <v>7.6039999999999996E-2</v>
      </c>
      <c r="R144" s="10">
        <f t="shared" ca="1" si="43"/>
        <v>1.5541018756825434E-3</v>
      </c>
      <c r="S144" s="9">
        <f t="shared" si="44"/>
        <v>0.45830865727018155</v>
      </c>
      <c r="T144" s="12">
        <v>6.6500000000000004E-2</v>
      </c>
      <c r="U144" s="12">
        <f t="shared" ca="1" si="45"/>
        <v>2.4018534509832193E-3</v>
      </c>
      <c r="V144" s="6" t="e">
        <f ca="1">IF(agePb6U8(1/O144)&lt;1400,age7corr(1/O144,Q144,$W$2),agePb76(Q144))</f>
        <v>#NAME?</v>
      </c>
      <c r="W144" s="6" t="e">
        <f ca="1">IF(agePb6U8(1/O144)&lt;1400,ageer7corr(V144,1/O144,P144/O144*(1/O144),Q144,R144,$W$2,0.05),ageerPb76(Q144,R144))</f>
        <v>#NAME?</v>
      </c>
      <c r="X144" s="4" t="e">
        <f ca="1">agePb6U8(L144)/agePb7u5(J144)</f>
        <v>#NAME?</v>
      </c>
      <c r="Z144" s="1">
        <v>1.921</v>
      </c>
      <c r="AA144" s="1">
        <v>5.8999999999999997E-2</v>
      </c>
      <c r="AB144" s="1">
        <v>0.18079999999999999</v>
      </c>
      <c r="AC144" s="1">
        <v>4.4999999999999997E-3</v>
      </c>
      <c r="AD144" s="1">
        <v>0.99209999999999998</v>
      </c>
      <c r="AE144" s="1">
        <v>5.5309730000000004</v>
      </c>
      <c r="AF144" s="1">
        <v>0.13766249999999999</v>
      </c>
      <c r="AG144" s="1">
        <v>7.6039999999999996E-2</v>
      </c>
      <c r="AH144" s="1">
        <v>3.2000000000000003E-4</v>
      </c>
      <c r="AI144" s="1">
        <v>7.8476000000000004E-2</v>
      </c>
      <c r="AJ144" s="1">
        <v>6.6500000000000004E-2</v>
      </c>
      <c r="AK144" s="1">
        <v>2E-3</v>
      </c>
      <c r="AL144" s="1">
        <v>4.01</v>
      </c>
      <c r="AM144" s="1">
        <v>0.12</v>
      </c>
      <c r="AN144" s="1">
        <v>1087</v>
      </c>
      <c r="AO144" s="1">
        <v>21</v>
      </c>
      <c r="AP144" s="1">
        <v>1071</v>
      </c>
      <c r="AQ144" s="1">
        <v>25</v>
      </c>
      <c r="AR144" s="1">
        <v>1301</v>
      </c>
      <c r="AS144" s="1">
        <v>37</v>
      </c>
      <c r="AT144" s="1">
        <v>1096</v>
      </c>
      <c r="AU144" s="1">
        <v>8.3000000000000007</v>
      </c>
      <c r="AV144" s="1">
        <v>22.009999999999998</v>
      </c>
      <c r="AW144" s="1">
        <v>0.47</v>
      </c>
      <c r="AX144" s="1">
        <v>6.01</v>
      </c>
      <c r="AY144" s="1">
        <v>0.36000000000000004</v>
      </c>
      <c r="AZ144" s="1">
        <v>31919.4</v>
      </c>
      <c r="BA144" s="1">
        <v>1242</v>
      </c>
      <c r="BB144" s="1">
        <v>11879.73</v>
      </c>
      <c r="BC144" s="1">
        <v>267.02999999999997</v>
      </c>
      <c r="BD144" s="1">
        <v>157113.00000000003</v>
      </c>
      <c r="BE144" s="1">
        <v>3167.1</v>
      </c>
      <c r="BF144" s="1">
        <v>18.63</v>
      </c>
      <c r="BG144" s="1">
        <v>6.8310000000000004</v>
      </c>
      <c r="BH144" s="1">
        <f t="shared" si="46"/>
        <v>8433.3333333333358</v>
      </c>
      <c r="BI144" s="1">
        <f t="shared" si="47"/>
        <v>3096.8917113139337</v>
      </c>
    </row>
    <row r="145" spans="1:61" x14ac:dyDescent="0.2">
      <c r="A145" t="s">
        <v>101</v>
      </c>
      <c r="B145" t="s">
        <v>38</v>
      </c>
      <c r="C145" t="s">
        <v>102</v>
      </c>
      <c r="D145" t="s">
        <v>103</v>
      </c>
      <c r="E145">
        <v>81178</v>
      </c>
      <c r="F145">
        <v>54087</v>
      </c>
      <c r="G145" t="s">
        <v>103</v>
      </c>
      <c r="H145" s="1">
        <v>31.18</v>
      </c>
      <c r="I145" s="1">
        <v>27.6</v>
      </c>
      <c r="J145" s="11">
        <v>3.42</v>
      </c>
      <c r="K145" s="11">
        <f t="shared" ca="1" si="40"/>
        <v>0.14689642609675704</v>
      </c>
      <c r="L145" s="8">
        <v>0.25900000000000001</v>
      </c>
      <c r="M145" s="8">
        <f t="shared" ca="1" si="41"/>
        <v>1.1261989167105427E-2</v>
      </c>
      <c r="N145" s="8">
        <v>0.97277000000000002</v>
      </c>
      <c r="O145" s="9">
        <v>3.8610039999999999</v>
      </c>
      <c r="P145" s="9">
        <f t="shared" ca="1" si="42"/>
        <v>0.1678864174299291</v>
      </c>
      <c r="Q145" s="10">
        <v>9.3700000000000006E-2</v>
      </c>
      <c r="R145" s="10">
        <f t="shared" ca="1" si="43"/>
        <v>2.0577599471269725E-3</v>
      </c>
      <c r="S145" s="9">
        <f t="shared" si="44"/>
        <v>0.60018578964192992</v>
      </c>
      <c r="T145" s="12">
        <v>9.3799999999999994E-2</v>
      </c>
      <c r="U145" s="12">
        <f t="shared" ca="1" si="45"/>
        <v>4.4180737884286182E-3</v>
      </c>
      <c r="V145" s="6" t="e">
        <f ca="1">IF(agePb6U8(1/O145)&lt;1400,age7corr(1/O145,Q145,$W$2),agePb76(Q145))</f>
        <v>#NAME?</v>
      </c>
      <c r="W145" s="6" t="e">
        <f ca="1">IF(agePb6U8(1/O145)&lt;1400,ageer7corr(V145,1/O145,P145/O145*(1/O145),Q145,R145,$W$2,0.05),ageerPb76(Q145,R145))</f>
        <v>#NAME?</v>
      </c>
      <c r="X145" s="4" t="e">
        <f ca="1">agePb6U8(L145)/agePb7u5(J145)</f>
        <v>#NAME?</v>
      </c>
      <c r="Z145" s="1">
        <v>3.42</v>
      </c>
      <c r="AA145" s="1">
        <v>0.13</v>
      </c>
      <c r="AB145" s="1">
        <v>0.25900000000000001</v>
      </c>
      <c r="AC145" s="1">
        <v>0.01</v>
      </c>
      <c r="AD145" s="1">
        <v>0.97277000000000002</v>
      </c>
      <c r="AE145" s="1">
        <v>3.8610039999999999</v>
      </c>
      <c r="AF145" s="1">
        <v>0.1490735</v>
      </c>
      <c r="AG145" s="1">
        <v>9.3700000000000006E-2</v>
      </c>
      <c r="AH145" s="1">
        <v>8.4999999999999995E-4</v>
      </c>
      <c r="AI145" s="1">
        <v>0.34809000000000001</v>
      </c>
      <c r="AJ145" s="1">
        <v>9.3799999999999994E-2</v>
      </c>
      <c r="AK145" s="1">
        <v>4.0000000000000001E-3</v>
      </c>
      <c r="AL145" s="1">
        <v>3.4390000000000001</v>
      </c>
      <c r="AM145" s="1">
        <v>1.2E-2</v>
      </c>
      <c r="AN145" s="1">
        <v>1508</v>
      </c>
      <c r="AO145" s="1">
        <v>29</v>
      </c>
      <c r="AP145" s="1">
        <v>1485</v>
      </c>
      <c r="AQ145" s="1">
        <v>52</v>
      </c>
      <c r="AR145" s="1">
        <v>1812</v>
      </c>
      <c r="AS145" s="1">
        <v>74</v>
      </c>
      <c r="AT145" s="1">
        <v>1506</v>
      </c>
      <c r="AU145" s="1">
        <v>18</v>
      </c>
      <c r="AV145" s="1">
        <v>6.71</v>
      </c>
      <c r="AW145" s="1">
        <v>0.12000000000000001</v>
      </c>
      <c r="AX145" s="1">
        <v>2.14</v>
      </c>
      <c r="AY145" s="1">
        <v>8.5000000000000006E-2</v>
      </c>
      <c r="AZ145" s="1">
        <v>16276.41</v>
      </c>
      <c r="BA145" s="1">
        <v>459.54</v>
      </c>
      <c r="BB145" s="1">
        <v>6421.14</v>
      </c>
      <c r="BC145" s="1">
        <v>167.67000000000002</v>
      </c>
      <c r="BD145" s="1">
        <v>68868.899999999994</v>
      </c>
      <c r="BE145" s="1">
        <v>1863.0000000000002</v>
      </c>
      <c r="BF145" s="1">
        <v>12.419999999999998</v>
      </c>
      <c r="BG145" s="1">
        <v>7.4519999999999991</v>
      </c>
      <c r="BH145" s="1">
        <f t="shared" si="46"/>
        <v>5545</v>
      </c>
      <c r="BI145" s="1">
        <f t="shared" si="47"/>
        <v>3330.3797080813474</v>
      </c>
    </row>
    <row r="146" spans="1:61" x14ac:dyDescent="0.2">
      <c r="A146" t="s">
        <v>104</v>
      </c>
      <c r="B146" t="s">
        <v>38</v>
      </c>
      <c r="C146" t="s">
        <v>105</v>
      </c>
      <c r="D146" t="s">
        <v>106</v>
      </c>
      <c r="E146">
        <v>81107</v>
      </c>
      <c r="F146">
        <v>54210</v>
      </c>
      <c r="G146" t="s">
        <v>106</v>
      </c>
      <c r="H146" s="1">
        <v>14.44</v>
      </c>
      <c r="I146" s="1">
        <v>8.36</v>
      </c>
      <c r="J146" s="11">
        <v>3.07</v>
      </c>
      <c r="K146" s="11">
        <f t="shared" ca="1" si="40"/>
        <v>0.12597602946592656</v>
      </c>
      <c r="L146" s="8">
        <v>0.24690000000000001</v>
      </c>
      <c r="M146" s="8">
        <f t="shared" ca="1" si="41"/>
        <v>1.0003691518634507E-2</v>
      </c>
      <c r="N146" s="8">
        <v>0.88934999999999997</v>
      </c>
      <c r="O146" s="9">
        <v>4.0502229999999999</v>
      </c>
      <c r="P146" s="9">
        <f t="shared" ca="1" si="42"/>
        <v>0.16410356121258185</v>
      </c>
      <c r="Q146" s="10">
        <v>8.7900000000000006E-2</v>
      </c>
      <c r="R146" s="10">
        <f t="shared" ca="1" si="43"/>
        <v>2.0737801233496286E-3</v>
      </c>
      <c r="S146" s="9">
        <f t="shared" si="44"/>
        <v>0.57582810289316566</v>
      </c>
      <c r="T146" s="12">
        <v>8.8999999999999996E-2</v>
      </c>
      <c r="U146" s="12">
        <f t="shared" ca="1" si="45"/>
        <v>3.8377597631951894E-3</v>
      </c>
      <c r="V146" s="6" t="e">
        <f ca="1">IF(agePb6U8(1/O146)&lt;1400,age7corr(1/O146,Q146,$W$2),agePb76(Q146))</f>
        <v>#NAME?</v>
      </c>
      <c r="W146" s="6" t="e">
        <f ca="1">IF(agePb6U8(1/O146)&lt;1400,ageer7corr(V146,1/O146,P146/O146*(1/O146),Q146,R146,$W$2,0.05),ageerPb76(Q146,R146))</f>
        <v>#NAME?</v>
      </c>
      <c r="X146" s="4" t="e">
        <f ca="1">agePb6U8(L146)/agePb7u5(J146)</f>
        <v>#NAME?</v>
      </c>
      <c r="Z146" s="1">
        <v>3.07</v>
      </c>
      <c r="AA146" s="1">
        <v>0.11</v>
      </c>
      <c r="AB146" s="1">
        <v>0.24690000000000001</v>
      </c>
      <c r="AC146" s="1">
        <v>8.6999999999999994E-3</v>
      </c>
      <c r="AD146" s="1">
        <v>0.88934999999999997</v>
      </c>
      <c r="AE146" s="1">
        <v>4.0502229999999999</v>
      </c>
      <c r="AF146" s="1">
        <v>0.14271739999999999</v>
      </c>
      <c r="AG146" s="1">
        <v>8.7900000000000006E-2</v>
      </c>
      <c r="AH146" s="1">
        <v>1.1000000000000001E-3</v>
      </c>
      <c r="AI146" s="1">
        <v>0.14527999999999999</v>
      </c>
      <c r="AJ146" s="1">
        <v>8.8999999999999996E-2</v>
      </c>
      <c r="AK146" s="1">
        <v>3.3999999999999998E-3</v>
      </c>
      <c r="AL146" s="1">
        <v>5.1710000000000003</v>
      </c>
      <c r="AM146" s="1">
        <v>7.3999999999999996E-2</v>
      </c>
      <c r="AN146" s="1">
        <v>1422</v>
      </c>
      <c r="AO146" s="1">
        <v>29</v>
      </c>
      <c r="AP146" s="1">
        <v>1422</v>
      </c>
      <c r="AQ146" s="1">
        <v>45</v>
      </c>
      <c r="AR146" s="1">
        <v>1723</v>
      </c>
      <c r="AS146" s="1">
        <v>63</v>
      </c>
      <c r="AT146" s="1">
        <v>1381</v>
      </c>
      <c r="AU146" s="1">
        <v>24</v>
      </c>
      <c r="AV146" s="1">
        <v>3.11</v>
      </c>
      <c r="AW146" s="1">
        <v>5.8000000000000003E-2</v>
      </c>
      <c r="AX146" s="1">
        <v>0.64700000000000002</v>
      </c>
      <c r="AY146" s="1">
        <v>2.5000000000000001E-2</v>
      </c>
      <c r="AZ146" s="1">
        <v>4781.7</v>
      </c>
      <c r="BA146" s="1">
        <v>136.62</v>
      </c>
      <c r="BB146" s="1">
        <v>2686.4459999999999</v>
      </c>
      <c r="BC146" s="1">
        <v>52.785000000000004</v>
      </c>
      <c r="BD146" s="1">
        <v>30615.299999999996</v>
      </c>
      <c r="BE146" s="1">
        <v>683.09999999999991</v>
      </c>
      <c r="BF146" s="1">
        <v>-0.74519999999999997</v>
      </c>
      <c r="BG146" s="1">
        <v>4.5953999999999997</v>
      </c>
      <c r="BH146" s="1">
        <f t="shared" si="46"/>
        <v>-41083.333333333328</v>
      </c>
      <c r="BI146" s="1">
        <f t="shared" si="47"/>
        <v>-253348.88056885861</v>
      </c>
    </row>
    <row r="147" spans="1:61" x14ac:dyDescent="0.2">
      <c r="A147" t="s">
        <v>107</v>
      </c>
      <c r="B147" t="s">
        <v>38</v>
      </c>
      <c r="C147" t="s">
        <v>108</v>
      </c>
      <c r="D147" t="s">
        <v>109</v>
      </c>
      <c r="E147">
        <v>81137</v>
      </c>
      <c r="F147">
        <v>54347</v>
      </c>
      <c r="G147" t="s">
        <v>109</v>
      </c>
      <c r="H147" s="1">
        <v>205.7</v>
      </c>
      <c r="I147" s="1">
        <v>192.4</v>
      </c>
      <c r="J147" s="11">
        <v>5.516</v>
      </c>
      <c r="K147" s="11">
        <f t="shared" ca="1" si="40"/>
        <v>0.14756185957082543</v>
      </c>
      <c r="L147" s="8">
        <v>0.32940000000000003</v>
      </c>
      <c r="M147" s="8">
        <f t="shared" ca="1" si="41"/>
        <v>8.3929580006097976E-3</v>
      </c>
      <c r="N147" s="8">
        <v>0.96094999999999997</v>
      </c>
      <c r="O147" s="9">
        <v>3.0358230000000002</v>
      </c>
      <c r="P147" s="9">
        <f t="shared" ca="1" si="42"/>
        <v>7.73513469783636E-2</v>
      </c>
      <c r="Q147" s="10">
        <v>0.11932</v>
      </c>
      <c r="R147" s="10">
        <f t="shared" ca="1" si="43"/>
        <v>2.5540174157589451E-3</v>
      </c>
      <c r="S147" s="9">
        <f t="shared" si="44"/>
        <v>0.38688301645721646</v>
      </c>
      <c r="T147" s="12">
        <v>0.11799999999999999</v>
      </c>
      <c r="U147" s="12">
        <f t="shared" ca="1" si="45"/>
        <v>4.0570432583348186E-3</v>
      </c>
      <c r="V147" s="6" t="e">
        <f ca="1">IF(agePb6U8(1/O147)&lt;1400,age7corr(1/O147,Q147,$W$2),agePb76(Q147))</f>
        <v>#NAME?</v>
      </c>
      <c r="W147" s="6" t="e">
        <f ca="1">IF(agePb6U8(1/O147)&lt;1400,ageer7corr(V147,1/O147,P147/O147*(1/O147),Q147,R147,$W$2,0.05),ageerPb76(Q147,R147))</f>
        <v>#NAME?</v>
      </c>
      <c r="X147" s="4" t="e">
        <f ca="1">agePb6U8(L147)/agePb7u5(J147)</f>
        <v>#NAME?</v>
      </c>
      <c r="Z147" s="1">
        <v>5.516</v>
      </c>
      <c r="AA147" s="1">
        <v>9.8000000000000004E-2</v>
      </c>
      <c r="AB147" s="1">
        <v>0.32940000000000003</v>
      </c>
      <c r="AC147" s="1">
        <v>5.1999999999999998E-3</v>
      </c>
      <c r="AD147" s="1">
        <v>0.96094999999999997</v>
      </c>
      <c r="AE147" s="1">
        <v>3.0358230000000002</v>
      </c>
      <c r="AF147" s="1">
        <v>4.7924340000000003E-2</v>
      </c>
      <c r="AG147" s="1">
        <v>0.11932</v>
      </c>
      <c r="AH147" s="1">
        <v>9.1E-4</v>
      </c>
      <c r="AI147" s="1">
        <v>-0.25474000000000002</v>
      </c>
      <c r="AJ147" s="1">
        <v>0.11799999999999999</v>
      </c>
      <c r="AK147" s="1">
        <v>3.3E-3</v>
      </c>
      <c r="AL147" s="1">
        <v>3.1379999999999999</v>
      </c>
      <c r="AM147" s="1">
        <v>5.0999999999999997E-2</v>
      </c>
      <c r="AN147" s="1">
        <v>1903</v>
      </c>
      <c r="AO147" s="1">
        <v>15</v>
      </c>
      <c r="AP147" s="1">
        <v>1835</v>
      </c>
      <c r="AQ147" s="1">
        <v>25</v>
      </c>
      <c r="AR147" s="1">
        <v>2254</v>
      </c>
      <c r="AS147" s="1">
        <v>60</v>
      </c>
      <c r="AT147" s="1">
        <v>1946</v>
      </c>
      <c r="AU147" s="1">
        <v>14</v>
      </c>
      <c r="AV147" s="1">
        <v>44.3</v>
      </c>
      <c r="AW147" s="1">
        <v>1.7</v>
      </c>
      <c r="AX147" s="1">
        <v>14.89</v>
      </c>
      <c r="AY147" s="1">
        <v>0.25999999999999995</v>
      </c>
      <c r="AZ147" s="1">
        <v>147177</v>
      </c>
      <c r="BA147" s="1">
        <v>6831</v>
      </c>
      <c r="BB147" s="1">
        <v>67005.900000000009</v>
      </c>
      <c r="BC147" s="1">
        <v>2608.1999999999998</v>
      </c>
      <c r="BD147" s="1">
        <v>566352</v>
      </c>
      <c r="BE147" s="1">
        <v>17388</v>
      </c>
      <c r="BF147" s="1">
        <v>-2.1735000000000002</v>
      </c>
      <c r="BG147" s="1">
        <v>5.8995000000000006</v>
      </c>
      <c r="BH147" s="1">
        <f t="shared" si="46"/>
        <v>-260571.42857142855</v>
      </c>
      <c r="BI147" s="1">
        <f t="shared" si="47"/>
        <v>-707310.54936603433</v>
      </c>
    </row>
    <row r="148" spans="1:61" s="24" customFormat="1" x14ac:dyDescent="0.2">
      <c r="A148" s="24" t="s">
        <v>110</v>
      </c>
      <c r="B148" s="24" t="s">
        <v>38</v>
      </c>
      <c r="C148" s="24" t="s">
        <v>111</v>
      </c>
      <c r="D148" s="24" t="s">
        <v>112</v>
      </c>
      <c r="E148" s="24">
        <v>81183</v>
      </c>
      <c r="F148" s="24">
        <v>54500</v>
      </c>
      <c r="G148" s="24" t="s">
        <v>112</v>
      </c>
      <c r="H148" s="25">
        <v>149.1</v>
      </c>
      <c r="I148" s="25">
        <v>59</v>
      </c>
      <c r="J148" s="26">
        <v>5.66</v>
      </c>
      <c r="K148" s="26">
        <f t="shared" ca="1" si="40"/>
        <v>0.35834932677486647</v>
      </c>
      <c r="L148" s="27">
        <v>0.21099999999999999</v>
      </c>
      <c r="M148" s="27">
        <f t="shared" ca="1" si="41"/>
        <v>1.1781697670539675E-2</v>
      </c>
      <c r="N148" s="27">
        <v>0.92957000000000001</v>
      </c>
      <c r="O148" s="27">
        <v>4.7393359999999998</v>
      </c>
      <c r="P148" s="27">
        <f t="shared" ca="1" si="42"/>
        <v>0.26463235143065633</v>
      </c>
      <c r="Q148" s="26">
        <v>0.189</v>
      </c>
      <c r="R148" s="26">
        <f t="shared" ca="1" si="43"/>
        <v>4.9526154706377116E-3</v>
      </c>
      <c r="S148" s="27">
        <f t="shared" si="44"/>
        <v>0.43599831971709435</v>
      </c>
      <c r="T148" s="26">
        <v>0.224</v>
      </c>
      <c r="U148" s="26">
        <f t="shared" ca="1" si="45"/>
        <v>1.1877306091871169E-2</v>
      </c>
      <c r="V148" s="25" t="e">
        <f ca="1">IF(agePb6U8(1/O148)&lt;1400,age7corr(1/O148,Q148,$W$2),agePb76(Q148))</f>
        <v>#NAME?</v>
      </c>
      <c r="W148" s="25" t="e">
        <f ca="1">IF(agePb6U8(1/O148)&lt;1400,ageer7corr(V148,1/O148,P148/O148*(1/O148),Q148,R148,$W$2,0.05),ageerPb76(Q148,R148))</f>
        <v>#NAME?</v>
      </c>
      <c r="X148" s="27" t="e">
        <f ca="1">agePb6U8(L148)/agePb7u5(J148)</f>
        <v>#NAME?</v>
      </c>
      <c r="Y148" s="25"/>
      <c r="Z148" s="25">
        <v>5.66</v>
      </c>
      <c r="AA148" s="25">
        <v>0.34</v>
      </c>
      <c r="AB148" s="25">
        <v>0.21099999999999999</v>
      </c>
      <c r="AC148" s="25">
        <v>1.0999999999999999E-2</v>
      </c>
      <c r="AD148" s="25">
        <v>0.92957000000000001</v>
      </c>
      <c r="AE148" s="25">
        <v>4.7393359999999998</v>
      </c>
      <c r="AF148" s="25">
        <v>0.2470744</v>
      </c>
      <c r="AG148" s="25">
        <v>0.189</v>
      </c>
      <c r="AH148" s="25">
        <v>3.2000000000000002E-3</v>
      </c>
      <c r="AI148" s="25">
        <v>-0.19306999999999999</v>
      </c>
      <c r="AJ148" s="25">
        <v>0.224</v>
      </c>
      <c r="AK148" s="25">
        <v>1.0999999999999999E-2</v>
      </c>
      <c r="AL148" s="25">
        <v>2.4289999999999998</v>
      </c>
      <c r="AM148" s="25">
        <v>5.6000000000000001E-2</v>
      </c>
      <c r="AN148" s="25">
        <v>1920</v>
      </c>
      <c r="AO148" s="25">
        <v>52</v>
      </c>
      <c r="AP148" s="25">
        <v>1235</v>
      </c>
      <c r="AQ148" s="25">
        <v>58</v>
      </c>
      <c r="AR148" s="25">
        <v>4090</v>
      </c>
      <c r="AS148" s="25">
        <v>180</v>
      </c>
      <c r="AT148" s="25">
        <v>2732</v>
      </c>
      <c r="AU148" s="25">
        <v>27</v>
      </c>
      <c r="AV148" s="25">
        <v>32.099999999999994</v>
      </c>
      <c r="AW148" s="25">
        <v>1.2</v>
      </c>
      <c r="AX148" s="25">
        <v>4.57</v>
      </c>
      <c r="AY148" s="25">
        <v>0.24000000000000002</v>
      </c>
      <c r="AZ148" s="25">
        <v>85760.1</v>
      </c>
      <c r="BA148" s="25">
        <v>2608.1999999999998</v>
      </c>
      <c r="BB148" s="25">
        <v>48375.899999999994</v>
      </c>
      <c r="BC148" s="25">
        <v>1614.6</v>
      </c>
      <c r="BD148" s="25">
        <v>259577.99999999997</v>
      </c>
      <c r="BE148" s="25">
        <v>8072.9999999999982</v>
      </c>
      <c r="BF148" s="25">
        <v>1987.2</v>
      </c>
      <c r="BG148" s="25">
        <v>99.359999999999985</v>
      </c>
      <c r="BH148" s="25">
        <f t="shared" si="46"/>
        <v>130.62499999999997</v>
      </c>
      <c r="BI148" s="25">
        <f t="shared" si="47"/>
        <v>7.6916274488888208</v>
      </c>
    </row>
    <row r="149" spans="1:61" x14ac:dyDescent="0.2">
      <c r="A149" t="s">
        <v>113</v>
      </c>
      <c r="B149" t="s">
        <v>38</v>
      </c>
      <c r="C149" t="s">
        <v>114</v>
      </c>
      <c r="D149" t="s">
        <v>115</v>
      </c>
      <c r="E149">
        <v>81075</v>
      </c>
      <c r="F149">
        <v>54591</v>
      </c>
      <c r="G149" t="s">
        <v>115</v>
      </c>
      <c r="H149" s="1">
        <v>273.8</v>
      </c>
      <c r="I149" s="1">
        <v>87.5</v>
      </c>
      <c r="J149" s="11">
        <v>4.5650000000000004</v>
      </c>
      <c r="K149" s="11">
        <f t="shared" ca="1" si="40"/>
        <v>0.13320919637922904</v>
      </c>
      <c r="L149" s="8">
        <v>0.29859999999999998</v>
      </c>
      <c r="M149" s="8">
        <f t="shared" ca="1" si="41"/>
        <v>8.2555910751441666E-3</v>
      </c>
      <c r="N149" s="8">
        <v>0.94113999999999998</v>
      </c>
      <c r="O149" s="9">
        <v>3.3489620000000002</v>
      </c>
      <c r="P149" s="9">
        <f t="shared" ca="1" si="42"/>
        <v>9.2590959426445629E-2</v>
      </c>
      <c r="Q149" s="10">
        <v>0.10983999999999999</v>
      </c>
      <c r="R149" s="10">
        <f t="shared" ca="1" si="43"/>
        <v>2.3180876256086612E-3</v>
      </c>
      <c r="S149" s="9">
        <f t="shared" si="44"/>
        <v>0.59509906600261608</v>
      </c>
      <c r="T149" s="12">
        <v>0.10680000000000001</v>
      </c>
      <c r="U149" s="12">
        <f t="shared" ca="1" si="45"/>
        <v>2.9954124924624318E-3</v>
      </c>
      <c r="V149" s="6" t="e">
        <f ca="1">IF(agePb6U8(1/O149)&lt;1400,age7corr(1/O149,Q149,$W$2),agePb76(Q149))</f>
        <v>#NAME?</v>
      </c>
      <c r="W149" s="6" t="e">
        <f ca="1">IF(agePb6U8(1/O149)&lt;1400,ageer7corr(V149,1/O149,P149/O149*(1/O149),Q149,R149,$W$2,0.05),ageerPb76(Q149,R149))</f>
        <v>#NAME?</v>
      </c>
      <c r="X149" s="4" t="e">
        <f ca="1">agePb6U8(L149)/agePb7u5(J149)</f>
        <v>#NAME?</v>
      </c>
      <c r="Z149" s="1">
        <v>4.5650000000000004</v>
      </c>
      <c r="AA149" s="1">
        <v>9.7000000000000003E-2</v>
      </c>
      <c r="AB149" s="1">
        <v>0.29859999999999998</v>
      </c>
      <c r="AC149" s="1">
        <v>5.7000000000000002E-3</v>
      </c>
      <c r="AD149" s="1">
        <v>0.94113999999999998</v>
      </c>
      <c r="AE149" s="1">
        <v>3.3489620000000002</v>
      </c>
      <c r="AF149" s="1">
        <v>6.3928609999999997E-2</v>
      </c>
      <c r="AG149" s="1">
        <v>0.10983999999999999</v>
      </c>
      <c r="AH149" s="1">
        <v>7.3999999999999999E-4</v>
      </c>
      <c r="AI149" s="1">
        <v>-5.8645000000000003E-2</v>
      </c>
      <c r="AJ149" s="1">
        <v>0.10680000000000001</v>
      </c>
      <c r="AK149" s="1">
        <v>2.0999999999999999E-3</v>
      </c>
      <c r="AL149" s="1">
        <v>9.34</v>
      </c>
      <c r="AM149" s="1">
        <v>0.54</v>
      </c>
      <c r="AN149" s="1">
        <v>1747</v>
      </c>
      <c r="AO149" s="1">
        <v>16</v>
      </c>
      <c r="AP149" s="1">
        <v>1684</v>
      </c>
      <c r="AQ149" s="1">
        <v>28</v>
      </c>
      <c r="AR149" s="1">
        <v>2051</v>
      </c>
      <c r="AS149" s="1">
        <v>38</v>
      </c>
      <c r="AT149" s="1">
        <v>1796</v>
      </c>
      <c r="AU149" s="1">
        <v>12</v>
      </c>
      <c r="AV149" s="1">
        <v>58.95</v>
      </c>
      <c r="AW149" s="1">
        <v>0.88</v>
      </c>
      <c r="AX149" s="1">
        <v>6.77</v>
      </c>
      <c r="AY149" s="1">
        <v>0.15</v>
      </c>
      <c r="AZ149" s="1">
        <v>60174.9</v>
      </c>
      <c r="BA149" s="1">
        <v>2794.5000000000005</v>
      </c>
      <c r="BB149" s="1">
        <v>74457.900000000009</v>
      </c>
      <c r="BC149" s="1">
        <v>1117.8000000000002</v>
      </c>
      <c r="BD149" s="1">
        <v>684342</v>
      </c>
      <c r="BE149" s="1">
        <v>12420</v>
      </c>
      <c r="BF149" s="1">
        <v>31.05</v>
      </c>
      <c r="BG149" s="1">
        <v>6.2099999999999991</v>
      </c>
      <c r="BH149" s="1">
        <f t="shared" si="46"/>
        <v>22040</v>
      </c>
      <c r="BI149" s="1">
        <f t="shared" si="47"/>
        <v>4426.1116117874835</v>
      </c>
    </row>
    <row r="150" spans="1:61" x14ac:dyDescent="0.2">
      <c r="A150" t="s">
        <v>116</v>
      </c>
      <c r="B150" t="s">
        <v>38</v>
      </c>
      <c r="C150" t="s">
        <v>117</v>
      </c>
      <c r="D150" t="s">
        <v>118</v>
      </c>
      <c r="E150">
        <v>81139</v>
      </c>
      <c r="F150">
        <v>54718</v>
      </c>
      <c r="G150" t="s">
        <v>118</v>
      </c>
      <c r="H150" s="1">
        <v>188.1</v>
      </c>
      <c r="I150" s="1">
        <v>352</v>
      </c>
      <c r="J150" s="11">
        <v>2.3860000000000001</v>
      </c>
      <c r="K150" s="11">
        <f t="shared" ca="1" si="40"/>
        <v>9.9228012173982416E-2</v>
      </c>
      <c r="L150" s="8">
        <v>0.2046</v>
      </c>
      <c r="M150" s="8">
        <f t="shared" ca="1" si="41"/>
        <v>8.1947827304938367E-3</v>
      </c>
      <c r="N150" s="8">
        <v>0.99451000000000001</v>
      </c>
      <c r="O150" s="9">
        <v>4.8875859999999998</v>
      </c>
      <c r="P150" s="9">
        <f t="shared" ca="1" si="42"/>
        <v>0.19576101295163037</v>
      </c>
      <c r="Q150" s="10">
        <v>8.2979999999999998E-2</v>
      </c>
      <c r="R150" s="10">
        <f t="shared" ca="1" si="43"/>
        <v>1.7003447179910313E-3</v>
      </c>
      <c r="S150" s="9">
        <f t="shared" si="44"/>
        <v>0.47045193688422993</v>
      </c>
      <c r="T150" s="12">
        <v>7.6399999999999996E-2</v>
      </c>
      <c r="U150" s="12">
        <f t="shared" ca="1" si="45"/>
        <v>2.9299802047112874E-3</v>
      </c>
      <c r="V150" s="6" t="e">
        <f ca="1">IF(agePb6U8(1/O150)&lt;1400,age7corr(1/O150,Q150,$W$2),agePb76(Q150))</f>
        <v>#NAME?</v>
      </c>
      <c r="W150" s="6" t="e">
        <f ca="1">IF(agePb6U8(1/O150)&lt;1400,ageer7corr(V150,1/O150,P150/O150*(1/O150),Q150,R150,$W$2,0.05),ageerPb76(Q150,R150))</f>
        <v>#NAME?</v>
      </c>
      <c r="X150" s="4" t="e">
        <f ca="1">agePb6U8(L150)/agePb7u5(J150)</f>
        <v>#NAME?</v>
      </c>
      <c r="Z150" s="1">
        <v>2.3860000000000001</v>
      </c>
      <c r="AA150" s="1">
        <v>8.6999999999999994E-2</v>
      </c>
      <c r="AB150" s="1">
        <v>0.2046</v>
      </c>
      <c r="AC150" s="1">
        <v>7.1000000000000004E-3</v>
      </c>
      <c r="AD150" s="1">
        <v>0.99451000000000001</v>
      </c>
      <c r="AE150" s="1">
        <v>4.8875859999999998</v>
      </c>
      <c r="AF150" s="1">
        <v>0.16960829999999999</v>
      </c>
      <c r="AG150" s="1">
        <v>8.2979999999999998E-2</v>
      </c>
      <c r="AH150" s="1">
        <v>3.6999999999999999E-4</v>
      </c>
      <c r="AI150" s="1">
        <v>-0.41094000000000003</v>
      </c>
      <c r="AJ150" s="1">
        <v>7.6399999999999996E-2</v>
      </c>
      <c r="AK150" s="1">
        <v>2.5000000000000001E-3</v>
      </c>
      <c r="AL150" s="1">
        <v>1.5537000000000001</v>
      </c>
      <c r="AM150" s="1">
        <v>3.3E-3</v>
      </c>
      <c r="AN150" s="1">
        <v>1237</v>
      </c>
      <c r="AO150" s="1">
        <v>26</v>
      </c>
      <c r="AP150" s="1">
        <v>1199</v>
      </c>
      <c r="AQ150" s="1">
        <v>38</v>
      </c>
      <c r="AR150" s="1">
        <v>1489</v>
      </c>
      <c r="AS150" s="1">
        <v>47</v>
      </c>
      <c r="AT150" s="1">
        <v>1268.7</v>
      </c>
      <c r="AU150" s="1">
        <v>8.8000000000000007</v>
      </c>
      <c r="AV150" s="1">
        <v>40.480000000000004</v>
      </c>
      <c r="AW150" s="1">
        <v>0.93</v>
      </c>
      <c r="AX150" s="1">
        <v>27.25</v>
      </c>
      <c r="AY150" s="1">
        <v>0.94</v>
      </c>
      <c r="AZ150" s="1">
        <v>171209.7</v>
      </c>
      <c r="BA150" s="1">
        <v>4160.7</v>
      </c>
      <c r="BB150" s="1">
        <v>26951.4</v>
      </c>
      <c r="BC150" s="1">
        <v>683.09999999999991</v>
      </c>
      <c r="BD150" s="1">
        <v>327267</v>
      </c>
      <c r="BE150" s="1">
        <v>7452.0000000000009</v>
      </c>
      <c r="BF150" s="1">
        <v>7.2656999999999998</v>
      </c>
      <c r="BG150" s="1">
        <v>5.9615999999999998</v>
      </c>
      <c r="BH150" s="1">
        <f t="shared" si="46"/>
        <v>45042.735042735047</v>
      </c>
      <c r="BI150" s="1">
        <f t="shared" si="47"/>
        <v>36972.370333565079</v>
      </c>
    </row>
    <row r="151" spans="1:61" x14ac:dyDescent="0.2">
      <c r="A151" t="s">
        <v>119</v>
      </c>
      <c r="B151" t="s">
        <v>38</v>
      </c>
      <c r="C151" t="s">
        <v>120</v>
      </c>
      <c r="D151" t="s">
        <v>121</v>
      </c>
      <c r="E151">
        <v>81139</v>
      </c>
      <c r="F151">
        <v>54790</v>
      </c>
      <c r="G151" t="s">
        <v>121</v>
      </c>
      <c r="H151" s="1">
        <v>14.05</v>
      </c>
      <c r="I151" s="1">
        <v>10.33</v>
      </c>
      <c r="J151" s="11">
        <v>5.54</v>
      </c>
      <c r="K151" s="11">
        <f t="shared" ca="1" si="40"/>
        <v>0.26434189981915468</v>
      </c>
      <c r="L151" s="8">
        <v>0.33900000000000002</v>
      </c>
      <c r="M151" s="8">
        <f t="shared" ca="1" si="41"/>
        <v>1.4661800707962169E-2</v>
      </c>
      <c r="N151" s="8">
        <v>0.95316000000000001</v>
      </c>
      <c r="O151" s="9">
        <v>2.9498530000000001</v>
      </c>
      <c r="P151" s="9">
        <f t="shared" ca="1" si="42"/>
        <v>0.12758157773786777</v>
      </c>
      <c r="Q151" s="10">
        <v>0.1152</v>
      </c>
      <c r="R151" s="10">
        <f t="shared" ca="1" si="43"/>
        <v>2.8050696961038242E-3</v>
      </c>
      <c r="S151" s="9">
        <f t="shared" si="44"/>
        <v>0.51012907665042784</v>
      </c>
      <c r="T151" s="12">
        <v>0.12280000000000001</v>
      </c>
      <c r="U151" s="12">
        <f t="shared" ca="1" si="45"/>
        <v>7.135960762223963E-3</v>
      </c>
      <c r="V151" s="6" t="e">
        <f ca="1">IF(agePb6U8(1/O151)&lt;1400,age7corr(1/O151,Q151,$W$2),agePb76(Q151))</f>
        <v>#NAME?</v>
      </c>
      <c r="W151" s="6" t="e">
        <f ca="1">IF(agePb6U8(1/O151)&lt;1400,ageer7corr(V151,1/O151,P151/O151*(1/O151),Q151,R151,$W$2,0.05),ageerPb76(Q151,R151))</f>
        <v>#NAME?</v>
      </c>
      <c r="X151" s="4" t="e">
        <f ca="1">agePb6U8(L151)/agePb7u5(J151)</f>
        <v>#NAME?</v>
      </c>
      <c r="Z151" s="1">
        <v>5.54</v>
      </c>
      <c r="AA151" s="1">
        <v>0.24</v>
      </c>
      <c r="AB151" s="1">
        <v>0.33900000000000002</v>
      </c>
      <c r="AC151" s="1">
        <v>1.2999999999999999E-2</v>
      </c>
      <c r="AD151" s="1">
        <v>0.95316000000000001</v>
      </c>
      <c r="AE151" s="1">
        <v>2.9498530000000001</v>
      </c>
      <c r="AF151" s="1">
        <v>0.11312120000000001</v>
      </c>
      <c r="AG151" s="1">
        <v>0.1152</v>
      </c>
      <c r="AH151" s="1">
        <v>1.6000000000000001E-3</v>
      </c>
      <c r="AI151" s="1">
        <v>-9.3262999999999992E-3</v>
      </c>
      <c r="AJ151" s="1">
        <v>0.12280000000000001</v>
      </c>
      <c r="AK151" s="1">
        <v>6.7000000000000002E-3</v>
      </c>
      <c r="AL151" s="1">
        <v>4.109</v>
      </c>
      <c r="AM151" s="1">
        <v>3.2000000000000001E-2</v>
      </c>
      <c r="AN151" s="1">
        <v>1904</v>
      </c>
      <c r="AO151" s="1">
        <v>37</v>
      </c>
      <c r="AP151" s="1">
        <v>1881</v>
      </c>
      <c r="AQ151" s="1">
        <v>64</v>
      </c>
      <c r="AR151" s="1">
        <v>2340</v>
      </c>
      <c r="AS151" s="1">
        <v>120</v>
      </c>
      <c r="AT151" s="1">
        <v>1882</v>
      </c>
      <c r="AU151" s="1">
        <v>24</v>
      </c>
      <c r="AV151" s="1">
        <v>3.0230000000000001</v>
      </c>
      <c r="AW151" s="1">
        <v>8.1000000000000003E-2</v>
      </c>
      <c r="AX151" s="1">
        <v>0.8</v>
      </c>
      <c r="AY151" s="1">
        <v>5.1999999999999998E-2</v>
      </c>
      <c r="AZ151" s="1">
        <v>8104.05</v>
      </c>
      <c r="BA151" s="1">
        <v>235.98</v>
      </c>
      <c r="BB151" s="1">
        <v>4645.08</v>
      </c>
      <c r="BC151" s="1">
        <v>124.2</v>
      </c>
      <c r="BD151" s="1">
        <v>40923.899999999994</v>
      </c>
      <c r="BE151" s="1">
        <v>1117.8000000000002</v>
      </c>
      <c r="BF151" s="1">
        <v>-43.47</v>
      </c>
      <c r="BG151" s="1">
        <v>6.8310000000000004</v>
      </c>
      <c r="BH151" s="1">
        <f t="shared" si="46"/>
        <v>-941.42857142857133</v>
      </c>
      <c r="BI151" s="1">
        <f t="shared" si="47"/>
        <v>-150.1569371998992</v>
      </c>
    </row>
    <row r="152" spans="1:61" x14ac:dyDescent="0.2">
      <c r="A152" t="s">
        <v>128</v>
      </c>
      <c r="B152" t="s">
        <v>38</v>
      </c>
      <c r="C152" t="s">
        <v>129</v>
      </c>
      <c r="D152" t="s">
        <v>130</v>
      </c>
      <c r="E152">
        <v>81141</v>
      </c>
      <c r="F152">
        <v>54889</v>
      </c>
      <c r="G152" t="s">
        <v>130</v>
      </c>
      <c r="H152" s="1">
        <v>145.80000000000001</v>
      </c>
      <c r="I152" s="1">
        <v>56.5</v>
      </c>
      <c r="J152" s="11">
        <v>4.59</v>
      </c>
      <c r="K152" s="11">
        <f t="shared" ca="1" si="40"/>
        <v>0.18446473917797948</v>
      </c>
      <c r="L152" s="8">
        <v>0.30099999999999999</v>
      </c>
      <c r="M152" s="8">
        <f t="shared" ca="1" si="41"/>
        <v>1.1672206303865605E-2</v>
      </c>
      <c r="N152" s="8">
        <v>0.98595999999999995</v>
      </c>
      <c r="O152" s="9">
        <v>3.3222589999999999</v>
      </c>
      <c r="P152" s="9">
        <f t="shared" ca="1" si="42"/>
        <v>0.12883091203605754</v>
      </c>
      <c r="Q152" s="10">
        <v>0.1085</v>
      </c>
      <c r="R152" s="10">
        <f t="shared" ca="1" si="43"/>
        <v>2.243613157386986E-3</v>
      </c>
      <c r="S152" s="9">
        <f t="shared" si="44"/>
        <v>0.46364535117983996</v>
      </c>
      <c r="T152" s="12">
        <v>0.111</v>
      </c>
      <c r="U152" s="12">
        <f t="shared" ca="1" si="45"/>
        <v>4.2294680516585057E-3</v>
      </c>
      <c r="V152" s="6" t="e">
        <f ca="1">IF(agePb6U8(1/O152)&lt;1400,age7corr(1/O152,Q152,$W$2),agePb76(Q152))</f>
        <v>#NAME?</v>
      </c>
      <c r="W152" s="6" t="e">
        <f ca="1">IF(agePb6U8(1/O152)&lt;1400,ageer7corr(V152,1/O152,P152/O152*(1/O152),Q152,R152,$W$2,0.05),ageerPb76(Q152,R152))</f>
        <v>#NAME?</v>
      </c>
      <c r="X152" s="4" t="e">
        <f ca="1">agePb6U8(L152)/agePb7u5(J152)</f>
        <v>#NAME?</v>
      </c>
      <c r="Z152" s="1">
        <v>4.59</v>
      </c>
      <c r="AA152" s="1">
        <v>0.16</v>
      </c>
      <c r="AB152" s="1">
        <v>0.30099999999999999</v>
      </c>
      <c r="AC152" s="1">
        <v>0.01</v>
      </c>
      <c r="AD152" s="1">
        <v>0.98595999999999995</v>
      </c>
      <c r="AE152" s="1">
        <v>3.3222589999999999</v>
      </c>
      <c r="AF152" s="1">
        <v>0.1103741</v>
      </c>
      <c r="AG152" s="1">
        <v>0.1085</v>
      </c>
      <c r="AH152" s="1">
        <v>5.6999999999999998E-4</v>
      </c>
      <c r="AI152" s="1">
        <v>2.5066000000000001E-2</v>
      </c>
      <c r="AJ152" s="1">
        <v>0.111</v>
      </c>
      <c r="AK152" s="1">
        <v>3.5999999999999999E-3</v>
      </c>
      <c r="AL152" s="1">
        <v>7.5910000000000002</v>
      </c>
      <c r="AM152" s="1">
        <v>7.0000000000000007E-2</v>
      </c>
      <c r="AN152" s="1">
        <v>1760</v>
      </c>
      <c r="AO152" s="1">
        <v>28</v>
      </c>
      <c r="AP152" s="1">
        <v>1696</v>
      </c>
      <c r="AQ152" s="1">
        <v>51</v>
      </c>
      <c r="AR152" s="1">
        <v>2126</v>
      </c>
      <c r="AS152" s="1">
        <v>66</v>
      </c>
      <c r="AT152" s="1">
        <v>1774.2</v>
      </c>
      <c r="AU152" s="1">
        <v>9.5</v>
      </c>
      <c r="AV152" s="1">
        <v>31.38</v>
      </c>
      <c r="AW152" s="1">
        <v>0.86</v>
      </c>
      <c r="AX152" s="1">
        <v>4.37</v>
      </c>
      <c r="AY152" s="1">
        <v>0.1</v>
      </c>
      <c r="AZ152" s="1">
        <v>39992.400000000001</v>
      </c>
      <c r="BA152" s="1">
        <v>1242</v>
      </c>
      <c r="BB152" s="1">
        <v>40302.899999999994</v>
      </c>
      <c r="BC152" s="1">
        <v>1055.7</v>
      </c>
      <c r="BD152" s="1">
        <v>373842</v>
      </c>
      <c r="BE152" s="1">
        <v>9315</v>
      </c>
      <c r="BF152" s="1">
        <v>0.3105</v>
      </c>
      <c r="BG152" s="1">
        <v>7.4519999999999991</v>
      </c>
      <c r="BH152" s="1">
        <f t="shared" si="46"/>
        <v>1204000</v>
      </c>
      <c r="BI152" s="1">
        <f t="shared" si="47"/>
        <v>28896015.573085502</v>
      </c>
    </row>
    <row r="153" spans="1:61" x14ac:dyDescent="0.2">
      <c r="A153" t="s">
        <v>131</v>
      </c>
      <c r="B153" t="s">
        <v>38</v>
      </c>
      <c r="C153" t="s">
        <v>132</v>
      </c>
      <c r="D153" t="s">
        <v>133</v>
      </c>
      <c r="E153">
        <v>81138</v>
      </c>
      <c r="F153">
        <v>55026</v>
      </c>
      <c r="G153" t="s">
        <v>133</v>
      </c>
      <c r="H153" s="1">
        <v>270.7</v>
      </c>
      <c r="I153" s="1">
        <v>138.4</v>
      </c>
      <c r="J153" s="11">
        <v>3.24</v>
      </c>
      <c r="K153" s="11">
        <f t="shared" ca="1" si="40"/>
        <v>0.14525508596947648</v>
      </c>
      <c r="L153" s="8">
        <v>0.24610000000000001</v>
      </c>
      <c r="M153" s="8">
        <f t="shared" ca="1" si="41"/>
        <v>1.0345824471737378E-2</v>
      </c>
      <c r="N153" s="8">
        <v>0.97692999999999997</v>
      </c>
      <c r="O153" s="9">
        <v>4.0633889999999999</v>
      </c>
      <c r="P153" s="9">
        <f t="shared" ca="1" si="42"/>
        <v>0.1708212668780395</v>
      </c>
      <c r="Q153" s="10">
        <v>9.5799999999999996E-2</v>
      </c>
      <c r="R153" s="10">
        <f t="shared" ca="1" si="43"/>
        <v>2.0880507656663907E-3</v>
      </c>
      <c r="S153" s="9">
        <f t="shared" si="44"/>
        <v>0.48507047218776939</v>
      </c>
      <c r="T153" s="12">
        <v>9.3100000000000002E-2</v>
      </c>
      <c r="U153" s="12">
        <f t="shared" ca="1" si="45"/>
        <v>3.4463087499526212E-3</v>
      </c>
      <c r="V153" s="6" t="e">
        <f ca="1">IF(agePb6U8(1/O153)&lt;1400,age7corr(1/O153,Q153,$W$2),agePb76(Q153))</f>
        <v>#NAME?</v>
      </c>
      <c r="W153" s="6" t="e">
        <f ca="1">IF(agePb6U8(1/O153)&lt;1400,ageer7corr(V153,1/O153,P153/O153*(1/O153),Q153,R153,$W$2,0.05),ageerPb76(Q153,R153))</f>
        <v>#NAME?</v>
      </c>
      <c r="X153" s="4" t="e">
        <f ca="1">agePb6U8(L153)/agePb7u5(J153)</f>
        <v>#NAME?</v>
      </c>
      <c r="Z153" s="1">
        <v>3.24</v>
      </c>
      <c r="AA153" s="1">
        <v>0.13</v>
      </c>
      <c r="AB153" s="1">
        <v>0.24610000000000001</v>
      </c>
      <c r="AC153" s="1">
        <v>9.1000000000000004E-3</v>
      </c>
      <c r="AD153" s="1">
        <v>0.97692999999999997</v>
      </c>
      <c r="AE153" s="1">
        <v>4.0633889999999999</v>
      </c>
      <c r="AF153" s="1">
        <v>0.1502513</v>
      </c>
      <c r="AG153" s="1">
        <v>9.5799999999999996E-2</v>
      </c>
      <c r="AH153" s="1">
        <v>8.3000000000000001E-4</v>
      </c>
      <c r="AI153" s="1">
        <v>-0.10133</v>
      </c>
      <c r="AJ153" s="1">
        <v>9.3100000000000002E-2</v>
      </c>
      <c r="AK153" s="1">
        <v>2.8999999999999998E-3</v>
      </c>
      <c r="AL153" s="1">
        <v>5.5350000000000001</v>
      </c>
      <c r="AM153" s="1">
        <v>0.02</v>
      </c>
      <c r="AN153" s="1">
        <v>1475</v>
      </c>
      <c r="AO153" s="1">
        <v>28</v>
      </c>
      <c r="AP153" s="1">
        <v>1417</v>
      </c>
      <c r="AQ153" s="1">
        <v>47</v>
      </c>
      <c r="AR153" s="1">
        <v>1800</v>
      </c>
      <c r="AS153" s="1">
        <v>54</v>
      </c>
      <c r="AT153" s="1">
        <v>1543</v>
      </c>
      <c r="AU153" s="1">
        <v>16</v>
      </c>
      <c r="AV153" s="1">
        <v>58.2</v>
      </c>
      <c r="AW153" s="1">
        <v>1.1000000000000001</v>
      </c>
      <c r="AX153" s="1">
        <v>10.71</v>
      </c>
      <c r="AY153" s="1">
        <v>0.27999999999999997</v>
      </c>
      <c r="AZ153" s="1">
        <v>82220.400000000009</v>
      </c>
      <c r="BA153" s="1">
        <v>1800.9</v>
      </c>
      <c r="BB153" s="1">
        <v>53406</v>
      </c>
      <c r="BC153" s="1">
        <v>1304.0999999999999</v>
      </c>
      <c r="BD153" s="1">
        <v>561384</v>
      </c>
      <c r="BE153" s="1">
        <v>11799</v>
      </c>
      <c r="BF153" s="1">
        <v>2.2976999999999999</v>
      </c>
      <c r="BG153" s="1">
        <v>4.9059000000000008</v>
      </c>
      <c r="BH153" s="1">
        <f t="shared" si="46"/>
        <v>244324.32432432435</v>
      </c>
      <c r="BI153" s="1">
        <f t="shared" si="47"/>
        <v>521690.72306908196</v>
      </c>
    </row>
    <row r="154" spans="1:61" x14ac:dyDescent="0.2">
      <c r="A154" t="s">
        <v>134</v>
      </c>
      <c r="B154" t="s">
        <v>38</v>
      </c>
      <c r="C154" t="s">
        <v>135</v>
      </c>
      <c r="D154" t="s">
        <v>136</v>
      </c>
      <c r="E154">
        <v>81145</v>
      </c>
      <c r="F154">
        <v>55124</v>
      </c>
      <c r="G154" t="s">
        <v>136</v>
      </c>
      <c r="H154" s="1">
        <v>98</v>
      </c>
      <c r="I154" s="1">
        <v>92.1</v>
      </c>
      <c r="J154" s="11">
        <v>5.0599999999999996</v>
      </c>
      <c r="K154" s="11">
        <f t="shared" ca="1" si="40"/>
        <v>0.22414602383267923</v>
      </c>
      <c r="L154" s="8">
        <v>0.317</v>
      </c>
      <c r="M154" s="8">
        <f t="shared" ca="1" si="41"/>
        <v>1.3571867962811899E-2</v>
      </c>
      <c r="N154" s="8">
        <v>0.99061999999999995</v>
      </c>
      <c r="O154" s="9">
        <v>3.1545740000000002</v>
      </c>
      <c r="P154" s="9">
        <f t="shared" ca="1" si="42"/>
        <v>0.13505828292926131</v>
      </c>
      <c r="Q154" s="10">
        <v>0.11428000000000001</v>
      </c>
      <c r="R154" s="10">
        <f t="shared" ca="1" si="43"/>
        <v>2.393338120700876E-3</v>
      </c>
      <c r="S154" s="9">
        <f t="shared" si="44"/>
        <v>0.51645287800070494</v>
      </c>
      <c r="T154" s="12">
        <v>0.1188</v>
      </c>
      <c r="U154" s="12">
        <f t="shared" ca="1" si="45"/>
        <v>4.6524591346942534E-3</v>
      </c>
      <c r="V154" s="6" t="e">
        <f ca="1">IF(agePb6U8(1/O154)&lt;1400,age7corr(1/O154,Q154,$W$2),agePb76(Q154))</f>
        <v>#NAME?</v>
      </c>
      <c r="W154" s="6" t="e">
        <f ca="1">IF(agePb6U8(1/O154)&lt;1400,ageer7corr(V154,1/O154,P154/O154*(1/O154),Q154,R154,$W$2,0.05),ageerPb76(Q154,R154))</f>
        <v>#NAME?</v>
      </c>
      <c r="X154" s="4" t="e">
        <f ca="1">agePb6U8(L154)/agePb7u5(J154)</f>
        <v>#NAME?</v>
      </c>
      <c r="Z154" s="1">
        <v>5.0599999999999996</v>
      </c>
      <c r="AA154" s="1">
        <v>0.2</v>
      </c>
      <c r="AB154" s="1">
        <v>0.317</v>
      </c>
      <c r="AC154" s="1">
        <v>1.2E-2</v>
      </c>
      <c r="AD154" s="1">
        <v>0.99061999999999995</v>
      </c>
      <c r="AE154" s="1">
        <v>3.1545740000000002</v>
      </c>
      <c r="AF154" s="1">
        <v>0.1194161</v>
      </c>
      <c r="AG154" s="1">
        <v>0.11428000000000001</v>
      </c>
      <c r="AH154" s="1">
        <v>7.1000000000000002E-4</v>
      </c>
      <c r="AI154" s="1">
        <v>-0.35487000000000002</v>
      </c>
      <c r="AJ154" s="1">
        <v>0.1188</v>
      </c>
      <c r="AK154" s="1">
        <v>4.0000000000000001E-3</v>
      </c>
      <c r="AL154" s="1">
        <v>3.05</v>
      </c>
      <c r="AM154" s="1">
        <v>1.7999999999999999E-2</v>
      </c>
      <c r="AN154" s="1">
        <v>1827</v>
      </c>
      <c r="AO154" s="1">
        <v>34</v>
      </c>
      <c r="AP154" s="1">
        <v>1772</v>
      </c>
      <c r="AQ154" s="1">
        <v>58</v>
      </c>
      <c r="AR154" s="1">
        <v>2268</v>
      </c>
      <c r="AS154" s="1">
        <v>72</v>
      </c>
      <c r="AT154" s="1">
        <v>1868</v>
      </c>
      <c r="AU154" s="1">
        <v>11</v>
      </c>
      <c r="AV154" s="1">
        <v>21.080000000000002</v>
      </c>
      <c r="AW154" s="1">
        <v>0.53</v>
      </c>
      <c r="AX154" s="1">
        <v>7.1199999999999992</v>
      </c>
      <c r="AY154" s="1">
        <v>0.23</v>
      </c>
      <c r="AZ154" s="1">
        <v>70856.100000000006</v>
      </c>
      <c r="BA154" s="1">
        <v>2049.3000000000002</v>
      </c>
      <c r="BB154" s="1">
        <v>29994.3</v>
      </c>
      <c r="BC154" s="1">
        <v>869.4</v>
      </c>
      <c r="BD154" s="1">
        <v>266409</v>
      </c>
      <c r="BE154" s="1">
        <v>7452.0000000000009</v>
      </c>
      <c r="BF154" s="1">
        <v>2.7944999999999998</v>
      </c>
      <c r="BG154" s="1">
        <v>5.3406000000000002</v>
      </c>
      <c r="BH154" s="1">
        <f t="shared" si="46"/>
        <v>95333.333333333343</v>
      </c>
      <c r="BI154" s="1">
        <f t="shared" si="47"/>
        <v>182212.10691587307</v>
      </c>
    </row>
    <row r="155" spans="1:61" x14ac:dyDescent="0.2">
      <c r="A155" t="s">
        <v>137</v>
      </c>
      <c r="B155" t="s">
        <v>38</v>
      </c>
      <c r="C155" t="s">
        <v>138</v>
      </c>
      <c r="D155" t="s">
        <v>139</v>
      </c>
      <c r="E155">
        <v>81131</v>
      </c>
      <c r="F155">
        <v>55243</v>
      </c>
      <c r="G155" t="s">
        <v>139</v>
      </c>
      <c r="H155" s="1">
        <v>172</v>
      </c>
      <c r="I155" s="1">
        <v>105.7</v>
      </c>
      <c r="J155" s="11">
        <v>3.15</v>
      </c>
      <c r="K155" s="11">
        <f t="shared" ca="1" si="40"/>
        <v>0.13553228397691819</v>
      </c>
      <c r="L155" s="8">
        <v>0.24429999999999999</v>
      </c>
      <c r="M155" s="8">
        <f t="shared" ca="1" si="41"/>
        <v>1.0240751730219808E-2</v>
      </c>
      <c r="N155" s="8">
        <v>0.97748000000000002</v>
      </c>
      <c r="O155" s="9">
        <v>4.0933279999999996</v>
      </c>
      <c r="P155" s="9">
        <f t="shared" ca="1" si="42"/>
        <v>0.17158720945989414</v>
      </c>
      <c r="Q155" s="10">
        <v>9.3609999999999999E-2</v>
      </c>
      <c r="R155" s="10">
        <f t="shared" ca="1" si="43"/>
        <v>2.0399100078189723E-3</v>
      </c>
      <c r="S155" s="9">
        <f t="shared" si="44"/>
        <v>0.41978507248874947</v>
      </c>
      <c r="T155" s="12">
        <v>9.74E-2</v>
      </c>
      <c r="U155" s="12">
        <f t="shared" ca="1" si="45"/>
        <v>3.9185078792826232E-3</v>
      </c>
      <c r="V155" s="6" t="e">
        <f ca="1">IF(agePb6U8(1/O155)&lt;1400,age7corr(1/O155,Q155,$W$2),agePb76(Q155))</f>
        <v>#NAME?</v>
      </c>
      <c r="W155" s="6" t="e">
        <f ca="1">IF(agePb6U8(1/O155)&lt;1400,ageer7corr(V155,1/O155,P155/O155*(1/O155),Q155,R155,$W$2,0.05),ageerPb76(Q155,R155))</f>
        <v>#NAME?</v>
      </c>
      <c r="X155" s="4" t="e">
        <f ca="1">agePb6U8(L155)/agePb7u5(J155)</f>
        <v>#NAME?</v>
      </c>
      <c r="Z155" s="1">
        <v>3.15</v>
      </c>
      <c r="AA155" s="1">
        <v>0.12</v>
      </c>
      <c r="AB155" s="1">
        <v>0.24429999999999999</v>
      </c>
      <c r="AC155" s="1">
        <v>8.9999999999999993E-3</v>
      </c>
      <c r="AD155" s="1">
        <v>0.97748000000000002</v>
      </c>
      <c r="AE155" s="1">
        <v>4.0933279999999996</v>
      </c>
      <c r="AF155" s="1">
        <v>0.15079799999999999</v>
      </c>
      <c r="AG155" s="1">
        <v>9.3609999999999999E-2</v>
      </c>
      <c r="AH155" s="1">
        <v>8.0999999999999996E-4</v>
      </c>
      <c r="AI155" s="1">
        <v>2.6936999999999999E-2</v>
      </c>
      <c r="AJ155" s="1">
        <v>9.74E-2</v>
      </c>
      <c r="AK155" s="1">
        <v>3.3999999999999998E-3</v>
      </c>
      <c r="AL155" s="1">
        <v>4.3250000000000002</v>
      </c>
      <c r="AM155" s="1">
        <v>5.0999999999999997E-2</v>
      </c>
      <c r="AN155" s="1">
        <v>1443</v>
      </c>
      <c r="AO155" s="1">
        <v>30</v>
      </c>
      <c r="AP155" s="1">
        <v>1408</v>
      </c>
      <c r="AQ155" s="1">
        <v>47</v>
      </c>
      <c r="AR155" s="1">
        <v>1878</v>
      </c>
      <c r="AS155" s="1">
        <v>62</v>
      </c>
      <c r="AT155" s="1">
        <v>1500</v>
      </c>
      <c r="AU155" s="1">
        <v>16</v>
      </c>
      <c r="AV155" s="1">
        <v>37</v>
      </c>
      <c r="AW155" s="1">
        <v>2.4</v>
      </c>
      <c r="AX155" s="1">
        <v>8.17</v>
      </c>
      <c r="AY155" s="1">
        <v>0.2</v>
      </c>
      <c r="AZ155" s="1">
        <v>64397.7</v>
      </c>
      <c r="BA155" s="1">
        <v>2794.5000000000005</v>
      </c>
      <c r="BB155" s="1">
        <v>32105.7</v>
      </c>
      <c r="BC155" s="1">
        <v>1863.0000000000002</v>
      </c>
      <c r="BD155" s="1">
        <v>344655</v>
      </c>
      <c r="BE155" s="1">
        <v>18009</v>
      </c>
      <c r="BF155" s="1">
        <v>1.9872000000000003</v>
      </c>
      <c r="BG155" s="1">
        <v>5.3406000000000002</v>
      </c>
      <c r="BH155" s="1">
        <f t="shared" si="46"/>
        <v>173437.49999999997</v>
      </c>
      <c r="BI155" s="1">
        <f t="shared" si="47"/>
        <v>466201.37265337544</v>
      </c>
    </row>
    <row r="156" spans="1:61" x14ac:dyDescent="0.2">
      <c r="A156" t="s">
        <v>140</v>
      </c>
      <c r="B156" t="s">
        <v>38</v>
      </c>
      <c r="C156" t="s">
        <v>141</v>
      </c>
      <c r="D156" t="s">
        <v>142</v>
      </c>
      <c r="E156">
        <v>81093</v>
      </c>
      <c r="F156">
        <v>55533</v>
      </c>
      <c r="G156" t="s">
        <v>142</v>
      </c>
      <c r="H156" s="1">
        <v>200</v>
      </c>
      <c r="I156" s="1">
        <v>72.400000000000006</v>
      </c>
      <c r="J156" s="11">
        <v>4.76</v>
      </c>
      <c r="K156" s="11">
        <f t="shared" ca="1" si="40"/>
        <v>0.21251597587005078</v>
      </c>
      <c r="L156" s="8">
        <v>0.28199999999999997</v>
      </c>
      <c r="M156" s="8">
        <f t="shared" ca="1" si="41"/>
        <v>1.3259321249596452E-2</v>
      </c>
      <c r="N156" s="8">
        <v>0.93576000000000004</v>
      </c>
      <c r="O156" s="9">
        <v>3.5460989999999999</v>
      </c>
      <c r="P156" s="9">
        <f t="shared" ca="1" si="42"/>
        <v>0.16673353979316941</v>
      </c>
      <c r="Q156" s="10">
        <v>0.11990000000000001</v>
      </c>
      <c r="R156" s="10">
        <f t="shared" ca="1" si="43"/>
        <v>2.882777133251893E-3</v>
      </c>
      <c r="S156" s="9">
        <f t="shared" si="44"/>
        <v>0.42662676318327269</v>
      </c>
      <c r="T156" s="12">
        <v>0.1123</v>
      </c>
      <c r="U156" s="12">
        <f t="shared" ca="1" si="45"/>
        <v>4.2431728694456933E-3</v>
      </c>
      <c r="V156" s="6" t="e">
        <f ca="1">IF(agePb6U8(1/O156)&lt;1400,age7corr(1/O156,Q156,$W$2),agePb76(Q156))</f>
        <v>#NAME?</v>
      </c>
      <c r="W156" s="6" t="e">
        <f ca="1">IF(agePb6U8(1/O156)&lt;1400,ageer7corr(V156,1/O156,P156/O156*(1/O156),Q156,R156,$W$2,0.05),ageerPb76(Q156,R156))</f>
        <v>#NAME?</v>
      </c>
      <c r="X156" s="4" t="e">
        <f ca="1">agePb6U8(L156)/agePb7u5(J156)</f>
        <v>#NAME?</v>
      </c>
      <c r="Z156" s="1">
        <v>4.76</v>
      </c>
      <c r="AA156" s="1">
        <v>0.19</v>
      </c>
      <c r="AB156" s="1">
        <v>0.28199999999999997</v>
      </c>
      <c r="AC156" s="1">
        <v>1.2E-2</v>
      </c>
      <c r="AD156" s="1">
        <v>0.93576000000000004</v>
      </c>
      <c r="AE156" s="1">
        <v>3.5460989999999999</v>
      </c>
      <c r="AF156" s="1">
        <v>0.1508978</v>
      </c>
      <c r="AG156" s="1">
        <v>0.11990000000000001</v>
      </c>
      <c r="AH156" s="1">
        <v>1.6000000000000001E-3</v>
      </c>
      <c r="AI156" s="1">
        <v>0.36754999999999999</v>
      </c>
      <c r="AJ156" s="1">
        <v>0.1123</v>
      </c>
      <c r="AK156" s="1">
        <v>3.5999999999999999E-3</v>
      </c>
      <c r="AL156" s="1">
        <v>6.97</v>
      </c>
      <c r="AM156" s="1">
        <v>0.48</v>
      </c>
      <c r="AN156" s="1">
        <v>1775</v>
      </c>
      <c r="AO156" s="1">
        <v>33</v>
      </c>
      <c r="AP156" s="1">
        <v>1600</v>
      </c>
      <c r="AQ156" s="1">
        <v>61</v>
      </c>
      <c r="AR156" s="1">
        <v>2150</v>
      </c>
      <c r="AS156" s="1">
        <v>66</v>
      </c>
      <c r="AT156" s="1">
        <v>1955</v>
      </c>
      <c r="AU156" s="1">
        <v>24</v>
      </c>
      <c r="AV156" s="1">
        <v>42.9</v>
      </c>
      <c r="AW156" s="1">
        <v>6.4</v>
      </c>
      <c r="AX156" s="1">
        <v>5.6</v>
      </c>
      <c r="AY156" s="1">
        <v>0.25</v>
      </c>
      <c r="AZ156" s="1">
        <v>53033.400000000009</v>
      </c>
      <c r="BA156" s="1">
        <v>3353.4</v>
      </c>
      <c r="BB156" s="1">
        <v>55890</v>
      </c>
      <c r="BC156" s="1">
        <v>7452.0000000000009</v>
      </c>
      <c r="BD156" s="1">
        <v>463887</v>
      </c>
      <c r="BE156" s="1">
        <v>56511</v>
      </c>
      <c r="BF156" s="1">
        <v>31.484699999999997</v>
      </c>
      <c r="BG156" s="1">
        <v>4.4091000000000005</v>
      </c>
      <c r="BH156" s="1">
        <f t="shared" si="46"/>
        <v>14733.727810650889</v>
      </c>
      <c r="BI156" s="1">
        <f t="shared" si="47"/>
        <v>2734.7366355361132</v>
      </c>
    </row>
    <row r="157" spans="1:61" x14ac:dyDescent="0.2">
      <c r="A157" t="s">
        <v>143</v>
      </c>
      <c r="B157" t="s">
        <v>38</v>
      </c>
      <c r="C157" t="s">
        <v>144</v>
      </c>
      <c r="D157" t="s">
        <v>145</v>
      </c>
      <c r="E157">
        <v>81058</v>
      </c>
      <c r="F157">
        <v>55748</v>
      </c>
      <c r="G157" t="s">
        <v>145</v>
      </c>
      <c r="H157" s="1">
        <v>471</v>
      </c>
      <c r="I157" s="1">
        <v>87.2</v>
      </c>
      <c r="J157" s="11">
        <v>3.43</v>
      </c>
      <c r="K157" s="11">
        <f t="shared" ca="1" si="40"/>
        <v>0.16494229293907614</v>
      </c>
      <c r="L157" s="8">
        <v>0.22</v>
      </c>
      <c r="M157" s="8">
        <f t="shared" ca="1" si="41"/>
        <v>1.0925200226998132E-2</v>
      </c>
      <c r="N157" s="8">
        <v>0.98197000000000001</v>
      </c>
      <c r="O157" s="9">
        <v>4.5454549999999996</v>
      </c>
      <c r="P157" s="9">
        <f t="shared" ca="1" si="42"/>
        <v>0.22572730831109028</v>
      </c>
      <c r="Q157" s="10">
        <v>0.1113</v>
      </c>
      <c r="R157" s="10">
        <f t="shared" ca="1" si="43"/>
        <v>2.5288487499255463E-3</v>
      </c>
      <c r="S157" s="9">
        <f t="shared" si="44"/>
        <v>0.2257786241719926</v>
      </c>
      <c r="T157" s="12">
        <v>9.2799999999999994E-2</v>
      </c>
      <c r="U157" s="12">
        <f t="shared" ca="1" si="45"/>
        <v>4.0502760399755474E-3</v>
      </c>
      <c r="V157" s="6" t="e">
        <f ca="1">IF(agePb6U8(1/O157)&lt;1400,age7corr(1/O157,Q157,$W$2),agePb76(Q157))</f>
        <v>#NAME?</v>
      </c>
      <c r="W157" s="6" t="e">
        <f ca="1">IF(agePb6U8(1/O157)&lt;1400,ageer7corr(V157,1/O157,P157/O157*(1/O157),Q157,R157,$W$2,0.05),ageerPb76(Q157,R157))</f>
        <v>#NAME?</v>
      </c>
      <c r="X157" s="4" t="e">
        <f ca="1">agePb6U8(L157)/agePb7u5(J157)</f>
        <v>#NAME?</v>
      </c>
      <c r="Z157" s="1">
        <v>3.43</v>
      </c>
      <c r="AA157" s="1">
        <v>0.15</v>
      </c>
      <c r="AB157" s="1">
        <v>0.22</v>
      </c>
      <c r="AC157" s="1">
        <v>0.01</v>
      </c>
      <c r="AD157" s="1">
        <v>0.98197000000000001</v>
      </c>
      <c r="AE157" s="1">
        <v>4.5454549999999996</v>
      </c>
      <c r="AF157" s="1">
        <v>0.20661160000000001</v>
      </c>
      <c r="AG157" s="1">
        <v>0.1113</v>
      </c>
      <c r="AH157" s="1">
        <v>1.1999999999999999E-3</v>
      </c>
      <c r="AI157" s="1">
        <v>0.51307000000000003</v>
      </c>
      <c r="AJ157" s="1">
        <v>9.2799999999999994E-2</v>
      </c>
      <c r="AK157" s="1">
        <v>3.5999999999999999E-3</v>
      </c>
      <c r="AL157" s="1">
        <v>13.73</v>
      </c>
      <c r="AM157" s="1">
        <v>0.15</v>
      </c>
      <c r="AN157" s="1">
        <v>1508</v>
      </c>
      <c r="AO157" s="1">
        <v>35</v>
      </c>
      <c r="AP157" s="1">
        <v>1280</v>
      </c>
      <c r="AQ157" s="1">
        <v>55</v>
      </c>
      <c r="AR157" s="1">
        <v>1793</v>
      </c>
      <c r="AS157" s="1">
        <v>66</v>
      </c>
      <c r="AT157" s="1">
        <v>1820</v>
      </c>
      <c r="AU157" s="1">
        <v>20</v>
      </c>
      <c r="AV157" s="1">
        <v>101.3</v>
      </c>
      <c r="AW157" s="1">
        <v>5.5</v>
      </c>
      <c r="AX157" s="1">
        <v>6.74</v>
      </c>
      <c r="AY157" s="1">
        <v>0.16</v>
      </c>
      <c r="AZ157" s="1">
        <v>51480.899999999994</v>
      </c>
      <c r="BA157" s="1">
        <v>1614.6</v>
      </c>
      <c r="BB157" s="1">
        <v>96503.400000000009</v>
      </c>
      <c r="BC157" s="1">
        <v>3042.9</v>
      </c>
      <c r="BD157" s="1">
        <v>874368</v>
      </c>
      <c r="BE157" s="1">
        <v>19872</v>
      </c>
      <c r="BF157" s="1">
        <v>37.322100000000006</v>
      </c>
      <c r="BG157" s="1">
        <v>5.6510999999999996</v>
      </c>
      <c r="BH157" s="1">
        <f t="shared" si="46"/>
        <v>23427.62063227953</v>
      </c>
      <c r="BI157" s="1">
        <f t="shared" si="47"/>
        <v>3587.0144664446711</v>
      </c>
    </row>
    <row r="158" spans="1:61" x14ac:dyDescent="0.2">
      <c r="A158" t="s">
        <v>146</v>
      </c>
      <c r="B158" t="s">
        <v>38</v>
      </c>
      <c r="C158" t="s">
        <v>147</v>
      </c>
      <c r="D158" t="s">
        <v>148</v>
      </c>
      <c r="E158">
        <v>80990</v>
      </c>
      <c r="F158">
        <v>56069</v>
      </c>
      <c r="G158" t="s">
        <v>148</v>
      </c>
      <c r="H158" s="1">
        <v>34.49</v>
      </c>
      <c r="I158" s="1">
        <v>20.7</v>
      </c>
      <c r="J158" s="11">
        <v>2.0070000000000001</v>
      </c>
      <c r="K158" s="11">
        <f t="shared" ca="1" si="40"/>
        <v>9.672238417243445E-2</v>
      </c>
      <c r="L158" s="8">
        <v>0.1883</v>
      </c>
      <c r="M158" s="8">
        <f t="shared" ca="1" si="41"/>
        <v>8.5716250501290583E-3</v>
      </c>
      <c r="N158" s="8">
        <v>0.98556999999999995</v>
      </c>
      <c r="O158" s="9">
        <v>5.3106739999999997</v>
      </c>
      <c r="P158" s="9">
        <f t="shared" ca="1" si="42"/>
        <v>0.24174776936245018</v>
      </c>
      <c r="Q158" s="10">
        <v>7.6160000000000005E-2</v>
      </c>
      <c r="R158" s="10">
        <f t="shared" ca="1" si="43"/>
        <v>1.6445480351756222E-3</v>
      </c>
      <c r="S158" s="9">
        <f t="shared" si="44"/>
        <v>0.60149571914372635</v>
      </c>
      <c r="T158" s="12">
        <v>7.1300000000000002E-2</v>
      </c>
      <c r="U158" s="12">
        <f t="shared" ca="1" si="45"/>
        <v>2.4563134979069751E-3</v>
      </c>
      <c r="V158" s="6" t="e">
        <f ca="1">IF(agePb6U8(1/O158)&lt;1400,age7corr(1/O158,Q158,$W$2),agePb76(Q158))</f>
        <v>#NAME?</v>
      </c>
      <c r="W158" s="6" t="e">
        <f ca="1">IF(agePb6U8(1/O158)&lt;1400,ageer7corr(V158,1/O158,P158/O158*(1/O158),Q158,R158,$W$2,0.05),ageerPb76(Q158,R158))</f>
        <v>#NAME?</v>
      </c>
      <c r="X158" s="4" t="e">
        <f ca="1">agePb6U8(L158)/agePb7u5(J158)</f>
        <v>#NAME?</v>
      </c>
      <c r="Z158" s="1">
        <v>2.0070000000000001</v>
      </c>
      <c r="AA158" s="1">
        <v>8.7999999999999995E-2</v>
      </c>
      <c r="AB158" s="1">
        <v>0.1883</v>
      </c>
      <c r="AC158" s="1">
        <v>7.7000000000000002E-3</v>
      </c>
      <c r="AD158" s="1">
        <v>0.98556999999999995</v>
      </c>
      <c r="AE158" s="1">
        <v>5.3106739999999997</v>
      </c>
      <c r="AF158" s="1">
        <v>0.2171651</v>
      </c>
      <c r="AG158" s="1">
        <v>7.6160000000000005E-2</v>
      </c>
      <c r="AH158" s="1">
        <v>6.2E-4</v>
      </c>
      <c r="AI158" s="1">
        <v>-0.30434</v>
      </c>
      <c r="AJ158" s="1">
        <v>7.1300000000000002E-2</v>
      </c>
      <c r="AK158" s="1">
        <v>2E-3</v>
      </c>
      <c r="AL158" s="1">
        <v>4.6550000000000002</v>
      </c>
      <c r="AM158" s="1">
        <v>0.03</v>
      </c>
      <c r="AN158" s="1">
        <v>1116</v>
      </c>
      <c r="AO158" s="1">
        <v>30</v>
      </c>
      <c r="AP158" s="1">
        <v>1112</v>
      </c>
      <c r="AQ158" s="1">
        <v>42</v>
      </c>
      <c r="AR158" s="1">
        <v>1391</v>
      </c>
      <c r="AS158" s="1">
        <v>38</v>
      </c>
      <c r="AT158" s="1">
        <v>1099</v>
      </c>
      <c r="AU158" s="1">
        <v>16</v>
      </c>
      <c r="AV158" s="1">
        <v>7.4200000000000008</v>
      </c>
      <c r="AW158" s="1">
        <v>0.16</v>
      </c>
      <c r="AX158" s="1">
        <v>1.603</v>
      </c>
      <c r="AY158" s="1">
        <v>8.5000000000000006E-2</v>
      </c>
      <c r="AZ158" s="1">
        <v>9451.6200000000008</v>
      </c>
      <c r="BA158" s="1">
        <v>310.5</v>
      </c>
      <c r="BB158" s="1">
        <v>4104.8099999999995</v>
      </c>
      <c r="BC158" s="1">
        <v>124.2</v>
      </c>
      <c r="BD158" s="1">
        <v>54461.7</v>
      </c>
      <c r="BE158" s="1">
        <v>1738.8</v>
      </c>
      <c r="BF158" s="1">
        <v>-31.05</v>
      </c>
      <c r="BG158" s="1">
        <v>7.4519999999999991</v>
      </c>
      <c r="BH158" s="1">
        <f t="shared" si="46"/>
        <v>-1753.9999999999998</v>
      </c>
      <c r="BI158" s="1">
        <f t="shared" si="47"/>
        <v>-424.66848434985127</v>
      </c>
    </row>
    <row r="159" spans="1:61" x14ac:dyDescent="0.2">
      <c r="A159" t="s">
        <v>149</v>
      </c>
      <c r="B159" t="s">
        <v>38</v>
      </c>
      <c r="C159" t="s">
        <v>150</v>
      </c>
      <c r="D159" t="s">
        <v>151</v>
      </c>
      <c r="E159">
        <v>80736</v>
      </c>
      <c r="F159">
        <v>51472</v>
      </c>
      <c r="G159" t="s">
        <v>151</v>
      </c>
      <c r="H159" s="1">
        <v>69.400000000000006</v>
      </c>
      <c r="I159" s="1">
        <v>46.6</v>
      </c>
      <c r="J159" s="11">
        <v>2.11</v>
      </c>
      <c r="K159" s="11">
        <f t="shared" ca="1" si="40"/>
        <v>0.11781697670539676</v>
      </c>
      <c r="L159" s="8">
        <v>0.18779999999999999</v>
      </c>
      <c r="M159" s="8">
        <f t="shared" ca="1" si="41"/>
        <v>1.0029832301688796E-2</v>
      </c>
      <c r="N159" s="8">
        <v>0.98284000000000005</v>
      </c>
      <c r="O159" s="9">
        <v>5.3248139999999999</v>
      </c>
      <c r="P159" s="9">
        <f t="shared" ca="1" si="42"/>
        <v>0.28438230190546032</v>
      </c>
      <c r="Q159" s="10">
        <v>8.0170000000000005E-2</v>
      </c>
      <c r="R159" s="10">
        <f t="shared" ca="1" si="43"/>
        <v>1.7227279413766995E-3</v>
      </c>
      <c r="S159" s="9">
        <f t="shared" si="44"/>
        <v>0.24449214577523457</v>
      </c>
      <c r="T159" s="12">
        <v>5.6800000000000003E-2</v>
      </c>
      <c r="U159" s="12">
        <f t="shared" ca="1" si="45"/>
        <v>6.4016010497374787E-3</v>
      </c>
      <c r="V159" s="6" t="e">
        <f ca="1">IF(agePb6U8(1/O159)&lt;1400,age7corr(1/O159,Q159,$W$2),agePb76(Q159))</f>
        <v>#NAME?</v>
      </c>
      <c r="W159" s="6" t="e">
        <f ca="1">IF(agePb6U8(1/O159)&lt;1400,ageer7corr(V159,1/O159,P159/O159*(1/O159),Q159,R159,$W$2,0.05),ageerPb76(Q159,R159))</f>
        <v>#NAME?</v>
      </c>
      <c r="X159" s="4" t="e">
        <f ca="1">agePb6U8(L159)/agePb7u5(J159)</f>
        <v>#NAME?</v>
      </c>
      <c r="Z159" s="1">
        <v>2.11</v>
      </c>
      <c r="AA159" s="1">
        <v>0.11</v>
      </c>
      <c r="AB159" s="1">
        <v>0.18779999999999999</v>
      </c>
      <c r="AC159" s="1">
        <v>9.2999999999999992E-3</v>
      </c>
      <c r="AD159" s="1">
        <v>0.98284000000000005</v>
      </c>
      <c r="AE159" s="1">
        <v>5.3248139999999999</v>
      </c>
      <c r="AF159" s="1">
        <v>0.2636889</v>
      </c>
      <c r="AG159" s="1">
        <v>8.0170000000000005E-2</v>
      </c>
      <c r="AH159" s="1">
        <v>6.3000000000000003E-4</v>
      </c>
      <c r="AI159" s="1">
        <v>-1.2900999999999999E-2</v>
      </c>
      <c r="AJ159" s="1">
        <v>5.6800000000000003E-2</v>
      </c>
      <c r="AK159" s="1">
        <v>6.3E-3</v>
      </c>
      <c r="AL159" s="1">
        <v>5.75</v>
      </c>
      <c r="AM159" s="1">
        <v>0.31</v>
      </c>
      <c r="AN159" s="1">
        <v>1150</v>
      </c>
      <c r="AO159" s="1">
        <v>36</v>
      </c>
      <c r="AP159" s="1">
        <v>1108</v>
      </c>
      <c r="AQ159" s="1">
        <v>51</v>
      </c>
      <c r="AR159" s="1">
        <v>1110</v>
      </c>
      <c r="AS159" s="1">
        <v>120</v>
      </c>
      <c r="AT159" s="1">
        <v>1201</v>
      </c>
      <c r="AU159" s="1">
        <v>15</v>
      </c>
      <c r="AV159" s="1">
        <v>14.93</v>
      </c>
      <c r="AW159" s="1">
        <v>0.8899999999999999</v>
      </c>
      <c r="AX159" s="1">
        <v>3.6</v>
      </c>
      <c r="AY159" s="1">
        <v>0.63</v>
      </c>
      <c r="AZ159" s="1">
        <v>15276.600000000002</v>
      </c>
      <c r="BA159" s="1">
        <v>1055.7</v>
      </c>
      <c r="BB159" s="1">
        <v>8706.42</v>
      </c>
      <c r="BC159" s="1">
        <v>167.67000000000002</v>
      </c>
      <c r="BD159" s="1">
        <v>109544.4</v>
      </c>
      <c r="BE159" s="1">
        <v>2297.6999999999998</v>
      </c>
      <c r="BF159" s="1">
        <v>4.7196000000000007</v>
      </c>
      <c r="BG159" s="1">
        <v>5.8995000000000006</v>
      </c>
      <c r="BH159" s="1">
        <f t="shared" si="46"/>
        <v>23210.52631578947</v>
      </c>
      <c r="BI159" s="1">
        <f t="shared" si="47"/>
        <v>29017.242223553698</v>
      </c>
    </row>
    <row r="160" spans="1:61" x14ac:dyDescent="0.2">
      <c r="A160" t="s">
        <v>152</v>
      </c>
      <c r="B160" t="s">
        <v>38</v>
      </c>
      <c r="C160" t="s">
        <v>153</v>
      </c>
      <c r="D160" t="s">
        <v>154</v>
      </c>
      <c r="E160">
        <v>80686</v>
      </c>
      <c r="F160">
        <v>51648</v>
      </c>
      <c r="G160" t="s">
        <v>154</v>
      </c>
      <c r="H160" s="1">
        <v>19.8</v>
      </c>
      <c r="I160" s="1">
        <v>15.51</v>
      </c>
      <c r="J160" s="11">
        <v>2.972</v>
      </c>
      <c r="K160" s="11">
        <f t="shared" ca="1" si="40"/>
        <v>0.11547343244227221</v>
      </c>
      <c r="L160" s="8">
        <v>0.23860000000000001</v>
      </c>
      <c r="M160" s="8">
        <f t="shared" ca="1" si="41"/>
        <v>9.4011692889767705E-3</v>
      </c>
      <c r="N160" s="8">
        <v>0.95072000000000001</v>
      </c>
      <c r="O160" s="9">
        <v>4.1911149999999999</v>
      </c>
      <c r="P160" s="9">
        <f t="shared" ca="1" si="42"/>
        <v>0.16513571640714192</v>
      </c>
      <c r="Q160" s="10">
        <v>8.8700000000000001E-2</v>
      </c>
      <c r="R160" s="10">
        <f t="shared" ca="1" si="43"/>
        <v>2.1417460166882531E-3</v>
      </c>
      <c r="S160" s="9">
        <f t="shared" si="44"/>
        <v>0.43661766914448263</v>
      </c>
      <c r="T160" s="12">
        <v>8.2900000000000001E-2</v>
      </c>
      <c r="U160" s="12">
        <f t="shared" ca="1" si="45"/>
        <v>3.6930968034970322E-3</v>
      </c>
      <c r="V160" s="6" t="e">
        <f ca="1">IF(agePb6U8(1/O160)&lt;1400,age7corr(1/O160,Q160,$W$2),agePb76(Q160))</f>
        <v>#NAME?</v>
      </c>
      <c r="W160" s="6" t="e">
        <f ca="1">IF(agePb6U8(1/O160)&lt;1400,ageer7corr(V160,1/O160,P160/O160*(1/O160),Q160,R160,$W$2,0.05),ageerPb76(Q160,R160))</f>
        <v>#NAME?</v>
      </c>
      <c r="X160" s="4" t="e">
        <f ca="1">agePb6U8(L160)/agePb7u5(J160)</f>
        <v>#NAME?</v>
      </c>
      <c r="Z160" s="1">
        <v>2.972</v>
      </c>
      <c r="AA160" s="1">
        <v>9.9000000000000005E-2</v>
      </c>
      <c r="AB160" s="1">
        <v>0.23860000000000001</v>
      </c>
      <c r="AC160" s="1">
        <v>8.0999999999999996E-3</v>
      </c>
      <c r="AD160" s="1">
        <v>0.95072000000000001</v>
      </c>
      <c r="AE160" s="1">
        <v>4.1911149999999999</v>
      </c>
      <c r="AF160" s="1">
        <v>0.14228009999999999</v>
      </c>
      <c r="AG160" s="1">
        <v>8.8700000000000001E-2</v>
      </c>
      <c r="AH160" s="1">
        <v>1.1999999999999999E-3</v>
      </c>
      <c r="AI160" s="1">
        <v>0.1411</v>
      </c>
      <c r="AJ160" s="1">
        <v>8.2900000000000001E-2</v>
      </c>
      <c r="AK160" s="1">
        <v>3.3E-3</v>
      </c>
      <c r="AL160" s="1">
        <v>3.9129999999999998</v>
      </c>
      <c r="AM160" s="1">
        <v>5.8000000000000003E-2</v>
      </c>
      <c r="AN160" s="1">
        <v>1399</v>
      </c>
      <c r="AO160" s="1">
        <v>25</v>
      </c>
      <c r="AP160" s="1">
        <v>1379</v>
      </c>
      <c r="AQ160" s="1">
        <v>42</v>
      </c>
      <c r="AR160" s="1">
        <v>1609</v>
      </c>
      <c r="AS160" s="1">
        <v>62</v>
      </c>
      <c r="AT160" s="1">
        <v>1409</v>
      </c>
      <c r="AU160" s="1">
        <v>25</v>
      </c>
      <c r="AV160" s="1">
        <v>4.26</v>
      </c>
      <c r="AW160" s="1">
        <v>0.33</v>
      </c>
      <c r="AX160" s="1">
        <v>1.1990000000000001</v>
      </c>
      <c r="AY160" s="1">
        <v>7.1000000000000008E-2</v>
      </c>
      <c r="AZ160" s="1">
        <v>8321.4</v>
      </c>
      <c r="BA160" s="1">
        <v>621</v>
      </c>
      <c r="BB160" s="1">
        <v>3558.33</v>
      </c>
      <c r="BC160" s="1">
        <v>260.82</v>
      </c>
      <c r="BD160" s="1">
        <v>40240.800000000003</v>
      </c>
      <c r="BE160" s="1">
        <v>2670.3</v>
      </c>
      <c r="BF160" s="1">
        <v>5.8995000000000006</v>
      </c>
      <c r="BG160" s="1">
        <v>5.8373999999999997</v>
      </c>
      <c r="BH160" s="1">
        <f t="shared" si="46"/>
        <v>6821.0526315789475</v>
      </c>
      <c r="BI160" s="1">
        <f t="shared" si="47"/>
        <v>6764.4126835032594</v>
      </c>
    </row>
    <row r="161" spans="1:61" x14ac:dyDescent="0.2">
      <c r="A161" t="s">
        <v>155</v>
      </c>
      <c r="B161" t="s">
        <v>38</v>
      </c>
      <c r="C161" t="s">
        <v>156</v>
      </c>
      <c r="D161" t="s">
        <v>157</v>
      </c>
      <c r="E161">
        <v>80769</v>
      </c>
      <c r="F161">
        <v>51734</v>
      </c>
      <c r="G161" t="s">
        <v>157</v>
      </c>
      <c r="H161" s="1">
        <v>220.4</v>
      </c>
      <c r="I161" s="1">
        <v>75.19</v>
      </c>
      <c r="J161" s="11">
        <v>2.3199999999999998</v>
      </c>
      <c r="K161" s="11">
        <f t="shared" ca="1" si="40"/>
        <v>6.7483034905078176E-2</v>
      </c>
      <c r="L161" s="8">
        <v>0.20449999999999999</v>
      </c>
      <c r="M161" s="8">
        <f t="shared" ca="1" si="41"/>
        <v>5.6513803623539612E-3</v>
      </c>
      <c r="N161" s="8">
        <v>0.98524</v>
      </c>
      <c r="O161" s="9">
        <v>4.8899759999999999</v>
      </c>
      <c r="P161" s="9">
        <f t="shared" ca="1" si="42"/>
        <v>0.1351350292907727</v>
      </c>
      <c r="Q161" s="10">
        <v>8.1089999999999995E-2</v>
      </c>
      <c r="R161" s="10">
        <f t="shared" ca="1" si="43"/>
        <v>1.6457931947848126E-3</v>
      </c>
      <c r="S161" s="9">
        <f t="shared" si="44"/>
        <v>0.35461462572384617</v>
      </c>
      <c r="T161" s="12">
        <v>6.8099999999999994E-2</v>
      </c>
      <c r="U161" s="12">
        <f t="shared" ca="1" si="45"/>
        <v>1.9532137619830553E-3</v>
      </c>
      <c r="V161" s="6" t="e">
        <f ca="1">IF(agePb6U8(1/O161)&lt;1400,age7corr(1/O161,Q161,$W$2),agePb76(Q161))</f>
        <v>#NAME?</v>
      </c>
      <c r="W161" s="6" t="e">
        <f ca="1">IF(agePb6U8(1/O161)&lt;1400,ageer7corr(V161,1/O161,P161/O161*(1/O161),Q161,R161,$W$2,0.05),ageerPb76(Q161,R161))</f>
        <v>#NAME?</v>
      </c>
      <c r="X161" s="4" t="e">
        <f ca="1">agePb6U8(L161)/agePb7u5(J161)</f>
        <v>#NAME?</v>
      </c>
      <c r="Z161" s="1">
        <v>2.3199999999999998</v>
      </c>
      <c r="AA161" s="1">
        <v>4.9000000000000002E-2</v>
      </c>
      <c r="AB161" s="1">
        <v>0.20449999999999999</v>
      </c>
      <c r="AC161" s="1">
        <v>3.8999999999999998E-3</v>
      </c>
      <c r="AD161" s="1">
        <v>0.98524</v>
      </c>
      <c r="AE161" s="1">
        <v>4.8899759999999999</v>
      </c>
      <c r="AF161" s="1">
        <v>9.3256259999999994E-2</v>
      </c>
      <c r="AG161" s="1">
        <v>8.1089999999999995E-2</v>
      </c>
      <c r="AH161" s="1">
        <v>2.7999999999999998E-4</v>
      </c>
      <c r="AI161" s="1">
        <v>0.21103</v>
      </c>
      <c r="AJ161" s="1">
        <v>6.8099999999999994E-2</v>
      </c>
      <c r="AK161" s="1">
        <v>1.4E-3</v>
      </c>
      <c r="AL161" s="1">
        <v>9.9499999999999993</v>
      </c>
      <c r="AM161" s="1">
        <v>5.8999999999999997E-2</v>
      </c>
      <c r="AN161" s="1">
        <v>1218</v>
      </c>
      <c r="AO161" s="1">
        <v>15</v>
      </c>
      <c r="AP161" s="1">
        <v>1200</v>
      </c>
      <c r="AQ161" s="1">
        <v>21</v>
      </c>
      <c r="AR161" s="1">
        <v>1331</v>
      </c>
      <c r="AS161" s="1">
        <v>27</v>
      </c>
      <c r="AT161" s="1">
        <v>1223.5999999999999</v>
      </c>
      <c r="AU161" s="1">
        <v>6.7</v>
      </c>
      <c r="AV161" s="1">
        <v>47.4</v>
      </c>
      <c r="AW161" s="1">
        <v>1</v>
      </c>
      <c r="AX161" s="1">
        <v>5.8129999999999997</v>
      </c>
      <c r="AY161" s="1">
        <v>6.0999999999999999E-2</v>
      </c>
      <c r="AZ161" s="1">
        <v>31528.170000000002</v>
      </c>
      <c r="BA161" s="1">
        <v>416.07</v>
      </c>
      <c r="BB161" s="1">
        <v>31248.719999999998</v>
      </c>
      <c r="BC161" s="1">
        <v>490.59000000000003</v>
      </c>
      <c r="BD161" s="1">
        <v>388249.2</v>
      </c>
      <c r="BE161" s="1">
        <v>5278.5</v>
      </c>
      <c r="BF161" s="1">
        <v>-24.839999999999996</v>
      </c>
      <c r="BG161" s="1">
        <v>6.2099999999999991</v>
      </c>
      <c r="BH161" s="1">
        <f t="shared" si="46"/>
        <v>-15630.000000000004</v>
      </c>
      <c r="BI161" s="1">
        <f t="shared" si="47"/>
        <v>-3913.2738851248337</v>
      </c>
    </row>
    <row r="162" spans="1:61" x14ac:dyDescent="0.2">
      <c r="A162" t="s">
        <v>164</v>
      </c>
      <c r="B162" t="s">
        <v>38</v>
      </c>
      <c r="C162" t="s">
        <v>165</v>
      </c>
      <c r="D162" t="s">
        <v>166</v>
      </c>
      <c r="E162">
        <v>80720</v>
      </c>
      <c r="F162">
        <v>51958</v>
      </c>
      <c r="G162" t="s">
        <v>166</v>
      </c>
      <c r="H162" s="1">
        <v>396</v>
      </c>
      <c r="I162" s="1">
        <v>374</v>
      </c>
      <c r="J162" s="11">
        <v>2.1779999999999999</v>
      </c>
      <c r="K162" s="11">
        <f t="shared" ca="1" si="40"/>
        <v>7.9078907427960837E-2</v>
      </c>
      <c r="L162" s="8">
        <v>0.1885</v>
      </c>
      <c r="M162" s="8">
        <f t="shared" ca="1" si="41"/>
        <v>6.6680506896693572E-3</v>
      </c>
      <c r="N162" s="8">
        <v>0.99348000000000003</v>
      </c>
      <c r="O162" s="9">
        <v>5.30504</v>
      </c>
      <c r="P162" s="9">
        <f t="shared" ca="1" si="42"/>
        <v>0.18766196812790811</v>
      </c>
      <c r="Q162" s="10">
        <v>8.251E-2</v>
      </c>
      <c r="R162" s="10">
        <f t="shared" ca="1" si="43"/>
        <v>1.6869084266788166E-3</v>
      </c>
      <c r="S162" s="9">
        <f t="shared" si="44"/>
        <v>0.57177444115243137</v>
      </c>
      <c r="T162" s="12">
        <v>6.5199999999999994E-2</v>
      </c>
      <c r="U162" s="12">
        <f t="shared" ca="1" si="45"/>
        <v>1.9132213672233538E-3</v>
      </c>
      <c r="V162" s="6" t="e">
        <f ca="1">IF(agePb6U8(1/O162)&lt;1400,age7corr(1/O162,Q162,$W$2),agePb76(Q162))</f>
        <v>#NAME?</v>
      </c>
      <c r="W162" s="6" t="e">
        <f ca="1">IF(agePb6U8(1/O162)&lt;1400,ageer7corr(V162,1/O162,P162/O162*(1/O162),Q162,R162,$W$2,0.05),ageerPb76(Q162,R162))</f>
        <v>#NAME?</v>
      </c>
      <c r="X162" s="4" t="e">
        <f ca="1">agePb6U8(L162)/agePb7u5(J162)</f>
        <v>#NAME?</v>
      </c>
      <c r="Z162" s="1">
        <v>2.1779999999999999</v>
      </c>
      <c r="AA162" s="1">
        <v>6.6000000000000003E-2</v>
      </c>
      <c r="AB162" s="1">
        <v>0.1885</v>
      </c>
      <c r="AC162" s="1">
        <v>5.4999999999999997E-3</v>
      </c>
      <c r="AD162" s="1">
        <v>0.99348000000000003</v>
      </c>
      <c r="AE162" s="1">
        <v>5.30504</v>
      </c>
      <c r="AF162" s="1">
        <v>0.15478900000000001</v>
      </c>
      <c r="AG162" s="1">
        <v>8.251E-2</v>
      </c>
      <c r="AH162" s="1">
        <v>3.5E-4</v>
      </c>
      <c r="AI162" s="1">
        <v>-6.5027000000000001E-2</v>
      </c>
      <c r="AJ162" s="1">
        <v>6.5199999999999994E-2</v>
      </c>
      <c r="AK162" s="1">
        <v>1.4E-3</v>
      </c>
      <c r="AL162" s="1">
        <v>3.2631000000000001</v>
      </c>
      <c r="AM162" s="1">
        <v>7.7999999999999996E-3</v>
      </c>
      <c r="AN162" s="1">
        <v>1173</v>
      </c>
      <c r="AO162" s="1">
        <v>21</v>
      </c>
      <c r="AP162" s="1">
        <v>1113</v>
      </c>
      <c r="AQ162" s="1">
        <v>30</v>
      </c>
      <c r="AR162" s="1">
        <v>1277</v>
      </c>
      <c r="AS162" s="1">
        <v>26</v>
      </c>
      <c r="AT162" s="1">
        <v>1257.5</v>
      </c>
      <c r="AU162" s="1">
        <v>8.3000000000000007</v>
      </c>
      <c r="AV162" s="1">
        <v>85.2</v>
      </c>
      <c r="AW162" s="1">
        <v>2.5</v>
      </c>
      <c r="AX162" s="1">
        <v>28.9</v>
      </c>
      <c r="AY162" s="1">
        <v>1.6</v>
      </c>
      <c r="AZ162" s="1">
        <v>156057.29999999999</v>
      </c>
      <c r="BA162" s="1">
        <v>5526.9</v>
      </c>
      <c r="BB162" s="1">
        <v>51170.399999999994</v>
      </c>
      <c r="BC162" s="1">
        <v>1552.5</v>
      </c>
      <c r="BD162" s="1">
        <v>630314.99999999988</v>
      </c>
      <c r="BE162" s="1">
        <v>21735</v>
      </c>
      <c r="BF162" s="1">
        <v>17.388000000000002</v>
      </c>
      <c r="BG162" s="1">
        <v>7.4519999999999991</v>
      </c>
      <c r="BH162" s="1">
        <f t="shared" si="46"/>
        <v>36249.999999999993</v>
      </c>
      <c r="BI162" s="1">
        <f t="shared" si="47"/>
        <v>15585.920517163777</v>
      </c>
    </row>
    <row r="163" spans="1:61" x14ac:dyDescent="0.2">
      <c r="A163" t="s">
        <v>167</v>
      </c>
      <c r="B163" t="s">
        <v>38</v>
      </c>
      <c r="C163" t="s">
        <v>168</v>
      </c>
      <c r="D163" t="s">
        <v>169</v>
      </c>
      <c r="E163">
        <v>80706</v>
      </c>
      <c r="F163">
        <v>52094</v>
      </c>
      <c r="G163" t="s">
        <v>169</v>
      </c>
      <c r="H163" s="1">
        <v>299</v>
      </c>
      <c r="I163" s="1">
        <v>137</v>
      </c>
      <c r="J163" s="11">
        <v>3.452</v>
      </c>
      <c r="K163" s="11">
        <f t="shared" ca="1" si="40"/>
        <v>8.3519588121589772E-2</v>
      </c>
      <c r="L163" s="8">
        <v>0.25380000000000003</v>
      </c>
      <c r="M163" s="8">
        <f t="shared" ca="1" si="41"/>
        <v>6.0004813140280677E-3</v>
      </c>
      <c r="N163" s="8">
        <v>0.94620000000000004</v>
      </c>
      <c r="O163" s="9">
        <v>3.9401099999999998</v>
      </c>
      <c r="P163" s="9">
        <f t="shared" ca="1" si="42"/>
        <v>9.3154281789566709E-2</v>
      </c>
      <c r="Q163" s="10">
        <v>9.69E-2</v>
      </c>
      <c r="R163" s="10">
        <f t="shared" ca="1" si="43"/>
        <v>2.0605445882096317E-3</v>
      </c>
      <c r="S163" s="9">
        <f t="shared" si="44"/>
        <v>0.37823908867764172</v>
      </c>
      <c r="T163" s="12">
        <v>9.1600000000000001E-2</v>
      </c>
      <c r="U163" s="12">
        <f t="shared" ca="1" si="45"/>
        <v>2.2463801993429337E-3</v>
      </c>
      <c r="V163" s="6" t="e">
        <f ca="1">IF(agePb6U8(1/O163)&lt;1400,age7corr(1/O163,Q163,$W$2),agePb76(Q163))</f>
        <v>#NAME?</v>
      </c>
      <c r="W163" s="6" t="e">
        <f ca="1">IF(agePb6U8(1/O163)&lt;1400,ageer7corr(V163,1/O163,P163/O163*(1/O163),Q163,R163,$W$2,0.05),ageerPb76(Q163,R163))</f>
        <v>#NAME?</v>
      </c>
      <c r="X163" s="4" t="e">
        <f ca="1">agePb6U8(L163)/agePb7u5(J163)</f>
        <v>#NAME?</v>
      </c>
      <c r="Z163" s="1">
        <v>3.452</v>
      </c>
      <c r="AA163" s="1">
        <v>4.7E-2</v>
      </c>
      <c r="AB163" s="1">
        <v>0.25380000000000003</v>
      </c>
      <c r="AC163" s="1">
        <v>3.2000000000000002E-3</v>
      </c>
      <c r="AD163" s="1">
        <v>0.94620000000000004</v>
      </c>
      <c r="AE163" s="1">
        <v>3.9401099999999998</v>
      </c>
      <c r="AF163" s="1">
        <v>4.9678300000000002E-2</v>
      </c>
      <c r="AG163" s="1">
        <v>9.69E-2</v>
      </c>
      <c r="AH163" s="1">
        <v>6.9999999999999999E-4</v>
      </c>
      <c r="AI163" s="1">
        <v>-3.7338000000000003E-2</v>
      </c>
      <c r="AJ163" s="1">
        <v>9.1600000000000001E-2</v>
      </c>
      <c r="AK163" s="1">
        <v>1.2999999999999999E-3</v>
      </c>
      <c r="AL163" s="1">
        <v>6.4749999999999996</v>
      </c>
      <c r="AM163" s="1">
        <v>3.5999999999999997E-2</v>
      </c>
      <c r="AN163" s="1">
        <v>1516</v>
      </c>
      <c r="AO163" s="1">
        <v>11</v>
      </c>
      <c r="AP163" s="1">
        <v>1458</v>
      </c>
      <c r="AQ163" s="1">
        <v>17</v>
      </c>
      <c r="AR163" s="1">
        <v>1771</v>
      </c>
      <c r="AS163" s="1">
        <v>23</v>
      </c>
      <c r="AT163" s="1">
        <v>1565</v>
      </c>
      <c r="AU163" s="1">
        <v>13</v>
      </c>
      <c r="AV163" s="1">
        <v>64.3</v>
      </c>
      <c r="AW163" s="1">
        <v>4</v>
      </c>
      <c r="AX163" s="1">
        <v>10.59</v>
      </c>
      <c r="AY163" s="1">
        <v>0.3</v>
      </c>
      <c r="AZ163" s="1">
        <v>78742.8</v>
      </c>
      <c r="BA163" s="1">
        <v>3726.0000000000005</v>
      </c>
      <c r="BB163" s="1">
        <v>60795.900000000009</v>
      </c>
      <c r="BC163" s="1">
        <v>2980.8</v>
      </c>
      <c r="BD163" s="1">
        <v>630936</v>
      </c>
      <c r="BE163" s="1">
        <v>27324</v>
      </c>
      <c r="BF163" s="1">
        <v>18.63</v>
      </c>
      <c r="BG163" s="1">
        <v>6.2099999999999991</v>
      </c>
      <c r="BH163" s="1">
        <f t="shared" si="46"/>
        <v>33866.666666666672</v>
      </c>
      <c r="BI163" s="1">
        <f t="shared" si="47"/>
        <v>11383.765785397651</v>
      </c>
    </row>
    <row r="164" spans="1:61" x14ac:dyDescent="0.2">
      <c r="A164" t="s">
        <v>170</v>
      </c>
      <c r="B164" t="s">
        <v>38</v>
      </c>
      <c r="C164" t="s">
        <v>171</v>
      </c>
      <c r="D164" t="s">
        <v>172</v>
      </c>
      <c r="E164">
        <v>80783</v>
      </c>
      <c r="F164">
        <v>52281</v>
      </c>
      <c r="G164" t="s">
        <v>172</v>
      </c>
      <c r="H164" s="1">
        <v>46.5</v>
      </c>
      <c r="I164" s="1">
        <v>28.94</v>
      </c>
      <c r="J164" s="11">
        <v>2.27</v>
      </c>
      <c r="K164" s="11">
        <f t="shared" ref="K164:K195" ca="1" si="48">SQRT(K$2^2+(AA164/Z164)^2)*J164</f>
        <v>0.11900067226700865</v>
      </c>
      <c r="L164" s="8">
        <v>0.2011</v>
      </c>
      <c r="M164" s="8">
        <f t="shared" ref="M164:M195" ca="1" si="49">SQRT(M$2^2+(AC164/AB164)^2)*L164</f>
        <v>1.0132447088438213E-2</v>
      </c>
      <c r="N164" s="8">
        <v>0.97928999999999999</v>
      </c>
      <c r="O164" s="9">
        <v>4.9726499999999998</v>
      </c>
      <c r="P164" s="9">
        <f t="shared" ref="P164:P195" ca="1" si="50">SQRT(P$2^2+(AF164/AE164)^2)*O164</f>
        <v>0.25054752951996956</v>
      </c>
      <c r="Q164" s="10">
        <v>8.0629999999999993E-2</v>
      </c>
      <c r="R164" s="10">
        <f t="shared" ref="R164:R195" ca="1" si="51">SQRT(R$2^2+(AH164/AG164)^2)*Q164</f>
        <v>1.7386715503510143E-3</v>
      </c>
      <c r="S164" s="9">
        <f t="shared" ref="S164:S195" si="52">(((BE164/BD164)^2+(AW164/AV164)^2)+((BE164/BD164)^2+(BC164/BB164)^2)-((BC164/BB164)^2+(AW164/AV164)^2))/(2*SQRT((BE164/BD164)^2+(AW164/AV164)^2)*SQRT((BE164/BD164)^2+(BC164/BB164)^2))</f>
        <v>0.44767617198205001</v>
      </c>
      <c r="T164" s="12">
        <v>6.7599999999999993E-2</v>
      </c>
      <c r="U164" s="12">
        <f t="shared" ref="U164:U195" ca="1" si="53">SQRT(U$2^2+(AK164/AJ164)^2)*T164</f>
        <v>3.0195867266895977E-3</v>
      </c>
      <c r="V164" s="6" t="e">
        <f ca="1">IF(agePb6U8(1/O164)&lt;1400,age7corr(1/O164,Q164,$W$2),agePb76(Q164))</f>
        <v>#NAME?</v>
      </c>
      <c r="W164" s="6" t="e">
        <f ca="1">IF(agePb6U8(1/O164)&lt;1400,ageer7corr(V164,1/O164,P164/O164*(1/O164),Q164,R164,$W$2,0.05),ageerPb76(Q164,R164))</f>
        <v>#NAME?</v>
      </c>
      <c r="X164" s="4" t="e">
        <f ca="1">agePb6U8(L164)/agePb7u5(J164)</f>
        <v>#NAME?</v>
      </c>
      <c r="Z164" s="1">
        <v>2.27</v>
      </c>
      <c r="AA164" s="1">
        <v>0.11</v>
      </c>
      <c r="AB164" s="1">
        <v>0.2011</v>
      </c>
      <c r="AC164" s="1">
        <v>9.2999999999999992E-3</v>
      </c>
      <c r="AD164" s="1">
        <v>0.97928999999999999</v>
      </c>
      <c r="AE164" s="1">
        <v>4.9726499999999998</v>
      </c>
      <c r="AF164" s="1">
        <v>0.22996340000000001</v>
      </c>
      <c r="AG164" s="1">
        <v>8.0629999999999993E-2</v>
      </c>
      <c r="AH164" s="1">
        <v>6.4999999999999997E-4</v>
      </c>
      <c r="AI164" s="1">
        <v>6.1358999999999997E-2</v>
      </c>
      <c r="AJ164" s="1">
        <v>6.7599999999999993E-2</v>
      </c>
      <c r="AK164" s="1">
        <v>2.7000000000000001E-3</v>
      </c>
      <c r="AL164" s="1">
        <v>5.1550000000000002</v>
      </c>
      <c r="AM164" s="1">
        <v>3.4000000000000002E-2</v>
      </c>
      <c r="AN164" s="1">
        <v>1207</v>
      </c>
      <c r="AO164" s="1">
        <v>30</v>
      </c>
      <c r="AP164" s="1">
        <v>1193</v>
      </c>
      <c r="AQ164" s="1">
        <v>46</v>
      </c>
      <c r="AR164" s="1">
        <v>1322</v>
      </c>
      <c r="AS164" s="1">
        <v>51</v>
      </c>
      <c r="AT164" s="1">
        <v>1212</v>
      </c>
      <c r="AU164" s="1">
        <v>16</v>
      </c>
      <c r="AV164" s="1">
        <v>9.99</v>
      </c>
      <c r="AW164" s="1">
        <v>0.27999999999999997</v>
      </c>
      <c r="AX164" s="1">
        <v>2.2369999999999997</v>
      </c>
      <c r="AY164" s="1">
        <v>6.8000000000000005E-2</v>
      </c>
      <c r="AZ164" s="1">
        <v>12339.27</v>
      </c>
      <c r="BA164" s="1">
        <v>285.65999999999997</v>
      </c>
      <c r="BB164" s="1">
        <v>6284.5199999999995</v>
      </c>
      <c r="BC164" s="1">
        <v>142.82999999999998</v>
      </c>
      <c r="BD164" s="1">
        <v>78867</v>
      </c>
      <c r="BE164" s="1">
        <v>1800.9</v>
      </c>
      <c r="BF164" s="1">
        <v>-1.5524999999999998</v>
      </c>
      <c r="BG164" s="1">
        <v>4.4091000000000005</v>
      </c>
      <c r="BH164" s="1">
        <f t="shared" ref="BH164:BH195" si="54">BD164/BF164</f>
        <v>-50800.000000000007</v>
      </c>
      <c r="BI164" s="1">
        <f t="shared" ref="BI164:BI195" si="55">SQRT((BG164/BF164)^2+(BE164/BD164)^2)*BH164</f>
        <v>-144276.66333818514</v>
      </c>
    </row>
    <row r="165" spans="1:61" x14ac:dyDescent="0.2">
      <c r="A165" t="s">
        <v>173</v>
      </c>
      <c r="B165" t="s">
        <v>38</v>
      </c>
      <c r="C165" t="s">
        <v>174</v>
      </c>
      <c r="D165" t="s">
        <v>175</v>
      </c>
      <c r="E165">
        <v>80846</v>
      </c>
      <c r="F165">
        <v>52456</v>
      </c>
      <c r="G165" t="s">
        <v>175</v>
      </c>
      <c r="H165" s="1">
        <v>124.7</v>
      </c>
      <c r="I165" s="1">
        <v>84.5</v>
      </c>
      <c r="J165" s="11">
        <v>3.21</v>
      </c>
      <c r="K165" s="11">
        <f t="shared" ca="1" si="48"/>
        <v>0.13609423205999582</v>
      </c>
      <c r="L165" s="8">
        <v>0.2432</v>
      </c>
      <c r="M165" s="8">
        <f t="shared" ca="1" si="49"/>
        <v>1.0406656331406356E-2</v>
      </c>
      <c r="N165" s="8">
        <v>0.99206000000000005</v>
      </c>
      <c r="O165" s="9">
        <v>4.1118420000000002</v>
      </c>
      <c r="P165" s="9">
        <f t="shared" ca="1" si="50"/>
        <v>0.17594792904173553</v>
      </c>
      <c r="Q165" s="10">
        <v>9.4119999999999995E-2</v>
      </c>
      <c r="R165" s="10">
        <f t="shared" ca="1" si="51"/>
        <v>1.9426347469352029E-3</v>
      </c>
      <c r="S165" s="9">
        <f t="shared" si="52"/>
        <v>0.48644635994235647</v>
      </c>
      <c r="T165" s="12">
        <v>8.5599999999999996E-2</v>
      </c>
      <c r="U165" s="12">
        <f t="shared" ca="1" si="53"/>
        <v>3.3676318088532182E-3</v>
      </c>
      <c r="V165" s="6" t="e">
        <f ca="1">IF(agePb6U8(1/O165)&lt;1400,age7corr(1/O165,Q165,$W$2),agePb76(Q165))</f>
        <v>#NAME?</v>
      </c>
      <c r="W165" s="6" t="e">
        <f ca="1">IF(agePb6U8(1/O165)&lt;1400,ageer7corr(V165,1/O165,P165/O165*(1/O165),Q165,R165,$W$2,0.05),ageerPb76(Q165,R165))</f>
        <v>#NAME?</v>
      </c>
      <c r="X165" s="4" t="e">
        <f ca="1">agePb6U8(L165)/agePb7u5(J165)</f>
        <v>#NAME?</v>
      </c>
      <c r="Z165" s="1">
        <v>3.21</v>
      </c>
      <c r="AA165" s="1">
        <v>0.12</v>
      </c>
      <c r="AB165" s="1">
        <v>0.2432</v>
      </c>
      <c r="AC165" s="1">
        <v>9.1999999999999998E-3</v>
      </c>
      <c r="AD165" s="1">
        <v>0.99206000000000005</v>
      </c>
      <c r="AE165" s="1">
        <v>4.1118420000000002</v>
      </c>
      <c r="AF165" s="1">
        <v>0.15554670000000001</v>
      </c>
      <c r="AG165" s="1">
        <v>9.4119999999999995E-2</v>
      </c>
      <c r="AH165" s="1">
        <v>4.8000000000000001E-4</v>
      </c>
      <c r="AI165" s="1">
        <v>-4.0030000000000003E-2</v>
      </c>
      <c r="AJ165" s="1">
        <v>8.5599999999999996E-2</v>
      </c>
      <c r="AK165" s="1">
        <v>2.8999999999999998E-3</v>
      </c>
      <c r="AL165" s="1">
        <v>4.5869999999999997</v>
      </c>
      <c r="AM165" s="1">
        <v>2.5999999999999999E-2</v>
      </c>
      <c r="AN165" s="1">
        <v>1457</v>
      </c>
      <c r="AO165" s="1">
        <v>30</v>
      </c>
      <c r="AP165" s="1">
        <v>1403</v>
      </c>
      <c r="AQ165" s="1">
        <v>48</v>
      </c>
      <c r="AR165" s="1">
        <v>1660</v>
      </c>
      <c r="AS165" s="1">
        <v>54</v>
      </c>
      <c r="AT165" s="1">
        <v>1510.3</v>
      </c>
      <c r="AU165" s="1">
        <v>9.5</v>
      </c>
      <c r="AV165" s="1">
        <v>26.790000000000003</v>
      </c>
      <c r="AW165" s="1">
        <v>0.59000000000000008</v>
      </c>
      <c r="AX165" s="1">
        <v>6.53</v>
      </c>
      <c r="AY165" s="1">
        <v>0.3</v>
      </c>
      <c r="AZ165" s="1">
        <v>45581.4</v>
      </c>
      <c r="BA165" s="1">
        <v>993.6</v>
      </c>
      <c r="BB165" s="1">
        <v>23989.230000000003</v>
      </c>
      <c r="BC165" s="1">
        <v>596.16</v>
      </c>
      <c r="BD165" s="1">
        <v>258646.5</v>
      </c>
      <c r="BE165" s="1">
        <v>5899.5</v>
      </c>
      <c r="BF165" s="1">
        <v>80.108999999999995</v>
      </c>
      <c r="BG165" s="1">
        <v>8.6940000000000008</v>
      </c>
      <c r="BH165" s="1">
        <f t="shared" si="54"/>
        <v>3228.682170542636</v>
      </c>
      <c r="BI165" s="1">
        <f t="shared" si="55"/>
        <v>358.05480368220896</v>
      </c>
    </row>
    <row r="166" spans="1:61" x14ac:dyDescent="0.2">
      <c r="A166" t="s">
        <v>176</v>
      </c>
      <c r="B166" t="s">
        <v>38</v>
      </c>
      <c r="C166" t="s">
        <v>177</v>
      </c>
      <c r="D166" t="s">
        <v>178</v>
      </c>
      <c r="E166">
        <v>80886</v>
      </c>
      <c r="F166">
        <v>52609</v>
      </c>
      <c r="G166" t="s">
        <v>178</v>
      </c>
      <c r="H166" s="1">
        <v>127.1</v>
      </c>
      <c r="I166" s="1">
        <v>27.9</v>
      </c>
      <c r="J166" s="11">
        <v>2.97</v>
      </c>
      <c r="K166" s="11">
        <f t="shared" ca="1" si="48"/>
        <v>0.10451966322180721</v>
      </c>
      <c r="L166" s="8">
        <v>0.2369</v>
      </c>
      <c r="M166" s="8">
        <f t="shared" ca="1" si="49"/>
        <v>8.2878612440122328E-3</v>
      </c>
      <c r="N166" s="8">
        <v>0.97753999999999996</v>
      </c>
      <c r="O166" s="9">
        <v>4.22119</v>
      </c>
      <c r="P166" s="9">
        <f t="shared" ca="1" si="50"/>
        <v>0.14767678275070864</v>
      </c>
      <c r="Q166" s="10">
        <v>8.9429999999999996E-2</v>
      </c>
      <c r="R166" s="10">
        <f t="shared" ca="1" si="51"/>
        <v>1.8683388236612759E-3</v>
      </c>
      <c r="S166" s="9">
        <f t="shared" si="52"/>
        <v>0.42063855836014946</v>
      </c>
      <c r="T166" s="12">
        <v>0.09</v>
      </c>
      <c r="U166" s="12">
        <f t="shared" ca="1" si="53"/>
        <v>3.4132096331752023E-3</v>
      </c>
      <c r="V166" s="6" t="e">
        <f ca="1">IF(agePb6U8(1/O166)&lt;1400,age7corr(1/O166,Q166,$W$2),agePb76(Q166))</f>
        <v>#NAME?</v>
      </c>
      <c r="W166" s="6" t="e">
        <f ca="1">IF(agePb6U8(1/O166)&lt;1400,ageer7corr(V166,1/O166,P166/O166*(1/O166),Q166,R166,$W$2,0.05),ageerPb76(Q166,R166))</f>
        <v>#NAME?</v>
      </c>
      <c r="X166" s="4" t="e">
        <f ca="1">agePb6U8(L166)/agePb7u5(J166)</f>
        <v>#NAME?</v>
      </c>
      <c r="Z166" s="1">
        <v>2.97</v>
      </c>
      <c r="AA166" s="1">
        <v>8.5999999999999993E-2</v>
      </c>
      <c r="AB166" s="1">
        <v>0.2369</v>
      </c>
      <c r="AC166" s="1">
        <v>6.7999999999999996E-3</v>
      </c>
      <c r="AD166" s="1">
        <v>0.97753999999999996</v>
      </c>
      <c r="AE166" s="1">
        <v>4.22119</v>
      </c>
      <c r="AF166" s="1">
        <v>0.12116540000000001</v>
      </c>
      <c r="AG166" s="1">
        <v>8.9429999999999996E-2</v>
      </c>
      <c r="AH166" s="1">
        <v>5.4000000000000001E-4</v>
      </c>
      <c r="AI166" s="1">
        <v>8.4916000000000005E-2</v>
      </c>
      <c r="AJ166" s="1">
        <v>0.09</v>
      </c>
      <c r="AK166" s="1">
        <v>2.8999999999999998E-3</v>
      </c>
      <c r="AL166" s="1">
        <v>12.95</v>
      </c>
      <c r="AM166" s="1">
        <v>0.94</v>
      </c>
      <c r="AN166" s="1">
        <v>1399</v>
      </c>
      <c r="AO166" s="1">
        <v>22</v>
      </c>
      <c r="AP166" s="1">
        <v>1370</v>
      </c>
      <c r="AQ166" s="1">
        <v>36</v>
      </c>
      <c r="AR166" s="1">
        <v>1741</v>
      </c>
      <c r="AS166" s="1">
        <v>53</v>
      </c>
      <c r="AT166" s="1">
        <v>1416</v>
      </c>
      <c r="AU166" s="1">
        <v>12</v>
      </c>
      <c r="AV166" s="1">
        <v>27.3</v>
      </c>
      <c r="AW166" s="1">
        <v>1.8</v>
      </c>
      <c r="AX166" s="1">
        <v>2.15</v>
      </c>
      <c r="AY166" s="1">
        <v>0.12000000000000001</v>
      </c>
      <c r="AZ166" s="1">
        <v>15760.979999999998</v>
      </c>
      <c r="BA166" s="1">
        <v>447.12</v>
      </c>
      <c r="BB166" s="1">
        <v>22480.200000000004</v>
      </c>
      <c r="BC166" s="1">
        <v>1242</v>
      </c>
      <c r="BD166" s="1">
        <v>252746.99999999997</v>
      </c>
      <c r="BE166" s="1">
        <v>13041.000000000002</v>
      </c>
      <c r="BF166" s="1">
        <v>-1.5524999999999998</v>
      </c>
      <c r="BG166" s="1">
        <v>5.7131999999999996</v>
      </c>
      <c r="BH166" s="1">
        <f t="shared" si="54"/>
        <v>-162800</v>
      </c>
      <c r="BI166" s="1">
        <f t="shared" si="55"/>
        <v>-599162.88504546077</v>
      </c>
    </row>
    <row r="167" spans="1:61" x14ac:dyDescent="0.2">
      <c r="A167" t="s">
        <v>179</v>
      </c>
      <c r="B167" t="s">
        <v>38</v>
      </c>
      <c r="C167" t="s">
        <v>180</v>
      </c>
      <c r="D167" t="s">
        <v>181</v>
      </c>
      <c r="E167">
        <v>80835</v>
      </c>
      <c r="F167">
        <v>52695</v>
      </c>
      <c r="G167" t="s">
        <v>181</v>
      </c>
      <c r="H167" s="1">
        <v>57.6</v>
      </c>
      <c r="I167" s="1">
        <v>46.2</v>
      </c>
      <c r="J167" s="11">
        <v>2.3109999999999999</v>
      </c>
      <c r="K167" s="11">
        <f t="shared" ca="1" si="48"/>
        <v>6.5918801566776083E-2</v>
      </c>
      <c r="L167" s="8">
        <v>0.20599999999999999</v>
      </c>
      <c r="M167" s="8">
        <f t="shared" ca="1" si="49"/>
        <v>6.101180213696363E-3</v>
      </c>
      <c r="N167" s="8">
        <v>0.96411999999999998</v>
      </c>
      <c r="O167" s="9">
        <v>4.8543690000000002</v>
      </c>
      <c r="P167" s="9">
        <f t="shared" ca="1" si="50"/>
        <v>0.14377365933739183</v>
      </c>
      <c r="Q167" s="10">
        <v>8.0049999999999996E-2</v>
      </c>
      <c r="R167" s="10">
        <f t="shared" ca="1" si="51"/>
        <v>1.6961134985607536E-3</v>
      </c>
      <c r="S167" s="9">
        <f t="shared" si="52"/>
        <v>0.48131802079968433</v>
      </c>
      <c r="T167" s="12">
        <v>7.0999999999999994E-2</v>
      </c>
      <c r="U167" s="12">
        <f t="shared" ca="1" si="53"/>
        <v>1.9940912717325656E-3</v>
      </c>
      <c r="V167" s="6" t="e">
        <f ca="1">IF(agePb6U8(1/O167)&lt;1400,age7corr(1/O167,Q167,$W$2),agePb76(Q167))</f>
        <v>#NAME?</v>
      </c>
      <c r="W167" s="6" t="e">
        <f ca="1">IF(agePb6U8(1/O167)&lt;1400,ageer7corr(V167,1/O167,P167/O167*(1/O167),Q167,R167,$W$2,0.05),ageerPb76(Q167,R167))</f>
        <v>#NAME?</v>
      </c>
      <c r="X167" s="4" t="e">
        <f ca="1">agePb6U8(L167)/agePb7u5(J167)</f>
        <v>#NAME?</v>
      </c>
      <c r="Z167" s="1">
        <v>2.3109999999999999</v>
      </c>
      <c r="AA167" s="1">
        <v>4.7E-2</v>
      </c>
      <c r="AB167" s="1">
        <v>0.20599999999999999</v>
      </c>
      <c r="AC167" s="1">
        <v>4.4999999999999997E-3</v>
      </c>
      <c r="AD167" s="1">
        <v>0.96411999999999998</v>
      </c>
      <c r="AE167" s="1">
        <v>4.8543690000000002</v>
      </c>
      <c r="AF167" s="1">
        <v>0.106042</v>
      </c>
      <c r="AG167" s="1">
        <v>8.0049999999999996E-2</v>
      </c>
      <c r="AH167" s="1">
        <v>5.5999999999999995E-4</v>
      </c>
      <c r="AI167" s="1">
        <v>-1.8922999999999999E-2</v>
      </c>
      <c r="AJ167" s="1">
        <v>7.0999999999999994E-2</v>
      </c>
      <c r="AK167" s="1">
        <v>1.4E-3</v>
      </c>
      <c r="AL167" s="1">
        <v>3.8380000000000001</v>
      </c>
      <c r="AM167" s="1">
        <v>0.02</v>
      </c>
      <c r="AN167" s="1">
        <v>1215</v>
      </c>
      <c r="AO167" s="1">
        <v>15</v>
      </c>
      <c r="AP167" s="1">
        <v>1215</v>
      </c>
      <c r="AQ167" s="1">
        <v>27</v>
      </c>
      <c r="AR167" s="1">
        <v>1386</v>
      </c>
      <c r="AS167" s="1">
        <v>27</v>
      </c>
      <c r="AT167" s="1">
        <v>1198</v>
      </c>
      <c r="AU167" s="1">
        <v>14</v>
      </c>
      <c r="AV167" s="1">
        <v>12.370000000000001</v>
      </c>
      <c r="AW167" s="1">
        <v>0.24000000000000002</v>
      </c>
      <c r="AX167" s="1">
        <v>3.57</v>
      </c>
      <c r="AY167" s="1">
        <v>0.12000000000000001</v>
      </c>
      <c r="AZ167" s="1">
        <v>21045.69</v>
      </c>
      <c r="BA167" s="1">
        <v>366.39</v>
      </c>
      <c r="BB167" s="1">
        <v>7967.43</v>
      </c>
      <c r="BC167" s="1">
        <v>142.82999999999998</v>
      </c>
      <c r="BD167" s="1">
        <v>100167.3</v>
      </c>
      <c r="BE167" s="1">
        <v>1800.9</v>
      </c>
      <c r="BF167" s="1">
        <v>1.8629999999999998</v>
      </c>
      <c r="BG167" s="1">
        <v>5.7131999999999996</v>
      </c>
      <c r="BH167" s="1">
        <f t="shared" si="54"/>
        <v>53766.666666666672</v>
      </c>
      <c r="BI167" s="1">
        <f t="shared" si="55"/>
        <v>164887.27805442581</v>
      </c>
    </row>
    <row r="168" spans="1:61" x14ac:dyDescent="0.2">
      <c r="A168" t="s">
        <v>182</v>
      </c>
      <c r="B168" t="s">
        <v>38</v>
      </c>
      <c r="C168" t="s">
        <v>183</v>
      </c>
      <c r="D168" t="s">
        <v>184</v>
      </c>
      <c r="E168">
        <v>80857</v>
      </c>
      <c r="F168">
        <v>52850</v>
      </c>
      <c r="G168" t="s">
        <v>184</v>
      </c>
      <c r="H168" s="1">
        <v>182.5</v>
      </c>
      <c r="I168" s="1">
        <v>113.4</v>
      </c>
      <c r="J168" s="11">
        <v>2.323</v>
      </c>
      <c r="K168" s="11">
        <f t="shared" ca="1" si="48"/>
        <v>6.752430377278984E-2</v>
      </c>
      <c r="L168" s="8">
        <v>0.2059</v>
      </c>
      <c r="M168" s="8">
        <f t="shared" ca="1" si="49"/>
        <v>5.8110174668469213E-3</v>
      </c>
      <c r="N168" s="8">
        <v>0.97946999999999995</v>
      </c>
      <c r="O168" s="9">
        <v>4.8567270000000002</v>
      </c>
      <c r="P168" s="9">
        <f t="shared" ca="1" si="50"/>
        <v>0.13706908218126398</v>
      </c>
      <c r="Q168" s="10">
        <v>8.0589999999999995E-2</v>
      </c>
      <c r="R168" s="10">
        <f t="shared" ca="1" si="51"/>
        <v>1.6681724251407584E-3</v>
      </c>
      <c r="S168" s="9">
        <f t="shared" si="52"/>
        <v>0.38053873977127151</v>
      </c>
      <c r="T168" s="12">
        <v>7.0400000000000004E-2</v>
      </c>
      <c r="U168" s="12">
        <f t="shared" ca="1" si="53"/>
        <v>1.7269811811366099E-3</v>
      </c>
      <c r="V168" s="6" t="e">
        <f ca="1">IF(agePb6U8(1/O168)&lt;1400,age7corr(1/O168,Q168,$W$2),agePb76(Q168))</f>
        <v>#NAME?</v>
      </c>
      <c r="W168" s="6" t="e">
        <f ca="1">IF(agePb6U8(1/O168)&lt;1400,ageer7corr(V168,1/O168,P168/O168*(1/O168),Q168,R168,$W$2,0.05),ageerPb76(Q168,R168))</f>
        <v>#NAME?</v>
      </c>
      <c r="X168" s="4" t="e">
        <f ca="1">agePb6U8(L168)/agePb7u5(J168)</f>
        <v>#NAME?</v>
      </c>
      <c r="Z168" s="1">
        <v>2.323</v>
      </c>
      <c r="AA168" s="1">
        <v>4.9000000000000002E-2</v>
      </c>
      <c r="AB168" s="1">
        <v>0.2059</v>
      </c>
      <c r="AC168" s="1">
        <v>4.1000000000000003E-3</v>
      </c>
      <c r="AD168" s="1">
        <v>0.97946999999999995</v>
      </c>
      <c r="AE168" s="1">
        <v>4.8567270000000002</v>
      </c>
      <c r="AF168" s="1">
        <v>9.6709950000000003E-2</v>
      </c>
      <c r="AG168" s="1">
        <v>8.0589999999999995E-2</v>
      </c>
      <c r="AH168" s="1">
        <v>4.2999999999999999E-4</v>
      </c>
      <c r="AI168" s="1">
        <v>-0.14207</v>
      </c>
      <c r="AJ168" s="1">
        <v>7.0400000000000004E-2</v>
      </c>
      <c r="AK168" s="1">
        <v>1E-3</v>
      </c>
      <c r="AL168" s="1">
        <v>5.0430000000000001</v>
      </c>
      <c r="AM168" s="1">
        <v>2.4E-2</v>
      </c>
      <c r="AN168" s="1">
        <v>1219</v>
      </c>
      <c r="AO168" s="1">
        <v>15</v>
      </c>
      <c r="AP168" s="1">
        <v>1207</v>
      </c>
      <c r="AQ168" s="1">
        <v>22</v>
      </c>
      <c r="AR168" s="1">
        <v>1375</v>
      </c>
      <c r="AS168" s="1">
        <v>20</v>
      </c>
      <c r="AT168" s="1">
        <v>1211</v>
      </c>
      <c r="AU168" s="1">
        <v>11</v>
      </c>
      <c r="AV168" s="1">
        <v>39.199999999999996</v>
      </c>
      <c r="AW168" s="1">
        <v>0.62</v>
      </c>
      <c r="AX168" s="1">
        <v>8.76</v>
      </c>
      <c r="AY168" s="1">
        <v>0.2</v>
      </c>
      <c r="AZ168" s="1">
        <v>50611.5</v>
      </c>
      <c r="BA168" s="1">
        <v>683.09999999999991</v>
      </c>
      <c r="BB168" s="1">
        <v>25299.539999999997</v>
      </c>
      <c r="BC168" s="1">
        <v>385.02</v>
      </c>
      <c r="BD168" s="1">
        <v>316585.8</v>
      </c>
      <c r="BE168" s="1">
        <v>3850.2</v>
      </c>
      <c r="BF168" s="1">
        <v>-2.484</v>
      </c>
      <c r="BG168" s="1">
        <v>3.1049999999999995</v>
      </c>
      <c r="BH168" s="1">
        <f t="shared" si="54"/>
        <v>-127450</v>
      </c>
      <c r="BI168" s="1">
        <f t="shared" si="55"/>
        <v>-159320.04003341825</v>
      </c>
    </row>
    <row r="169" spans="1:61" x14ac:dyDescent="0.2">
      <c r="A169" t="s">
        <v>185</v>
      </c>
      <c r="B169" t="s">
        <v>38</v>
      </c>
      <c r="C169" t="s">
        <v>186</v>
      </c>
      <c r="D169" t="s">
        <v>187</v>
      </c>
      <c r="E169">
        <v>80803</v>
      </c>
      <c r="F169">
        <v>53106</v>
      </c>
      <c r="G169" t="s">
        <v>187</v>
      </c>
      <c r="H169" s="1">
        <v>103.1</v>
      </c>
      <c r="I169" s="1">
        <v>99.9</v>
      </c>
      <c r="J169" s="11">
        <v>2.33</v>
      </c>
      <c r="K169" s="11">
        <f t="shared" ca="1" si="48"/>
        <v>0.11946363463414295</v>
      </c>
      <c r="L169" s="8">
        <v>0.2041</v>
      </c>
      <c r="M169" s="8">
        <f t="shared" ca="1" si="49"/>
        <v>9.9736013555786363E-3</v>
      </c>
      <c r="N169" s="8">
        <v>0.99470000000000003</v>
      </c>
      <c r="O169" s="9">
        <v>4.899559</v>
      </c>
      <c r="P169" s="9">
        <f t="shared" ca="1" si="50"/>
        <v>0.23942309118103544</v>
      </c>
      <c r="Q169" s="10">
        <v>8.1610000000000002E-2</v>
      </c>
      <c r="R169" s="10">
        <f t="shared" ca="1" si="51"/>
        <v>1.667236287992797E-3</v>
      </c>
      <c r="S169" s="9">
        <f t="shared" si="52"/>
        <v>0.4434351282100456</v>
      </c>
      <c r="T169" s="12">
        <v>7.2300000000000003E-2</v>
      </c>
      <c r="U169" s="12">
        <f t="shared" ca="1" si="53"/>
        <v>2.7167841283399752E-3</v>
      </c>
      <c r="V169" s="6" t="e">
        <f ca="1">IF(agePb6U8(1/O169)&lt;1400,age7corr(1/O169,Q169,$W$2),agePb76(Q169))</f>
        <v>#NAME?</v>
      </c>
      <c r="W169" s="6" t="e">
        <f ca="1">IF(agePb6U8(1/O169)&lt;1400,ageer7corr(V169,1/O169,P169/O169*(1/O169),Q169,R169,$W$2,0.05),ageerPb76(Q169,R169))</f>
        <v>#NAME?</v>
      </c>
      <c r="X169" s="4" t="e">
        <f ca="1">agePb6U8(L169)/agePb7u5(J169)</f>
        <v>#NAME?</v>
      </c>
      <c r="Z169" s="1">
        <v>2.33</v>
      </c>
      <c r="AA169" s="1">
        <v>0.11</v>
      </c>
      <c r="AB169" s="1">
        <v>0.2041</v>
      </c>
      <c r="AC169" s="1">
        <v>9.1000000000000004E-3</v>
      </c>
      <c r="AD169" s="1">
        <v>0.99470000000000003</v>
      </c>
      <c r="AE169" s="1">
        <v>4.899559</v>
      </c>
      <c r="AF169" s="1">
        <v>0.2184517</v>
      </c>
      <c r="AG169" s="1">
        <v>8.1610000000000002E-2</v>
      </c>
      <c r="AH169" s="1">
        <v>3.4000000000000002E-4</v>
      </c>
      <c r="AI169" s="1">
        <v>-0.43018000000000001</v>
      </c>
      <c r="AJ169" s="1">
        <v>7.2300000000000003E-2</v>
      </c>
      <c r="AK169" s="1">
        <v>2.3E-3</v>
      </c>
      <c r="AL169" s="1">
        <v>3.0640000000000001</v>
      </c>
      <c r="AM169" s="1">
        <v>1.9E-2</v>
      </c>
      <c r="AN169" s="1">
        <v>1219</v>
      </c>
      <c r="AO169" s="1">
        <v>34</v>
      </c>
      <c r="AP169" s="1">
        <v>1196</v>
      </c>
      <c r="AQ169" s="1">
        <v>49</v>
      </c>
      <c r="AR169" s="1">
        <v>1410</v>
      </c>
      <c r="AS169" s="1">
        <v>44</v>
      </c>
      <c r="AT169" s="1">
        <v>1236.0999999999999</v>
      </c>
      <c r="AU169" s="1">
        <v>8.1999999999999993</v>
      </c>
      <c r="AV169" s="1">
        <v>22.15</v>
      </c>
      <c r="AW169" s="1">
        <v>0.8899999999999999</v>
      </c>
      <c r="AX169" s="1">
        <v>7.7200000000000006</v>
      </c>
      <c r="AY169" s="1">
        <v>0.13999999999999999</v>
      </c>
      <c r="AZ169" s="1">
        <v>46512.9</v>
      </c>
      <c r="BA169" s="1">
        <v>1800.9</v>
      </c>
      <c r="BB169" s="1">
        <v>14295.42</v>
      </c>
      <c r="BC169" s="1">
        <v>540.27</v>
      </c>
      <c r="BD169" s="1">
        <v>176674.49999999997</v>
      </c>
      <c r="BE169" s="1">
        <v>6147.9</v>
      </c>
      <c r="BF169" s="1">
        <v>-2.5461</v>
      </c>
      <c r="BG169" s="1">
        <v>5.7131999999999996</v>
      </c>
      <c r="BH169" s="1">
        <f t="shared" si="54"/>
        <v>-69390.243902439019</v>
      </c>
      <c r="BI169" s="1">
        <f t="shared" si="55"/>
        <v>-155723.65918998266</v>
      </c>
    </row>
    <row r="170" spans="1:61" x14ac:dyDescent="0.2">
      <c r="A170" t="s">
        <v>188</v>
      </c>
      <c r="B170" t="s">
        <v>38</v>
      </c>
      <c r="C170" t="s">
        <v>189</v>
      </c>
      <c r="D170" t="s">
        <v>190</v>
      </c>
      <c r="E170">
        <v>80792</v>
      </c>
      <c r="F170">
        <v>53256</v>
      </c>
      <c r="G170" t="s">
        <v>190</v>
      </c>
      <c r="H170" s="1">
        <v>226</v>
      </c>
      <c r="I170" s="1">
        <v>137.69999999999999</v>
      </c>
      <c r="J170" s="11">
        <v>3.87</v>
      </c>
      <c r="K170" s="11">
        <f t="shared" ca="1" si="48"/>
        <v>0.13450189589741851</v>
      </c>
      <c r="L170" s="8">
        <v>0.27039999999999997</v>
      </c>
      <c r="M170" s="8">
        <f t="shared" ca="1" si="49"/>
        <v>9.9063850116982623E-3</v>
      </c>
      <c r="N170" s="8">
        <v>0.96714999999999995</v>
      </c>
      <c r="O170" s="9">
        <v>3.6982249999999999</v>
      </c>
      <c r="P170" s="9">
        <f t="shared" ca="1" si="50"/>
        <v>0.13548831530523212</v>
      </c>
      <c r="Q170" s="10">
        <v>0.10324</v>
      </c>
      <c r="R170" s="10">
        <f t="shared" ca="1" si="51"/>
        <v>2.1867325030739356E-3</v>
      </c>
      <c r="S170" s="9">
        <f t="shared" si="52"/>
        <v>0.47776109990887056</v>
      </c>
      <c r="T170" s="12">
        <v>9.11E-2</v>
      </c>
      <c r="U170" s="12">
        <f t="shared" ca="1" si="53"/>
        <v>3.3406113213003395E-3</v>
      </c>
      <c r="V170" s="6" t="e">
        <f ca="1">IF(agePb6U8(1/O170)&lt;1400,age7corr(1/O170,Q170,$W$2),agePb76(Q170))</f>
        <v>#NAME?</v>
      </c>
      <c r="W170" s="6" t="e">
        <f ca="1">IF(agePb6U8(1/O170)&lt;1400,ageer7corr(V170,1/O170,P170/O170*(1/O170),Q170,R170,$W$2,0.05),ageerPb76(Q170,R170))</f>
        <v>#NAME?</v>
      </c>
      <c r="X170" s="4" t="e">
        <f ca="1">agePb6U8(L170)/agePb7u5(J170)</f>
        <v>#NAME?</v>
      </c>
      <c r="Z170" s="1">
        <v>3.87</v>
      </c>
      <c r="AA170" s="1">
        <v>0.11</v>
      </c>
      <c r="AB170" s="1">
        <v>0.27039999999999997</v>
      </c>
      <c r="AC170" s="1">
        <v>8.3000000000000001E-3</v>
      </c>
      <c r="AD170" s="1">
        <v>0.96714999999999995</v>
      </c>
      <c r="AE170" s="1">
        <v>3.6982249999999999</v>
      </c>
      <c r="AF170" s="1">
        <v>0.11351799999999999</v>
      </c>
      <c r="AG170" s="1">
        <v>0.10324</v>
      </c>
      <c r="AH170" s="1">
        <v>7.2000000000000005E-4</v>
      </c>
      <c r="AI170" s="1">
        <v>-0.18836</v>
      </c>
      <c r="AJ170" s="1">
        <v>9.11E-2</v>
      </c>
      <c r="AK170" s="1">
        <v>2.8E-3</v>
      </c>
      <c r="AL170" s="1">
        <v>5.0789999999999997</v>
      </c>
      <c r="AM170" s="1">
        <v>3.5000000000000003E-2</v>
      </c>
      <c r="AN170" s="1">
        <v>1607</v>
      </c>
      <c r="AO170" s="1">
        <v>23</v>
      </c>
      <c r="AP170" s="1">
        <v>1542</v>
      </c>
      <c r="AQ170" s="1">
        <v>42</v>
      </c>
      <c r="AR170" s="1">
        <v>1762</v>
      </c>
      <c r="AS170" s="1">
        <v>51</v>
      </c>
      <c r="AT170" s="1">
        <v>1683</v>
      </c>
      <c r="AU170" s="1">
        <v>13</v>
      </c>
      <c r="AV170" s="1">
        <v>48.599999999999994</v>
      </c>
      <c r="AW170" s="1">
        <v>3.6</v>
      </c>
      <c r="AX170" s="1">
        <v>10.64</v>
      </c>
      <c r="AY170" s="1">
        <v>0.76</v>
      </c>
      <c r="AZ170" s="1">
        <v>81413.100000000006</v>
      </c>
      <c r="BA170" s="1">
        <v>5526.9</v>
      </c>
      <c r="BB170" s="1">
        <v>52536.6</v>
      </c>
      <c r="BC170" s="1">
        <v>3291.2999999999997</v>
      </c>
      <c r="BD170" s="1">
        <v>512946</v>
      </c>
      <c r="BE170" s="1">
        <v>33534</v>
      </c>
      <c r="BF170" s="1">
        <v>56.511000000000003</v>
      </c>
      <c r="BG170" s="1">
        <v>36.018000000000001</v>
      </c>
      <c r="BH170" s="1">
        <f t="shared" si="54"/>
        <v>9076.9230769230762</v>
      </c>
      <c r="BI170" s="1">
        <f t="shared" si="55"/>
        <v>5815.6453335783372</v>
      </c>
    </row>
    <row r="171" spans="1:61" x14ac:dyDescent="0.2">
      <c r="A171" t="s">
        <v>191</v>
      </c>
      <c r="B171" t="s">
        <v>38</v>
      </c>
      <c r="C171" t="s">
        <v>192</v>
      </c>
      <c r="D171" t="s">
        <v>193</v>
      </c>
      <c r="E171">
        <v>80844</v>
      </c>
      <c r="F171">
        <v>53323</v>
      </c>
      <c r="G171" t="s">
        <v>193</v>
      </c>
      <c r="H171" s="1">
        <v>166.9</v>
      </c>
      <c r="I171" s="1">
        <v>71.2</v>
      </c>
      <c r="J171" s="11">
        <v>3.29</v>
      </c>
      <c r="K171" s="11">
        <f t="shared" ca="1" si="48"/>
        <v>0.13685627497488012</v>
      </c>
      <c r="L171" s="8">
        <v>0.25130000000000002</v>
      </c>
      <c r="M171" s="8">
        <f t="shared" ca="1" si="49"/>
        <v>9.7888036041183304E-3</v>
      </c>
      <c r="N171" s="8">
        <v>0.99214999999999998</v>
      </c>
      <c r="O171" s="9">
        <v>3.9793080000000001</v>
      </c>
      <c r="P171" s="9">
        <f t="shared" ca="1" si="50"/>
        <v>0.15500465036622482</v>
      </c>
      <c r="Q171" s="10">
        <v>9.3549999999999994E-2</v>
      </c>
      <c r="R171" s="10">
        <f t="shared" ca="1" si="51"/>
        <v>1.9366571715200393E-3</v>
      </c>
      <c r="S171" s="9">
        <f t="shared" si="52"/>
        <v>0.53092662092630039</v>
      </c>
      <c r="T171" s="12">
        <v>8.4699999999999998E-2</v>
      </c>
      <c r="U171" s="12">
        <f t="shared" ca="1" si="53"/>
        <v>2.8565076579627788E-3</v>
      </c>
      <c r="V171" s="6" t="e">
        <f ca="1">IF(agePb6U8(1/O171)&lt;1400,age7corr(1/O171,Q171,$W$2),agePb76(Q171))</f>
        <v>#NAME?</v>
      </c>
      <c r="W171" s="6" t="e">
        <f ca="1">IF(agePb6U8(1/O171)&lt;1400,ageer7corr(V171,1/O171,P171/O171*(1/O171),Q171,R171,$W$2,0.05),ageerPb76(Q171,R171))</f>
        <v>#NAME?</v>
      </c>
      <c r="X171" s="4" t="e">
        <f ca="1">agePb6U8(L171)/agePb7u5(J171)</f>
        <v>#NAME?</v>
      </c>
      <c r="Z171" s="1">
        <v>3.29</v>
      </c>
      <c r="AA171" s="1">
        <v>0.12</v>
      </c>
      <c r="AB171" s="1">
        <v>0.25130000000000002</v>
      </c>
      <c r="AC171" s="1">
        <v>8.3999999999999995E-3</v>
      </c>
      <c r="AD171" s="1">
        <v>0.99214999999999998</v>
      </c>
      <c r="AE171" s="1">
        <v>3.9793080000000001</v>
      </c>
      <c r="AF171" s="1">
        <v>0.1330131</v>
      </c>
      <c r="AG171" s="1">
        <v>9.3549999999999994E-2</v>
      </c>
      <c r="AH171" s="1">
        <v>5.0000000000000001E-4</v>
      </c>
      <c r="AI171" s="1">
        <v>-0.28182000000000001</v>
      </c>
      <c r="AJ171" s="1">
        <v>8.4699999999999998E-2</v>
      </c>
      <c r="AK171" s="1">
        <v>2.3E-3</v>
      </c>
      <c r="AL171" s="1">
        <v>7.4749999999999996</v>
      </c>
      <c r="AM171" s="1">
        <v>4.2999999999999997E-2</v>
      </c>
      <c r="AN171" s="1">
        <v>1477</v>
      </c>
      <c r="AO171" s="1">
        <v>27</v>
      </c>
      <c r="AP171" s="1">
        <v>1445</v>
      </c>
      <c r="AQ171" s="1">
        <v>43</v>
      </c>
      <c r="AR171" s="1">
        <v>1642</v>
      </c>
      <c r="AS171" s="1">
        <v>43</v>
      </c>
      <c r="AT171" s="1">
        <v>1499</v>
      </c>
      <c r="AU171" s="1">
        <v>10</v>
      </c>
      <c r="AV171" s="1">
        <v>35.839999999999996</v>
      </c>
      <c r="AW171" s="1">
        <v>0.7</v>
      </c>
      <c r="AX171" s="1">
        <v>5.5</v>
      </c>
      <c r="AY171" s="1">
        <v>0.15</v>
      </c>
      <c r="AZ171" s="1">
        <v>38750.400000000001</v>
      </c>
      <c r="BA171" s="1">
        <v>1117.8000000000002</v>
      </c>
      <c r="BB171" s="1">
        <v>32975.1</v>
      </c>
      <c r="BC171" s="1">
        <v>869.4</v>
      </c>
      <c r="BD171" s="1">
        <v>355833</v>
      </c>
      <c r="BE171" s="1">
        <v>8694</v>
      </c>
      <c r="BF171" s="1">
        <v>-2.1735000000000002</v>
      </c>
      <c r="BG171" s="1">
        <v>6.1478999999999999</v>
      </c>
      <c r="BH171" s="1">
        <f t="shared" si="54"/>
        <v>-163714.28571428571</v>
      </c>
      <c r="BI171" s="1">
        <f t="shared" si="55"/>
        <v>-463094.8264222552</v>
      </c>
    </row>
    <row r="172" spans="1:61" x14ac:dyDescent="0.2">
      <c r="A172" t="s">
        <v>200</v>
      </c>
      <c r="B172" t="s">
        <v>38</v>
      </c>
      <c r="C172" t="s">
        <v>201</v>
      </c>
      <c r="D172" t="s">
        <v>202</v>
      </c>
      <c r="E172">
        <v>80854</v>
      </c>
      <c r="F172">
        <v>53466</v>
      </c>
      <c r="G172" t="s">
        <v>202</v>
      </c>
      <c r="H172" s="1">
        <v>216.9</v>
      </c>
      <c r="I172" s="1">
        <v>104.2</v>
      </c>
      <c r="J172" s="11">
        <v>4.43</v>
      </c>
      <c r="K172" s="11">
        <f t="shared" ca="1" si="48"/>
        <v>0.15732120009712613</v>
      </c>
      <c r="L172" s="8">
        <v>0.29630000000000001</v>
      </c>
      <c r="M172" s="8">
        <f t="shared" ca="1" si="49"/>
        <v>9.9557760119440217E-3</v>
      </c>
      <c r="N172" s="8">
        <v>0.99158999999999997</v>
      </c>
      <c r="O172" s="9">
        <v>3.3749579999999999</v>
      </c>
      <c r="P172" s="9">
        <f t="shared" ca="1" si="50"/>
        <v>0.11339967681128549</v>
      </c>
      <c r="Q172" s="10">
        <v>0.10695</v>
      </c>
      <c r="R172" s="10">
        <f t="shared" ca="1" si="51"/>
        <v>2.1858227284022834E-3</v>
      </c>
      <c r="S172" s="9">
        <f t="shared" si="52"/>
        <v>0.51800389979693406</v>
      </c>
      <c r="T172" s="12">
        <v>9.8100000000000007E-2</v>
      </c>
      <c r="U172" s="12">
        <f t="shared" ca="1" si="53"/>
        <v>3.1779622401784447E-3</v>
      </c>
      <c r="V172" s="6" t="e">
        <f ca="1">IF(agePb6U8(1/O172)&lt;1400,age7corr(1/O172,Q172,$W$2),agePb76(Q172))</f>
        <v>#NAME?</v>
      </c>
      <c r="W172" s="6" t="e">
        <f ca="1">IF(agePb6U8(1/O172)&lt;1400,ageer7corr(V172,1/O172,P172/O172*(1/O172),Q172,R172,$W$2,0.05),ageerPb76(Q172,R172))</f>
        <v>#NAME?</v>
      </c>
      <c r="X172" s="4" t="e">
        <f ca="1">agePb6U8(L172)/agePb7u5(J172)</f>
        <v>#NAME?</v>
      </c>
      <c r="Z172" s="1">
        <v>4.43</v>
      </c>
      <c r="AA172" s="1">
        <v>0.13</v>
      </c>
      <c r="AB172" s="1">
        <v>0.29630000000000001</v>
      </c>
      <c r="AC172" s="1">
        <v>8.0000000000000002E-3</v>
      </c>
      <c r="AD172" s="1">
        <v>0.99158999999999997</v>
      </c>
      <c r="AE172" s="1">
        <v>3.3749579999999999</v>
      </c>
      <c r="AF172" s="1">
        <v>9.1122720000000004E-2</v>
      </c>
      <c r="AG172" s="1">
        <v>0.10695</v>
      </c>
      <c r="AH172" s="1">
        <v>4.4999999999999999E-4</v>
      </c>
      <c r="AI172" s="1">
        <v>-0.22278999999999999</v>
      </c>
      <c r="AJ172" s="1">
        <v>9.8100000000000007E-2</v>
      </c>
      <c r="AK172" s="1">
        <v>2.5000000000000001E-3</v>
      </c>
      <c r="AL172" s="1">
        <v>6.6859999999999999</v>
      </c>
      <c r="AM172" s="1">
        <v>2.3E-2</v>
      </c>
      <c r="AN172" s="1">
        <v>1722</v>
      </c>
      <c r="AO172" s="1">
        <v>22</v>
      </c>
      <c r="AP172" s="1">
        <v>1672</v>
      </c>
      <c r="AQ172" s="1">
        <v>40</v>
      </c>
      <c r="AR172" s="1">
        <v>1892</v>
      </c>
      <c r="AS172" s="1">
        <v>46</v>
      </c>
      <c r="AT172" s="1">
        <v>1748</v>
      </c>
      <c r="AU172" s="1">
        <v>7.7</v>
      </c>
      <c r="AV172" s="1">
        <v>46.57</v>
      </c>
      <c r="AW172" s="1">
        <v>0.74</v>
      </c>
      <c r="AX172" s="1">
        <v>8.0500000000000007</v>
      </c>
      <c r="AY172" s="1">
        <v>0.2</v>
      </c>
      <c r="AZ172" s="1">
        <v>65080.800000000003</v>
      </c>
      <c r="BA172" s="1">
        <v>1179.8999999999999</v>
      </c>
      <c r="BB172" s="1">
        <v>57318.3</v>
      </c>
      <c r="BC172" s="1">
        <v>1117.8000000000002</v>
      </c>
      <c r="BD172" s="1">
        <v>541512</v>
      </c>
      <c r="BE172" s="1">
        <v>9936</v>
      </c>
      <c r="BF172" s="1">
        <v>-1.9251</v>
      </c>
      <c r="BG172" s="1">
        <v>4.0364999999999993</v>
      </c>
      <c r="BH172" s="1">
        <f t="shared" si="54"/>
        <v>-281290.32258064515</v>
      </c>
      <c r="BI172" s="1">
        <f t="shared" si="55"/>
        <v>-589824.87177134142</v>
      </c>
    </row>
    <row r="173" spans="1:61" x14ac:dyDescent="0.2">
      <c r="A173" t="s">
        <v>203</v>
      </c>
      <c r="B173" t="s">
        <v>38</v>
      </c>
      <c r="C173" t="s">
        <v>204</v>
      </c>
      <c r="D173" t="s">
        <v>205</v>
      </c>
      <c r="E173">
        <v>80960</v>
      </c>
      <c r="F173">
        <v>53498</v>
      </c>
      <c r="G173" t="s">
        <v>205</v>
      </c>
      <c r="H173" s="1">
        <v>128.30000000000001</v>
      </c>
      <c r="I173" s="1">
        <v>290</v>
      </c>
      <c r="J173" s="11">
        <v>2.2610000000000001</v>
      </c>
      <c r="K173" s="11">
        <f t="shared" ca="1" si="48"/>
        <v>7.6738832412280036E-2</v>
      </c>
      <c r="L173" s="8">
        <v>0.20019999999999999</v>
      </c>
      <c r="M173" s="8">
        <f t="shared" ca="1" si="49"/>
        <v>7.5493056634368689E-3</v>
      </c>
      <c r="N173" s="8">
        <v>0.99177000000000004</v>
      </c>
      <c r="O173" s="9">
        <v>4.9950049999999999</v>
      </c>
      <c r="P173" s="9">
        <f t="shared" ca="1" si="50"/>
        <v>0.18835575929676268</v>
      </c>
      <c r="Q173" s="10">
        <v>8.1739999999999993E-2</v>
      </c>
      <c r="R173" s="10">
        <f t="shared" ca="1" si="51"/>
        <v>1.6982847346661278E-3</v>
      </c>
      <c r="S173" s="9">
        <f t="shared" si="52"/>
        <v>0.54274838435107509</v>
      </c>
      <c r="T173" s="12">
        <v>7.3099999999999998E-2</v>
      </c>
      <c r="U173" s="12">
        <f t="shared" ca="1" si="53"/>
        <v>2.6414851882984314E-3</v>
      </c>
      <c r="V173" s="6" t="e">
        <f ca="1">IF(agePb6U8(1/O173)&lt;1400,age7corr(1/O173,Q173,$W$2),agePb76(Q173))</f>
        <v>#NAME?</v>
      </c>
      <c r="W173" s="6" t="e">
        <f ca="1">IF(agePb6U8(1/O173)&lt;1400,ageer7corr(V173,1/O173,P173/O173*(1/O173),Q173,R173,$W$2,0.05),ageerPb76(Q173,R173))</f>
        <v>#NAME?</v>
      </c>
      <c r="X173" s="4" t="e">
        <f ca="1">agePb6U8(L173)/agePb7u5(J173)</f>
        <v>#NAME?</v>
      </c>
      <c r="Z173" s="1">
        <v>2.2610000000000001</v>
      </c>
      <c r="AA173" s="1">
        <v>6.2E-2</v>
      </c>
      <c r="AB173" s="1">
        <v>0.20019999999999999</v>
      </c>
      <c r="AC173" s="1">
        <v>6.4000000000000003E-3</v>
      </c>
      <c r="AD173" s="1">
        <v>0.99177000000000004</v>
      </c>
      <c r="AE173" s="1">
        <v>4.9950049999999999</v>
      </c>
      <c r="AF173" s="1">
        <v>0.1596805</v>
      </c>
      <c r="AG173" s="1">
        <v>8.1739999999999993E-2</v>
      </c>
      <c r="AH173" s="1">
        <v>4.6000000000000001E-4</v>
      </c>
      <c r="AI173" s="1">
        <v>-0.34494000000000002</v>
      </c>
      <c r="AJ173" s="1">
        <v>7.3099999999999998E-2</v>
      </c>
      <c r="AK173" s="1">
        <v>2.2000000000000001E-3</v>
      </c>
      <c r="AL173" s="1">
        <v>1.3004</v>
      </c>
      <c r="AM173" s="1">
        <v>3.7000000000000002E-3</v>
      </c>
      <c r="AN173" s="1">
        <v>1207</v>
      </c>
      <c r="AO173" s="1">
        <v>24</v>
      </c>
      <c r="AP173" s="1">
        <v>1176</v>
      </c>
      <c r="AQ173" s="1">
        <v>34</v>
      </c>
      <c r="AR173" s="1">
        <v>1426</v>
      </c>
      <c r="AS173" s="1">
        <v>41</v>
      </c>
      <c r="AT173" s="1">
        <v>1242</v>
      </c>
      <c r="AU173" s="1">
        <v>10</v>
      </c>
      <c r="AV173" s="1">
        <v>27.54</v>
      </c>
      <c r="AW173" s="1">
        <v>0.56999999999999995</v>
      </c>
      <c r="AX173" s="1">
        <v>22.39</v>
      </c>
      <c r="AY173" s="1">
        <v>0.79</v>
      </c>
      <c r="AZ173" s="1">
        <v>134322.29999999999</v>
      </c>
      <c r="BA173" s="1">
        <v>3105</v>
      </c>
      <c r="BB173" s="1">
        <v>17474.939999999999</v>
      </c>
      <c r="BC173" s="1">
        <v>372.6</v>
      </c>
      <c r="BD173" s="1">
        <v>217039.49999999997</v>
      </c>
      <c r="BE173" s="1">
        <v>4968</v>
      </c>
      <c r="BF173" s="1">
        <v>0.621</v>
      </c>
      <c r="BG173" s="1">
        <v>4.2848999999999995</v>
      </c>
      <c r="BH173" s="1">
        <f t="shared" si="54"/>
        <v>349499.99999999994</v>
      </c>
      <c r="BI173" s="1">
        <f t="shared" si="55"/>
        <v>2411563.2694374816</v>
      </c>
    </row>
    <row r="174" spans="1:61" x14ac:dyDescent="0.2">
      <c r="A174" t="s">
        <v>206</v>
      </c>
      <c r="B174" t="s">
        <v>38</v>
      </c>
      <c r="C174" t="s">
        <v>207</v>
      </c>
      <c r="D174" t="s">
        <v>208</v>
      </c>
      <c r="E174">
        <v>80819</v>
      </c>
      <c r="F174">
        <v>53547</v>
      </c>
      <c r="G174" t="s">
        <v>208</v>
      </c>
      <c r="H174" s="1">
        <v>226</v>
      </c>
      <c r="I174" s="1">
        <v>172</v>
      </c>
      <c r="J174" s="11">
        <v>2.1589999999999998</v>
      </c>
      <c r="K174" s="11">
        <f t="shared" ca="1" si="48"/>
        <v>9.8921748872530552E-2</v>
      </c>
      <c r="L174" s="8">
        <v>0.18720000000000001</v>
      </c>
      <c r="M174" s="8">
        <f t="shared" ca="1" si="49"/>
        <v>8.1152656148766929E-3</v>
      </c>
      <c r="N174" s="8">
        <v>0.99321000000000004</v>
      </c>
      <c r="O174" s="9">
        <v>5.3418799999999997</v>
      </c>
      <c r="P174" s="9">
        <f t="shared" ca="1" si="50"/>
        <v>0.23157463274583856</v>
      </c>
      <c r="Q174" s="10">
        <v>8.2739999999999994E-2</v>
      </c>
      <c r="R174" s="10">
        <f t="shared" ca="1" si="51"/>
        <v>1.7148944690563322E-3</v>
      </c>
      <c r="S174" s="9">
        <f t="shared" si="52"/>
        <v>0.43311568308206877</v>
      </c>
      <c r="T174" s="12">
        <v>7.2599999999999998E-2</v>
      </c>
      <c r="U174" s="12">
        <f t="shared" ca="1" si="53"/>
        <v>4.3495176744094291E-3</v>
      </c>
      <c r="V174" s="6" t="e">
        <f ca="1">IF(agePb6U8(1/O174)&lt;1400,age7corr(1/O174,Q174,$W$2),agePb76(Q174))</f>
        <v>#NAME?</v>
      </c>
      <c r="W174" s="6" t="e">
        <f ca="1">IF(agePb6U8(1/O174)&lt;1400,ageer7corr(V174,1/O174,P174/O174*(1/O174),Q174,R174,$W$2,0.05),ageerPb76(Q174,R174))</f>
        <v>#NAME?</v>
      </c>
      <c r="X174" s="4" t="e">
        <f ca="1">agePb6U8(L174)/agePb7u5(J174)</f>
        <v>#NAME?</v>
      </c>
      <c r="Z174" s="1">
        <v>2.1589999999999998</v>
      </c>
      <c r="AA174" s="1">
        <v>8.8999999999999996E-2</v>
      </c>
      <c r="AB174" s="1">
        <v>0.18720000000000001</v>
      </c>
      <c r="AC174" s="1">
        <v>7.1999999999999998E-3</v>
      </c>
      <c r="AD174" s="1">
        <v>0.99321000000000004</v>
      </c>
      <c r="AE174" s="1">
        <v>5.3418799999999997</v>
      </c>
      <c r="AF174" s="1">
        <v>0.2054569</v>
      </c>
      <c r="AG174" s="1">
        <v>8.2739999999999994E-2</v>
      </c>
      <c r="AH174" s="1">
        <v>4.4999999999999999E-4</v>
      </c>
      <c r="AI174" s="1">
        <v>-0.31203999999999998</v>
      </c>
      <c r="AJ174" s="1">
        <v>7.2599999999999998E-2</v>
      </c>
      <c r="AK174" s="1">
        <v>4.1000000000000003E-3</v>
      </c>
      <c r="AL174" s="1">
        <v>3.72</v>
      </c>
      <c r="AM174" s="1">
        <v>0.13</v>
      </c>
      <c r="AN174" s="1">
        <v>1166</v>
      </c>
      <c r="AO174" s="1">
        <v>29</v>
      </c>
      <c r="AP174" s="1">
        <v>1106</v>
      </c>
      <c r="AQ174" s="1">
        <v>39</v>
      </c>
      <c r="AR174" s="1">
        <v>1416</v>
      </c>
      <c r="AS174" s="1">
        <v>77</v>
      </c>
      <c r="AT174" s="1">
        <v>1263</v>
      </c>
      <c r="AU174" s="1">
        <v>11</v>
      </c>
      <c r="AV174" s="1">
        <v>48.5</v>
      </c>
      <c r="AW174" s="1">
        <v>5.1000000000000005</v>
      </c>
      <c r="AX174" s="1">
        <v>13.299999999999999</v>
      </c>
      <c r="AY174" s="1">
        <v>1.1000000000000001</v>
      </c>
      <c r="AZ174" s="1">
        <v>78742.8</v>
      </c>
      <c r="BA174" s="1">
        <v>4222.8</v>
      </c>
      <c r="BB174" s="1">
        <v>30056.399999999998</v>
      </c>
      <c r="BC174" s="1">
        <v>2670.3</v>
      </c>
      <c r="BD174" s="1">
        <v>366389.99999999994</v>
      </c>
      <c r="BE174" s="1">
        <v>31050</v>
      </c>
      <c r="BF174" s="1">
        <v>3.8502000000000001</v>
      </c>
      <c r="BG174" s="1">
        <v>4.7816999999999998</v>
      </c>
      <c r="BH174" s="1">
        <f t="shared" si="54"/>
        <v>95161.290322580622</v>
      </c>
      <c r="BI174" s="1">
        <f t="shared" si="55"/>
        <v>118459.01217496936</v>
      </c>
    </row>
    <row r="175" spans="1:61" x14ac:dyDescent="0.2">
      <c r="A175" t="s">
        <v>209</v>
      </c>
      <c r="B175" t="s">
        <v>38</v>
      </c>
      <c r="C175" t="s">
        <v>210</v>
      </c>
      <c r="D175" t="s">
        <v>211</v>
      </c>
      <c r="E175">
        <v>80813</v>
      </c>
      <c r="F175">
        <v>53745</v>
      </c>
      <c r="G175" t="s">
        <v>211</v>
      </c>
      <c r="H175" s="1">
        <v>175.7</v>
      </c>
      <c r="I175" s="1">
        <v>101.1</v>
      </c>
      <c r="J175" s="11">
        <v>2.7829999999999999</v>
      </c>
      <c r="K175" s="11">
        <f t="shared" ca="1" si="48"/>
        <v>0.10076723475416004</v>
      </c>
      <c r="L175" s="8">
        <v>0.2225</v>
      </c>
      <c r="M175" s="8">
        <f t="shared" ca="1" si="49"/>
        <v>7.3900270635499036E-3</v>
      </c>
      <c r="N175" s="8">
        <v>0.98999000000000004</v>
      </c>
      <c r="O175" s="9">
        <v>4.4943819999999999</v>
      </c>
      <c r="P175" s="9">
        <f t="shared" ca="1" si="50"/>
        <v>0.14927465062219908</v>
      </c>
      <c r="Q175" s="10">
        <v>8.9330000000000007E-2</v>
      </c>
      <c r="R175" s="10">
        <f t="shared" ca="1" si="51"/>
        <v>1.8499566373296433E-3</v>
      </c>
      <c r="S175" s="9">
        <f t="shared" si="52"/>
        <v>0.57981025021418175</v>
      </c>
      <c r="T175" s="12">
        <v>8.8599999999999998E-2</v>
      </c>
      <c r="U175" s="12">
        <f t="shared" ca="1" si="53"/>
        <v>3.398526739632925E-3</v>
      </c>
      <c r="V175" s="6" t="e">
        <f ca="1">IF(agePb6U8(1/O175)&lt;1400,age7corr(1/O175,Q175,$W$2),agePb76(Q175))</f>
        <v>#NAME?</v>
      </c>
      <c r="W175" s="6" t="e">
        <f ca="1">IF(agePb6U8(1/O175)&lt;1400,ageer7corr(V175,1/O175,P175/O175*(1/O175),Q175,R175,$W$2,0.05),ageerPb76(Q175,R175))</f>
        <v>#NAME?</v>
      </c>
      <c r="X175" s="4" t="e">
        <f ca="1">agePb6U8(L175)/agePb7u5(J175)</f>
        <v>#NAME?</v>
      </c>
      <c r="Z175" s="1">
        <v>2.7829999999999999</v>
      </c>
      <c r="AA175" s="1">
        <v>8.4000000000000005E-2</v>
      </c>
      <c r="AB175" s="1">
        <v>0.2225</v>
      </c>
      <c r="AC175" s="1">
        <v>5.8999999999999999E-3</v>
      </c>
      <c r="AD175" s="1">
        <v>0.98999000000000004</v>
      </c>
      <c r="AE175" s="1">
        <v>4.4943819999999999</v>
      </c>
      <c r="AF175" s="1">
        <v>0.1191769</v>
      </c>
      <c r="AG175" s="1">
        <v>8.9330000000000007E-2</v>
      </c>
      <c r="AH175" s="1">
        <v>4.8000000000000001E-4</v>
      </c>
      <c r="AI175" s="1">
        <v>-0.44089</v>
      </c>
      <c r="AJ175" s="1">
        <v>8.8599999999999998E-2</v>
      </c>
      <c r="AK175" s="1">
        <v>2.8999999999999998E-3</v>
      </c>
      <c r="AL175" s="1">
        <v>4.601</v>
      </c>
      <c r="AM175" s="1">
        <v>6.0999999999999999E-2</v>
      </c>
      <c r="AN175" s="1">
        <v>1350</v>
      </c>
      <c r="AO175" s="1">
        <v>22</v>
      </c>
      <c r="AP175" s="1">
        <v>1295</v>
      </c>
      <c r="AQ175" s="1">
        <v>31</v>
      </c>
      <c r="AR175" s="1">
        <v>1715</v>
      </c>
      <c r="AS175" s="1">
        <v>53</v>
      </c>
      <c r="AT175" s="1">
        <v>1411</v>
      </c>
      <c r="AU175" s="1">
        <v>10</v>
      </c>
      <c r="AV175" s="1">
        <v>37.72</v>
      </c>
      <c r="AW175" s="1">
        <v>0.61</v>
      </c>
      <c r="AX175" s="1">
        <v>7.8</v>
      </c>
      <c r="AY175" s="1">
        <v>0.4</v>
      </c>
      <c r="AZ175" s="1">
        <v>57318.3</v>
      </c>
      <c r="BA175" s="1">
        <v>1800.9</v>
      </c>
      <c r="BB175" s="1">
        <v>29062.799999999999</v>
      </c>
      <c r="BC175" s="1">
        <v>745.2</v>
      </c>
      <c r="BD175" s="1">
        <v>327267</v>
      </c>
      <c r="BE175" s="1">
        <v>8072.9999999999982</v>
      </c>
      <c r="BF175" s="1">
        <v>10.4328</v>
      </c>
      <c r="BG175" s="1">
        <v>5.6510999999999996</v>
      </c>
      <c r="BH175" s="1">
        <f t="shared" si="54"/>
        <v>31369.047619047618</v>
      </c>
      <c r="BI175" s="1">
        <f t="shared" si="55"/>
        <v>17009.178285198184</v>
      </c>
    </row>
    <row r="176" spans="1:61" s="24" customFormat="1" x14ac:dyDescent="0.2">
      <c r="A176" s="24" t="s">
        <v>212</v>
      </c>
      <c r="B176" s="24" t="s">
        <v>38</v>
      </c>
      <c r="C176" s="24" t="s">
        <v>213</v>
      </c>
      <c r="D176" s="24" t="s">
        <v>214</v>
      </c>
      <c r="E176" s="24">
        <v>80861</v>
      </c>
      <c r="F176" s="24">
        <v>54113</v>
      </c>
      <c r="G176" s="24" t="s">
        <v>214</v>
      </c>
      <c r="H176" s="25">
        <v>39.07</v>
      </c>
      <c r="I176" s="25">
        <v>74.599999999999994</v>
      </c>
      <c r="J176" s="26">
        <v>3</v>
      </c>
      <c r="K176" s="26">
        <f t="shared" ca="1" si="48"/>
        <v>0.13416407864998739</v>
      </c>
      <c r="L176" s="27">
        <v>0.19539999999999999</v>
      </c>
      <c r="M176" s="27">
        <f t="shared" ca="1" si="49"/>
        <v>7.1604793135655381E-3</v>
      </c>
      <c r="N176" s="27">
        <v>-9.4266999999999997E-3</v>
      </c>
      <c r="O176" s="27">
        <v>5.1177070000000002</v>
      </c>
      <c r="P176" s="27">
        <f t="shared" ca="1" si="50"/>
        <v>0.18753962134572952</v>
      </c>
      <c r="Q176" s="26">
        <v>0.11119999999999999</v>
      </c>
      <c r="R176" s="26">
        <f t="shared" ca="1" si="51"/>
        <v>5.932636513389304E-3</v>
      </c>
      <c r="S176" s="27">
        <f t="shared" si="52"/>
        <v>0.46804933816055538</v>
      </c>
      <c r="T176" s="26">
        <v>7.0199999999999999E-2</v>
      </c>
      <c r="U176" s="26">
        <f t="shared" ca="1" si="53"/>
        <v>3.5862537556620279E-3</v>
      </c>
      <c r="V176" s="25" t="e">
        <f ca="1">IF(agePb6U8(1/O176)&lt;1400,age7corr(1/O176,Q176,$W$2),agePb76(Q176))</f>
        <v>#NAME?</v>
      </c>
      <c r="W176" s="25" t="e">
        <f ca="1">IF(agePb6U8(1/O176)&lt;1400,ageer7corr(V176,1/O176,P176/O176*(1/O176),Q176,R176,$W$2,0.05),ageerPb76(Q176,R176))</f>
        <v>#NAME?</v>
      </c>
      <c r="X176" s="27" t="e">
        <f ca="1">agePb6U8(L176)/agePb7u5(J176)</f>
        <v>#NAME?</v>
      </c>
      <c r="Y176" s="25"/>
      <c r="Z176" s="25">
        <v>3</v>
      </c>
      <c r="AA176" s="25">
        <v>0.12</v>
      </c>
      <c r="AB176" s="25">
        <v>0.19539999999999999</v>
      </c>
      <c r="AC176" s="25">
        <v>6.0000000000000001E-3</v>
      </c>
      <c r="AD176" s="25">
        <v>-9.4266999999999997E-3</v>
      </c>
      <c r="AE176" s="25">
        <v>5.1177070000000002</v>
      </c>
      <c r="AF176" s="25">
        <v>0.1571456</v>
      </c>
      <c r="AG176" s="25">
        <v>0.11119999999999999</v>
      </c>
      <c r="AH176" s="25">
        <v>5.4999999999999997E-3</v>
      </c>
      <c r="AI176" s="25">
        <v>0.64158999999999999</v>
      </c>
      <c r="AJ176" s="25">
        <v>7.0199999999999999E-2</v>
      </c>
      <c r="AK176" s="25">
        <v>3.3E-3</v>
      </c>
      <c r="AL176" s="25">
        <v>1.5309999999999999</v>
      </c>
      <c r="AM176" s="25">
        <v>4.1000000000000002E-2</v>
      </c>
      <c r="AN176" s="25">
        <v>1412</v>
      </c>
      <c r="AO176" s="25">
        <v>27</v>
      </c>
      <c r="AP176" s="25">
        <v>1150</v>
      </c>
      <c r="AQ176" s="25">
        <v>32</v>
      </c>
      <c r="AR176" s="25">
        <v>1372</v>
      </c>
      <c r="AS176" s="25">
        <v>62</v>
      </c>
      <c r="AT176" s="25">
        <v>1807</v>
      </c>
      <c r="AU176" s="25">
        <v>90</v>
      </c>
      <c r="AV176" s="25">
        <v>8.39</v>
      </c>
      <c r="AW176" s="25">
        <v>0.16</v>
      </c>
      <c r="AX176" s="25">
        <v>5.7600000000000007</v>
      </c>
      <c r="AY176" s="25">
        <v>0.4</v>
      </c>
      <c r="AZ176" s="25">
        <v>33409.799999999996</v>
      </c>
      <c r="BA176" s="25">
        <v>745.2</v>
      </c>
      <c r="BB176" s="25">
        <v>6967.6200000000008</v>
      </c>
      <c r="BC176" s="25">
        <v>248.4</v>
      </c>
      <c r="BD176" s="25">
        <v>63031.500000000007</v>
      </c>
      <c r="BE176" s="25">
        <v>1614.6</v>
      </c>
      <c r="BF176" s="25">
        <v>158.976</v>
      </c>
      <c r="BG176" s="25">
        <v>27.945</v>
      </c>
      <c r="BH176" s="25">
        <f t="shared" si="54"/>
        <v>396.48437500000006</v>
      </c>
      <c r="BI176" s="25">
        <f t="shared" si="55"/>
        <v>70.430642469689531</v>
      </c>
    </row>
    <row r="177" spans="1:61" x14ac:dyDescent="0.2">
      <c r="A177" t="s">
        <v>215</v>
      </c>
      <c r="B177" t="s">
        <v>38</v>
      </c>
      <c r="C177" t="s">
        <v>216</v>
      </c>
      <c r="D177" t="s">
        <v>217</v>
      </c>
      <c r="E177">
        <v>80876</v>
      </c>
      <c r="F177">
        <v>54312</v>
      </c>
      <c r="G177" t="s">
        <v>217</v>
      </c>
      <c r="H177" s="1">
        <v>153.6</v>
      </c>
      <c r="I177" s="1">
        <v>82.5</v>
      </c>
      <c r="J177" s="11">
        <v>4.3419999999999996</v>
      </c>
      <c r="K177" s="11">
        <f t="shared" ca="1" si="48"/>
        <v>0.12221777939399814</v>
      </c>
      <c r="L177" s="8">
        <v>0.29060000000000002</v>
      </c>
      <c r="M177" s="8">
        <f t="shared" ca="1" si="49"/>
        <v>8.1405985037956517E-3</v>
      </c>
      <c r="N177" s="8">
        <v>0.96235000000000004</v>
      </c>
      <c r="O177" s="9">
        <v>3.4411559999999999</v>
      </c>
      <c r="P177" s="9">
        <f t="shared" ca="1" si="50"/>
        <v>9.6397351137525039E-2</v>
      </c>
      <c r="Q177" s="10">
        <v>0.10712000000000001</v>
      </c>
      <c r="R177" s="10">
        <f t="shared" ca="1" si="51"/>
        <v>2.2169298049329396E-3</v>
      </c>
      <c r="S177" s="9">
        <f t="shared" si="52"/>
        <v>0.42231908108924698</v>
      </c>
      <c r="T177" s="12">
        <v>0.1036</v>
      </c>
      <c r="U177" s="12">
        <f t="shared" ca="1" si="53"/>
        <v>2.7446646425383194E-3</v>
      </c>
      <c r="V177" s="6" t="e">
        <f ca="1">IF(agePb6U8(1/O177)&lt;1400,age7corr(1/O177,Q177,$W$2),agePb76(Q177))</f>
        <v>#NAME?</v>
      </c>
      <c r="W177" s="6" t="e">
        <f ca="1">IF(agePb6U8(1/O177)&lt;1400,ageer7corr(V177,1/O177,P177/O177*(1/O177),Q177,R177,$W$2,0.05),ageerPb76(Q177,R177))</f>
        <v>#NAME?</v>
      </c>
      <c r="X177" s="4" t="e">
        <f ca="1">agePb6U8(L177)/agePb7u5(J177)</f>
        <v>#NAME?</v>
      </c>
      <c r="Z177" s="1">
        <v>4.3419999999999996</v>
      </c>
      <c r="AA177" s="1">
        <v>8.5999999999999993E-2</v>
      </c>
      <c r="AB177" s="1">
        <v>0.29060000000000002</v>
      </c>
      <c r="AC177" s="1">
        <v>5.7000000000000002E-3</v>
      </c>
      <c r="AD177" s="1">
        <v>0.96235000000000004</v>
      </c>
      <c r="AE177" s="1">
        <v>3.4411559999999999</v>
      </c>
      <c r="AF177" s="1">
        <v>6.749687E-2</v>
      </c>
      <c r="AG177" s="1">
        <v>0.10712000000000001</v>
      </c>
      <c r="AH177" s="1">
        <v>5.6999999999999998E-4</v>
      </c>
      <c r="AI177" s="1">
        <v>-5.5967999999999997E-2</v>
      </c>
      <c r="AJ177" s="1">
        <v>0.1036</v>
      </c>
      <c r="AK177" s="1">
        <v>1.8E-3</v>
      </c>
      <c r="AL177" s="1">
        <v>5.5739999999999998</v>
      </c>
      <c r="AM177" s="1">
        <v>2.1000000000000001E-2</v>
      </c>
      <c r="AN177" s="1">
        <v>1701</v>
      </c>
      <c r="AO177" s="1">
        <v>16</v>
      </c>
      <c r="AP177" s="1">
        <v>1644</v>
      </c>
      <c r="AQ177" s="1">
        <v>28</v>
      </c>
      <c r="AR177" s="1">
        <v>1992</v>
      </c>
      <c r="AS177" s="1">
        <v>32</v>
      </c>
      <c r="AT177" s="1">
        <v>1750.9</v>
      </c>
      <c r="AU177" s="1">
        <v>9.6999999999999993</v>
      </c>
      <c r="AV177" s="1">
        <v>32.97</v>
      </c>
      <c r="AW177" s="1">
        <v>0.8</v>
      </c>
      <c r="AX177" s="1">
        <v>6.3650000000000002</v>
      </c>
      <c r="AY177" s="1">
        <v>8.3999999999999991E-2</v>
      </c>
      <c r="AZ177" s="1">
        <v>54896.4</v>
      </c>
      <c r="BA177" s="1">
        <v>1055.7</v>
      </c>
      <c r="BB177" s="1">
        <v>40365</v>
      </c>
      <c r="BC177" s="1">
        <v>869.4</v>
      </c>
      <c r="BD177" s="1">
        <v>380673</v>
      </c>
      <c r="BE177" s="1">
        <v>7452.0000000000009</v>
      </c>
      <c r="BF177" s="1">
        <v>43.47</v>
      </c>
      <c r="BG177" s="1">
        <v>8.0729999999999986</v>
      </c>
      <c r="BH177" s="1">
        <f t="shared" si="54"/>
        <v>8757.1428571428569</v>
      </c>
      <c r="BI177" s="1">
        <f t="shared" si="55"/>
        <v>1635.3365828707254</v>
      </c>
    </row>
    <row r="178" spans="1:61" x14ac:dyDescent="0.2">
      <c r="A178" t="s">
        <v>218</v>
      </c>
      <c r="B178" t="s">
        <v>38</v>
      </c>
      <c r="C178" t="s">
        <v>219</v>
      </c>
      <c r="D178" t="s">
        <v>220</v>
      </c>
      <c r="E178">
        <v>80950</v>
      </c>
      <c r="F178">
        <v>54775</v>
      </c>
      <c r="G178" t="s">
        <v>220</v>
      </c>
      <c r="H178" s="1">
        <v>13.6</v>
      </c>
      <c r="I178" s="1">
        <v>14.81</v>
      </c>
      <c r="J178" s="11">
        <v>2.25</v>
      </c>
      <c r="K178" s="11">
        <f t="shared" ca="1" si="48"/>
        <v>0.14705441169852743</v>
      </c>
      <c r="L178" s="8">
        <v>0.20300000000000001</v>
      </c>
      <c r="M178" s="8">
        <f t="shared" ca="1" si="49"/>
        <v>1.2668212186413678E-2</v>
      </c>
      <c r="N178" s="8">
        <v>0.98445000000000005</v>
      </c>
      <c r="O178" s="9">
        <v>4.9261080000000002</v>
      </c>
      <c r="P178" s="9">
        <f t="shared" ca="1" si="50"/>
        <v>0.30741369913085459</v>
      </c>
      <c r="Q178" s="10">
        <v>7.9600000000000004E-2</v>
      </c>
      <c r="R178" s="10">
        <f t="shared" ca="1" si="51"/>
        <v>1.9936057784827972E-3</v>
      </c>
      <c r="S178" s="9">
        <f t="shared" si="52"/>
        <v>0.2056274716021419</v>
      </c>
      <c r="T178" s="12">
        <v>7.0400000000000004E-2</v>
      </c>
      <c r="U178" s="12">
        <f t="shared" ca="1" si="53"/>
        <v>4.2405735461137802E-3</v>
      </c>
      <c r="V178" s="6" t="e">
        <f ca="1">IF(agePb6U8(1/O178)&lt;1400,age7corr(1/O178,Q178,$W$2),agePb76(Q178))</f>
        <v>#NAME?</v>
      </c>
      <c r="W178" s="6" t="e">
        <f ca="1">IF(agePb6U8(1/O178)&lt;1400,ageer7corr(V178,1/O178,P178/O178*(1/O178),Q178,R178,$W$2,0.05),ageerPb76(Q178,R178))</f>
        <v>#NAME?</v>
      </c>
      <c r="X178" s="4" t="e">
        <f ca="1">agePb6U8(L178)/agePb7u5(J178)</f>
        <v>#NAME?</v>
      </c>
      <c r="Z178" s="1">
        <v>2.25</v>
      </c>
      <c r="AA178" s="1">
        <v>0.14000000000000001</v>
      </c>
      <c r="AB178" s="1">
        <v>0.20300000000000001</v>
      </c>
      <c r="AC178" s="1">
        <v>1.2E-2</v>
      </c>
      <c r="AD178" s="1">
        <v>0.98445000000000005</v>
      </c>
      <c r="AE178" s="1">
        <v>4.9261080000000002</v>
      </c>
      <c r="AF178" s="1">
        <v>0.29119850000000003</v>
      </c>
      <c r="AG178" s="1">
        <v>7.9600000000000004E-2</v>
      </c>
      <c r="AH178" s="1">
        <v>1.1999999999999999E-3</v>
      </c>
      <c r="AI178" s="1">
        <v>-0.34794999999999998</v>
      </c>
      <c r="AJ178" s="1">
        <v>7.0400000000000004E-2</v>
      </c>
      <c r="AK178" s="1">
        <v>4.0000000000000001E-3</v>
      </c>
      <c r="AL178" s="1">
        <v>2.677</v>
      </c>
      <c r="AM178" s="1">
        <v>4.7E-2</v>
      </c>
      <c r="AN178" s="1">
        <v>1193</v>
      </c>
      <c r="AO178" s="1">
        <v>44</v>
      </c>
      <c r="AP178" s="1">
        <v>1188</v>
      </c>
      <c r="AQ178" s="1">
        <v>63</v>
      </c>
      <c r="AR178" s="1">
        <v>1374</v>
      </c>
      <c r="AS178" s="1">
        <v>75</v>
      </c>
      <c r="AT178" s="1">
        <v>1186</v>
      </c>
      <c r="AU178" s="1">
        <v>29</v>
      </c>
      <c r="AV178" s="1">
        <v>2.92</v>
      </c>
      <c r="AW178" s="1">
        <v>0.25999999999999995</v>
      </c>
      <c r="AX178" s="1">
        <v>1.143</v>
      </c>
      <c r="AY178" s="1">
        <v>3.4999999999999996E-2</v>
      </c>
      <c r="AZ178" s="1">
        <v>6644.7</v>
      </c>
      <c r="BA178" s="1">
        <v>161.45999999999998</v>
      </c>
      <c r="BB178" s="1">
        <v>1744.3890000000001</v>
      </c>
      <c r="BC178" s="1">
        <v>51.542999999999999</v>
      </c>
      <c r="BD178" s="1">
        <v>22231.8</v>
      </c>
      <c r="BE178" s="1">
        <v>621</v>
      </c>
      <c r="BF178" s="1">
        <v>-6.8310000000000004</v>
      </c>
      <c r="BG178" s="1">
        <v>6.8310000000000004</v>
      </c>
      <c r="BH178" s="1">
        <f t="shared" si="54"/>
        <v>-3254.545454545454</v>
      </c>
      <c r="BI178" s="1">
        <f t="shared" si="55"/>
        <v>-3255.8148870155978</v>
      </c>
    </row>
    <row r="179" spans="1:61" x14ac:dyDescent="0.2">
      <c r="A179" t="s">
        <v>221</v>
      </c>
      <c r="B179" t="s">
        <v>38</v>
      </c>
      <c r="C179" t="s">
        <v>222</v>
      </c>
      <c r="D179" t="s">
        <v>223</v>
      </c>
      <c r="E179">
        <v>80900</v>
      </c>
      <c r="F179">
        <v>54883</v>
      </c>
      <c r="G179" t="s">
        <v>223</v>
      </c>
      <c r="H179" s="1">
        <v>21.47</v>
      </c>
      <c r="I179" s="1">
        <v>23.4</v>
      </c>
      <c r="J179" s="11">
        <v>2.3769999999999998</v>
      </c>
      <c r="K179" s="11">
        <f t="shared" ca="1" si="48"/>
        <v>0.1044464053953031</v>
      </c>
      <c r="L179" s="8">
        <v>0.21429999999999999</v>
      </c>
      <c r="M179" s="8">
        <f t="shared" ca="1" si="49"/>
        <v>9.7882478513776922E-3</v>
      </c>
      <c r="N179" s="8">
        <v>0.95516000000000001</v>
      </c>
      <c r="O179" s="9">
        <v>4.6663560000000004</v>
      </c>
      <c r="P179" s="9">
        <f t="shared" ca="1" si="50"/>
        <v>0.2131378759505321</v>
      </c>
      <c r="Q179" s="10">
        <v>7.9189999999999997E-2</v>
      </c>
      <c r="R179" s="10">
        <f t="shared" ca="1" si="51"/>
        <v>1.7743794520902231E-3</v>
      </c>
      <c r="S179" s="9">
        <f t="shared" si="52"/>
        <v>0.47227169853601897</v>
      </c>
      <c r="T179" s="12">
        <v>8.0299999999999996E-2</v>
      </c>
      <c r="U179" s="12">
        <f t="shared" ca="1" si="53"/>
        <v>3.1415340201882266E-3</v>
      </c>
      <c r="V179" s="6" t="e">
        <f ca="1">IF(agePb6U8(1/O179)&lt;1400,age7corr(1/O179,Q179,$W$2),agePb76(Q179))</f>
        <v>#NAME?</v>
      </c>
      <c r="W179" s="6" t="e">
        <f ca="1">IF(agePb6U8(1/O179)&lt;1400,ageer7corr(V179,1/O179,P179/O179*(1/O179),Q179,R179,$W$2,0.05),ageerPb76(Q179,R179))</f>
        <v>#NAME?</v>
      </c>
      <c r="X179" s="4" t="e">
        <f ca="1">agePb6U8(L179)/agePb7u5(J179)</f>
        <v>#NAME?</v>
      </c>
      <c r="Z179" s="1">
        <v>2.3769999999999998</v>
      </c>
      <c r="AA179" s="1">
        <v>9.2999999999999999E-2</v>
      </c>
      <c r="AB179" s="1">
        <v>0.21429999999999999</v>
      </c>
      <c r="AC179" s="1">
        <v>8.8000000000000005E-3</v>
      </c>
      <c r="AD179" s="1">
        <v>0.95516000000000001</v>
      </c>
      <c r="AE179" s="1">
        <v>4.6663560000000004</v>
      </c>
      <c r="AF179" s="1">
        <v>0.19161890000000001</v>
      </c>
      <c r="AG179" s="1">
        <v>7.9189999999999997E-2</v>
      </c>
      <c r="AH179" s="1">
        <v>8.0000000000000004E-4</v>
      </c>
      <c r="AI179" s="1">
        <v>0.27089000000000002</v>
      </c>
      <c r="AJ179" s="1">
        <v>8.0299999999999996E-2</v>
      </c>
      <c r="AK179" s="1">
        <v>2.7000000000000001E-3</v>
      </c>
      <c r="AL179" s="1">
        <v>2.6150000000000002</v>
      </c>
      <c r="AM179" s="1">
        <v>0.03</v>
      </c>
      <c r="AN179" s="1">
        <v>1234</v>
      </c>
      <c r="AO179" s="1">
        <v>28</v>
      </c>
      <c r="AP179" s="1">
        <v>1251</v>
      </c>
      <c r="AQ179" s="1">
        <v>47</v>
      </c>
      <c r="AR179" s="1">
        <v>1560</v>
      </c>
      <c r="AS179" s="1">
        <v>51</v>
      </c>
      <c r="AT179" s="1">
        <v>1176</v>
      </c>
      <c r="AU179" s="1">
        <v>20</v>
      </c>
      <c r="AV179" s="1">
        <v>4.6100000000000003</v>
      </c>
      <c r="AW179" s="1">
        <v>0.12999999999999998</v>
      </c>
      <c r="AX179" s="1">
        <v>1.8069999999999999</v>
      </c>
      <c r="AY179" s="1">
        <v>9.5000000000000001E-2</v>
      </c>
      <c r="AZ179" s="1">
        <v>11780.37</v>
      </c>
      <c r="BA179" s="1">
        <v>378.81</v>
      </c>
      <c r="BB179" s="1">
        <v>3011.85</v>
      </c>
      <c r="BC179" s="1">
        <v>80.72999999999999</v>
      </c>
      <c r="BD179" s="1">
        <v>38191.5</v>
      </c>
      <c r="BE179" s="1">
        <v>993.6</v>
      </c>
      <c r="BF179" s="1">
        <v>1.3041</v>
      </c>
      <c r="BG179" s="1">
        <v>3.9744000000000006</v>
      </c>
      <c r="BH179" s="1">
        <f t="shared" si="54"/>
        <v>29285.714285714286</v>
      </c>
      <c r="BI179" s="1">
        <f t="shared" si="55"/>
        <v>89254.952653548025</v>
      </c>
    </row>
    <row r="180" spans="1:61" s="24" customFormat="1" x14ac:dyDescent="0.2">
      <c r="A180" s="24" t="s">
        <v>224</v>
      </c>
      <c r="B180" s="24" t="s">
        <v>38</v>
      </c>
      <c r="C180" s="24" t="s">
        <v>225</v>
      </c>
      <c r="D180" s="24" t="s">
        <v>226</v>
      </c>
      <c r="E180" s="24">
        <v>80912</v>
      </c>
      <c r="F180" s="24">
        <v>55145</v>
      </c>
      <c r="G180" s="24" t="s">
        <v>226</v>
      </c>
      <c r="H180" s="25">
        <v>117</v>
      </c>
      <c r="I180" s="25">
        <v>57.7</v>
      </c>
      <c r="J180" s="26">
        <v>2.0099999999999998</v>
      </c>
      <c r="K180" s="26">
        <f t="shared" ca="1" si="48"/>
        <v>0.19420617909840049</v>
      </c>
      <c r="L180" s="27">
        <v>0.17299999999999999</v>
      </c>
      <c r="M180" s="27">
        <f t="shared" ca="1" si="49"/>
        <v>1.5393881901586746E-2</v>
      </c>
      <c r="N180" s="27">
        <v>0.99604999999999999</v>
      </c>
      <c r="O180" s="27">
        <v>5.7803469999999999</v>
      </c>
      <c r="P180" s="27">
        <f t="shared" ca="1" si="50"/>
        <v>0.51434664518141215</v>
      </c>
      <c r="Q180" s="26">
        <v>8.3019999999999997E-2</v>
      </c>
      <c r="R180" s="26">
        <f t="shared" ca="1" si="51"/>
        <v>1.843075733658278E-3</v>
      </c>
      <c r="S180" s="27">
        <f t="shared" si="52"/>
        <v>0.29808606111027935</v>
      </c>
      <c r="T180" s="26">
        <v>7.0499999999999993E-2</v>
      </c>
      <c r="U180" s="26">
        <f t="shared" ca="1" si="53"/>
        <v>7.3367635916662868E-3</v>
      </c>
      <c r="V180" s="25" t="e">
        <f ca="1">IF(agePb6U8(1/O180)&lt;1400,age7corr(1/O180,Q180,$W$2),agePb76(Q180))</f>
        <v>#NAME?</v>
      </c>
      <c r="W180" s="25" t="e">
        <f ca="1">IF(agePb6U8(1/O180)&lt;1400,ageer7corr(V180,1/O180,P180/O180*(1/O180),Q180,R180,$W$2,0.05),ageerPb76(Q180,R180))</f>
        <v>#NAME?</v>
      </c>
      <c r="X180" s="27" t="e">
        <f ca="1">agePb6U8(L180)/agePb7u5(J180)</f>
        <v>#NAME?</v>
      </c>
      <c r="Y180" s="25"/>
      <c r="Z180" s="25">
        <v>2.0099999999999998</v>
      </c>
      <c r="AA180" s="25">
        <v>0.19</v>
      </c>
      <c r="AB180" s="25">
        <v>0.17299999999999999</v>
      </c>
      <c r="AC180" s="25">
        <v>1.4999999999999999E-2</v>
      </c>
      <c r="AD180" s="25">
        <v>0.99604999999999999</v>
      </c>
      <c r="AE180" s="25">
        <v>5.7803469999999999</v>
      </c>
      <c r="AF180" s="25">
        <v>0.50118609999999997</v>
      </c>
      <c r="AG180" s="25">
        <v>8.3019999999999997E-2</v>
      </c>
      <c r="AH180" s="25">
        <v>8.0000000000000004E-4</v>
      </c>
      <c r="AI180" s="25">
        <v>-0.55130999999999997</v>
      </c>
      <c r="AJ180" s="25">
        <v>7.0499999999999993E-2</v>
      </c>
      <c r="AK180" s="25">
        <v>7.1999999999999998E-3</v>
      </c>
      <c r="AL180" s="25">
        <v>4.7300000000000004</v>
      </c>
      <c r="AM180" s="25">
        <v>0.15</v>
      </c>
      <c r="AN180" s="25">
        <v>1109</v>
      </c>
      <c r="AO180" s="25">
        <v>65</v>
      </c>
      <c r="AP180" s="25">
        <v>1025</v>
      </c>
      <c r="AQ180" s="25">
        <v>85</v>
      </c>
      <c r="AR180" s="25">
        <v>1370</v>
      </c>
      <c r="AS180" s="25">
        <v>140</v>
      </c>
      <c r="AT180" s="25">
        <v>1269</v>
      </c>
      <c r="AU180" s="25">
        <v>19</v>
      </c>
      <c r="AV180" s="25">
        <v>25.1</v>
      </c>
      <c r="AW180" s="25">
        <v>4.5999999999999996</v>
      </c>
      <c r="AX180" s="25">
        <v>4.45</v>
      </c>
      <c r="AY180" s="25">
        <v>0.55000000000000004</v>
      </c>
      <c r="AZ180" s="25">
        <v>26019.899999999998</v>
      </c>
      <c r="BA180" s="25">
        <v>1366.1999999999998</v>
      </c>
      <c r="BB180" s="25">
        <v>12730.5</v>
      </c>
      <c r="BC180" s="25">
        <v>1055.7</v>
      </c>
      <c r="BD180" s="25">
        <v>154629</v>
      </c>
      <c r="BE180" s="25">
        <v>13041.000000000002</v>
      </c>
      <c r="BF180" s="25">
        <v>31.671000000000003</v>
      </c>
      <c r="BG180" s="25">
        <v>7.4519999999999991</v>
      </c>
      <c r="BH180" s="25">
        <f t="shared" si="54"/>
        <v>4882.3529411764703</v>
      </c>
      <c r="BI180" s="25">
        <f t="shared" si="55"/>
        <v>1220.3549371307311</v>
      </c>
    </row>
    <row r="181" spans="1:61" x14ac:dyDescent="0.2">
      <c r="A181" t="s">
        <v>227</v>
      </c>
      <c r="B181" t="s">
        <v>38</v>
      </c>
      <c r="C181" t="s">
        <v>228</v>
      </c>
      <c r="D181" t="s">
        <v>229</v>
      </c>
      <c r="E181">
        <v>80958</v>
      </c>
      <c r="F181">
        <v>55201</v>
      </c>
      <c r="G181" t="s">
        <v>229</v>
      </c>
      <c r="H181" s="1">
        <v>101.8</v>
      </c>
      <c r="I181" s="1">
        <v>82.3</v>
      </c>
      <c r="J181" s="11">
        <v>4.78</v>
      </c>
      <c r="K181" s="11">
        <f t="shared" ca="1" si="48"/>
        <v>0.1950368170371943</v>
      </c>
      <c r="L181" s="8">
        <v>0.29299999999999998</v>
      </c>
      <c r="M181" s="8">
        <f t="shared" ca="1" si="49"/>
        <v>1.2463530799897758E-2</v>
      </c>
      <c r="N181" s="8">
        <v>0.99395</v>
      </c>
      <c r="O181" s="9">
        <v>3.4129689999999999</v>
      </c>
      <c r="P181" s="9">
        <f t="shared" ca="1" si="50"/>
        <v>0.14517972441764862</v>
      </c>
      <c r="Q181" s="10">
        <v>0.11659</v>
      </c>
      <c r="R181" s="10">
        <f t="shared" ca="1" si="51"/>
        <v>2.3848042351522275E-3</v>
      </c>
      <c r="S181" s="9">
        <f t="shared" si="52"/>
        <v>0.3789285066560118</v>
      </c>
      <c r="T181" s="12">
        <v>0.12920000000000001</v>
      </c>
      <c r="U181" s="12">
        <f t="shared" ca="1" si="53"/>
        <v>6.3495713241131487E-3</v>
      </c>
      <c r="V181" s="6" t="e">
        <f ca="1">IF(agePb6U8(1/O181)&lt;1400,age7corr(1/O181,Q181,$W$2),agePb76(Q181))</f>
        <v>#NAME?</v>
      </c>
      <c r="W181" s="6" t="e">
        <f ca="1">IF(agePb6U8(1/O181)&lt;1400,ageer7corr(V181,1/O181,P181/O181*(1/O181),Q181,R181,$W$2,0.05),ageerPb76(Q181,R181))</f>
        <v>#NAME?</v>
      </c>
      <c r="X181" s="4" t="e">
        <f ca="1">agePb6U8(L181)/agePb7u5(J181)</f>
        <v>#NAME?</v>
      </c>
      <c r="Z181" s="1">
        <v>4.78</v>
      </c>
      <c r="AA181" s="1">
        <v>0.17</v>
      </c>
      <c r="AB181" s="1">
        <v>0.29299999999999998</v>
      </c>
      <c r="AC181" s="1">
        <v>1.0999999999999999E-2</v>
      </c>
      <c r="AD181" s="1">
        <v>0.99395</v>
      </c>
      <c r="AE181" s="1">
        <v>3.4129689999999999</v>
      </c>
      <c r="AF181" s="1">
        <v>0.128132</v>
      </c>
      <c r="AG181" s="1">
        <v>0.11659</v>
      </c>
      <c r="AH181" s="1">
        <v>5.0000000000000001E-4</v>
      </c>
      <c r="AI181" s="1">
        <v>-0.16385</v>
      </c>
      <c r="AJ181" s="1">
        <v>0.12920000000000001</v>
      </c>
      <c r="AK181" s="1">
        <v>5.7999999999999996E-3</v>
      </c>
      <c r="AL181" s="1">
        <v>2.97</v>
      </c>
      <c r="AM181" s="1">
        <v>0.22</v>
      </c>
      <c r="AN181" s="1">
        <v>1779</v>
      </c>
      <c r="AO181" s="1">
        <v>31</v>
      </c>
      <c r="AP181" s="1">
        <v>1656</v>
      </c>
      <c r="AQ181" s="1">
        <v>53</v>
      </c>
      <c r="AR181" s="1">
        <v>2450</v>
      </c>
      <c r="AS181" s="1">
        <v>100</v>
      </c>
      <c r="AT181" s="1">
        <v>1904.6</v>
      </c>
      <c r="AU181" s="1">
        <v>7.8</v>
      </c>
      <c r="AV181" s="1">
        <v>21.83</v>
      </c>
      <c r="AW181" s="1">
        <v>0.83</v>
      </c>
      <c r="AX181" s="1">
        <v>6.35</v>
      </c>
      <c r="AY181" s="1">
        <v>0.42000000000000004</v>
      </c>
      <c r="AZ181" s="1">
        <v>68806.8</v>
      </c>
      <c r="BA181" s="1">
        <v>4905.8999999999996</v>
      </c>
      <c r="BB181" s="1">
        <v>29062.799999999999</v>
      </c>
      <c r="BC181" s="1">
        <v>745.2</v>
      </c>
      <c r="BD181" s="1">
        <v>250884</v>
      </c>
      <c r="BE181" s="1">
        <v>6210</v>
      </c>
      <c r="BF181" s="1">
        <v>1.9251</v>
      </c>
      <c r="BG181" s="1">
        <v>5.7752999999999997</v>
      </c>
      <c r="BH181" s="1">
        <f t="shared" si="54"/>
        <v>130322.58064516129</v>
      </c>
      <c r="BI181" s="1">
        <f t="shared" si="55"/>
        <v>390981.04949139711</v>
      </c>
    </row>
    <row r="182" spans="1:61" x14ac:dyDescent="0.2">
      <c r="A182" t="s">
        <v>236</v>
      </c>
      <c r="B182" t="s">
        <v>38</v>
      </c>
      <c r="C182" t="s">
        <v>237</v>
      </c>
      <c r="D182" t="s">
        <v>238</v>
      </c>
      <c r="E182">
        <v>80919</v>
      </c>
      <c r="F182">
        <v>55244</v>
      </c>
      <c r="G182" t="s">
        <v>238</v>
      </c>
      <c r="H182" s="1">
        <v>195.9</v>
      </c>
      <c r="I182" s="1">
        <v>66</v>
      </c>
      <c r="J182" s="11">
        <v>2.81</v>
      </c>
      <c r="K182" s="11">
        <f t="shared" ca="1" si="48"/>
        <v>0.1235250581865882</v>
      </c>
      <c r="L182" s="8">
        <v>0.2283</v>
      </c>
      <c r="M182" s="8">
        <f t="shared" ca="1" si="49"/>
        <v>8.6103632908257708E-3</v>
      </c>
      <c r="N182" s="8">
        <v>0.97230000000000005</v>
      </c>
      <c r="O182" s="9">
        <v>4.3802009999999996</v>
      </c>
      <c r="P182" s="9">
        <f t="shared" ca="1" si="50"/>
        <v>0.16519984201312177</v>
      </c>
      <c r="Q182" s="10">
        <v>8.8910000000000003E-2</v>
      </c>
      <c r="R182" s="10">
        <f t="shared" ca="1" si="51"/>
        <v>1.9840350904154896E-3</v>
      </c>
      <c r="S182" s="9">
        <f t="shared" si="52"/>
        <v>0.34110632874501712</v>
      </c>
      <c r="T182" s="12">
        <v>8.9899999999999994E-2</v>
      </c>
      <c r="U182" s="12">
        <f t="shared" ca="1" si="53"/>
        <v>3.0794161784338278E-3</v>
      </c>
      <c r="V182" s="6" t="e">
        <f ca="1">IF(agePb6U8(1/O182)&lt;1400,age7corr(1/O182,Q182,$W$2),agePb76(Q182))</f>
        <v>#NAME?</v>
      </c>
      <c r="W182" s="6" t="e">
        <f ca="1">IF(agePb6U8(1/O182)&lt;1400,ageer7corr(V182,1/O182,P182/O182*(1/O182),Q182,R182,$W$2,0.05),ageerPb76(Q182,R182))</f>
        <v>#NAME?</v>
      </c>
      <c r="X182" s="4" t="e">
        <f ca="1">agePb6U8(L182)/agePb7u5(J182)</f>
        <v>#NAME?</v>
      </c>
      <c r="Z182" s="1">
        <v>2.81</v>
      </c>
      <c r="AA182" s="1">
        <v>0.11</v>
      </c>
      <c r="AB182" s="1">
        <v>0.2283</v>
      </c>
      <c r="AC182" s="1">
        <v>7.3000000000000001E-3</v>
      </c>
      <c r="AD182" s="1">
        <v>0.97230000000000005</v>
      </c>
      <c r="AE182" s="1">
        <v>4.3802009999999996</v>
      </c>
      <c r="AF182" s="1">
        <v>0.14005899999999999</v>
      </c>
      <c r="AG182" s="1">
        <v>8.8910000000000003E-2</v>
      </c>
      <c r="AH182" s="1">
        <v>8.8000000000000003E-4</v>
      </c>
      <c r="AI182" s="1">
        <v>-0.25468000000000002</v>
      </c>
      <c r="AJ182" s="1">
        <v>8.9899999999999994E-2</v>
      </c>
      <c r="AK182" s="1">
        <v>2.5000000000000001E-3</v>
      </c>
      <c r="AL182" s="1">
        <v>7.843</v>
      </c>
      <c r="AM182" s="1">
        <v>3.7999999999999999E-2</v>
      </c>
      <c r="AN182" s="1">
        <v>1363</v>
      </c>
      <c r="AO182" s="1">
        <v>27</v>
      </c>
      <c r="AP182" s="1">
        <v>1325</v>
      </c>
      <c r="AQ182" s="1">
        <v>38</v>
      </c>
      <c r="AR182" s="1">
        <v>1740</v>
      </c>
      <c r="AS182" s="1">
        <v>47</v>
      </c>
      <c r="AT182" s="1">
        <v>1402</v>
      </c>
      <c r="AU182" s="1">
        <v>19</v>
      </c>
      <c r="AV182" s="1">
        <v>42</v>
      </c>
      <c r="AW182" s="1">
        <v>1.5</v>
      </c>
      <c r="AX182" s="1">
        <v>5.09</v>
      </c>
      <c r="AY182" s="1">
        <v>0.11</v>
      </c>
      <c r="AZ182" s="1">
        <v>38129.4</v>
      </c>
      <c r="BA182" s="1">
        <v>1242</v>
      </c>
      <c r="BB182" s="1">
        <v>32416.2</v>
      </c>
      <c r="BC182" s="1">
        <v>1117.8000000000002</v>
      </c>
      <c r="BD182" s="1">
        <v>368874</v>
      </c>
      <c r="BE182" s="1">
        <v>9315</v>
      </c>
      <c r="BF182" s="1">
        <v>37.26</v>
      </c>
      <c r="BG182" s="1">
        <v>6.2099999999999991</v>
      </c>
      <c r="BH182" s="1">
        <f t="shared" si="54"/>
        <v>9900</v>
      </c>
      <c r="BI182" s="1">
        <f t="shared" si="55"/>
        <v>1668.8319268278635</v>
      </c>
    </row>
    <row r="183" spans="1:61" x14ac:dyDescent="0.2">
      <c r="A183" t="s">
        <v>239</v>
      </c>
      <c r="B183" t="s">
        <v>38</v>
      </c>
      <c r="C183" t="s">
        <v>240</v>
      </c>
      <c r="D183" t="s">
        <v>241</v>
      </c>
      <c r="E183">
        <v>80921</v>
      </c>
      <c r="F183">
        <v>55444</v>
      </c>
      <c r="G183" t="s">
        <v>241</v>
      </c>
      <c r="H183" s="1">
        <v>175.8</v>
      </c>
      <c r="I183" s="1">
        <v>20.9</v>
      </c>
      <c r="J183" s="11">
        <v>2.46</v>
      </c>
      <c r="K183" s="11">
        <f t="shared" ca="1" si="48"/>
        <v>0.11144792505919525</v>
      </c>
      <c r="L183" s="8">
        <v>0.2104</v>
      </c>
      <c r="M183" s="8">
        <f t="shared" ca="1" si="49"/>
        <v>9.4845803280904327E-3</v>
      </c>
      <c r="N183" s="8">
        <v>0.98655999999999999</v>
      </c>
      <c r="O183" s="9">
        <v>4.7528519999999999</v>
      </c>
      <c r="P183" s="9">
        <f t="shared" ca="1" si="50"/>
        <v>0.21425287719916764</v>
      </c>
      <c r="Q183" s="10">
        <v>8.3540000000000003E-2</v>
      </c>
      <c r="R183" s="10">
        <f t="shared" ca="1" si="51"/>
        <v>1.7469037294596402E-3</v>
      </c>
      <c r="S183" s="9">
        <f t="shared" si="52"/>
        <v>0.4908166293802364</v>
      </c>
      <c r="T183" s="12">
        <v>8.8900000000000007E-2</v>
      </c>
      <c r="U183" s="12">
        <f t="shared" ca="1" si="53"/>
        <v>3.6607764203786058E-3</v>
      </c>
      <c r="V183" s="6" t="e">
        <f ca="1">IF(agePb6U8(1/O183)&lt;1400,age7corr(1/O183,Q183,$W$2),agePb76(Q183))</f>
        <v>#NAME?</v>
      </c>
      <c r="W183" s="6" t="e">
        <f ca="1">IF(agePb6U8(1/O183)&lt;1400,ageer7corr(V183,1/O183,P183/O183*(1/O183),Q183,R183,$W$2,0.05),ageerPb76(Q183,R183))</f>
        <v>#NAME?</v>
      </c>
      <c r="X183" s="4" t="e">
        <f ca="1">agePb6U8(L183)/agePb7u5(J183)</f>
        <v>#NAME?</v>
      </c>
      <c r="Z183" s="1">
        <v>2.46</v>
      </c>
      <c r="AA183" s="1">
        <v>0.1</v>
      </c>
      <c r="AB183" s="1">
        <v>0.2104</v>
      </c>
      <c r="AC183" s="1">
        <v>8.5000000000000006E-3</v>
      </c>
      <c r="AD183" s="1">
        <v>0.98655999999999999</v>
      </c>
      <c r="AE183" s="1">
        <v>4.7528519999999999</v>
      </c>
      <c r="AF183" s="1">
        <v>0.1920116</v>
      </c>
      <c r="AG183" s="1">
        <v>8.3540000000000003E-2</v>
      </c>
      <c r="AH183" s="1">
        <v>5.1000000000000004E-4</v>
      </c>
      <c r="AI183" s="1">
        <v>0.27233000000000002</v>
      </c>
      <c r="AJ183" s="1">
        <v>8.8900000000000007E-2</v>
      </c>
      <c r="AK183" s="1">
        <v>3.2000000000000002E-3</v>
      </c>
      <c r="AL183" s="1">
        <v>21.37</v>
      </c>
      <c r="AM183" s="1">
        <v>0.83</v>
      </c>
      <c r="AN183" s="1">
        <v>1257</v>
      </c>
      <c r="AO183" s="1">
        <v>30</v>
      </c>
      <c r="AP183" s="1">
        <v>1230</v>
      </c>
      <c r="AQ183" s="1">
        <v>45</v>
      </c>
      <c r="AR183" s="1">
        <v>1721</v>
      </c>
      <c r="AS183" s="1">
        <v>60</v>
      </c>
      <c r="AT183" s="1">
        <v>1285</v>
      </c>
      <c r="AU183" s="1">
        <v>11</v>
      </c>
      <c r="AV183" s="1">
        <v>37.699999999999996</v>
      </c>
      <c r="AW183" s="1">
        <v>1.1000000000000001</v>
      </c>
      <c r="AX183" s="1">
        <v>1.61</v>
      </c>
      <c r="AY183" s="1">
        <v>0.12000000000000001</v>
      </c>
      <c r="AZ183" s="1">
        <v>11805.210000000001</v>
      </c>
      <c r="BA183" s="1">
        <v>385.02</v>
      </c>
      <c r="BB183" s="1">
        <v>25467.210000000003</v>
      </c>
      <c r="BC183" s="1">
        <v>608.57999999999993</v>
      </c>
      <c r="BD183" s="1">
        <v>309878.99999999994</v>
      </c>
      <c r="BE183" s="1">
        <v>8072.9999999999982</v>
      </c>
      <c r="BF183" s="1">
        <v>4.1607000000000003</v>
      </c>
      <c r="BG183" s="1">
        <v>4.7196000000000007</v>
      </c>
      <c r="BH183" s="1">
        <f t="shared" si="54"/>
        <v>74477.611940298491</v>
      </c>
      <c r="BI183" s="1">
        <f t="shared" si="55"/>
        <v>84504.345742989608</v>
      </c>
    </row>
    <row r="184" spans="1:61" x14ac:dyDescent="0.2">
      <c r="A184" t="s">
        <v>242</v>
      </c>
      <c r="B184" t="s">
        <v>38</v>
      </c>
      <c r="C184" t="s">
        <v>243</v>
      </c>
      <c r="D184" t="s">
        <v>244</v>
      </c>
      <c r="E184">
        <v>80926</v>
      </c>
      <c r="F184">
        <v>55523</v>
      </c>
      <c r="G184" t="s">
        <v>244</v>
      </c>
      <c r="H184" s="1">
        <v>243</v>
      </c>
      <c r="I184" s="1">
        <v>64.5</v>
      </c>
      <c r="J184" s="11">
        <v>3.14</v>
      </c>
      <c r="K184" s="11">
        <f t="shared" ca="1" si="48"/>
        <v>0.15344002085505595</v>
      </c>
      <c r="L184" s="8">
        <v>0.23400000000000001</v>
      </c>
      <c r="M184" s="8">
        <f t="shared" ca="1" si="49"/>
        <v>1.1954179185540093E-2</v>
      </c>
      <c r="N184" s="8">
        <v>0.98841000000000001</v>
      </c>
      <c r="O184" s="9">
        <v>4.273504</v>
      </c>
      <c r="P184" s="9">
        <f t="shared" ca="1" si="50"/>
        <v>0.218317220604895</v>
      </c>
      <c r="Q184" s="10">
        <v>9.7449999999999995E-2</v>
      </c>
      <c r="R184" s="10">
        <f t="shared" ca="1" si="51"/>
        <v>2.1030218734002745E-3</v>
      </c>
      <c r="S184" s="9">
        <f t="shared" si="52"/>
        <v>0.34978822261680825</v>
      </c>
      <c r="T184" s="12">
        <v>9.9900000000000003E-2</v>
      </c>
      <c r="U184" s="12">
        <f t="shared" ca="1" si="53"/>
        <v>4.7415191658370425E-3</v>
      </c>
      <c r="V184" s="6" t="e">
        <f ca="1">IF(agePb6U8(1/O184)&lt;1400,age7corr(1/O184,Q184,$W$2),agePb76(Q184))</f>
        <v>#NAME?</v>
      </c>
      <c r="W184" s="6" t="e">
        <f ca="1">IF(agePb6U8(1/O184)&lt;1400,ageer7corr(V184,1/O184,P184/O184*(1/O184),Q184,R184,$W$2,0.05),ageerPb76(Q184,R184))</f>
        <v>#NAME?</v>
      </c>
      <c r="X184" s="4" t="e">
        <f ca="1">agePb6U8(L184)/agePb7u5(J184)</f>
        <v>#NAME?</v>
      </c>
      <c r="Z184" s="1">
        <v>3.14</v>
      </c>
      <c r="AA184" s="1">
        <v>0.14000000000000001</v>
      </c>
      <c r="AB184" s="1">
        <v>0.23400000000000001</v>
      </c>
      <c r="AC184" s="1">
        <v>1.0999999999999999E-2</v>
      </c>
      <c r="AD184" s="1">
        <v>0.98841000000000001</v>
      </c>
      <c r="AE184" s="1">
        <v>4.273504</v>
      </c>
      <c r="AF184" s="1">
        <v>0.20089119999999999</v>
      </c>
      <c r="AG184" s="1">
        <v>9.7449999999999995E-2</v>
      </c>
      <c r="AH184" s="1">
        <v>7.9000000000000001E-4</v>
      </c>
      <c r="AI184" s="1">
        <v>-8.4795999999999996E-2</v>
      </c>
      <c r="AJ184" s="1">
        <v>9.9900000000000003E-2</v>
      </c>
      <c r="AK184" s="1">
        <v>4.3E-3</v>
      </c>
      <c r="AL184" s="1">
        <v>9.1159999999999997</v>
      </c>
      <c r="AM184" s="1">
        <v>4.1000000000000002E-2</v>
      </c>
      <c r="AN184" s="1">
        <v>1451</v>
      </c>
      <c r="AO184" s="1">
        <v>39</v>
      </c>
      <c r="AP184" s="1">
        <v>1353</v>
      </c>
      <c r="AQ184" s="1">
        <v>58</v>
      </c>
      <c r="AR184" s="1">
        <v>1924</v>
      </c>
      <c r="AS184" s="1">
        <v>80</v>
      </c>
      <c r="AT184" s="1">
        <v>1576</v>
      </c>
      <c r="AU184" s="1">
        <v>15</v>
      </c>
      <c r="AV184" s="1">
        <v>52.2</v>
      </c>
      <c r="AW184" s="1">
        <v>2.4</v>
      </c>
      <c r="AX184" s="1">
        <v>4.9800000000000004</v>
      </c>
      <c r="AY184" s="1">
        <v>0.11</v>
      </c>
      <c r="AZ184" s="1">
        <v>40861.799999999996</v>
      </c>
      <c r="BA184" s="1">
        <v>1304.0999999999999</v>
      </c>
      <c r="BB184" s="1">
        <v>44774.1</v>
      </c>
      <c r="BC184" s="1">
        <v>1552.5</v>
      </c>
      <c r="BD184" s="1">
        <v>463266</v>
      </c>
      <c r="BE184" s="1">
        <v>13662</v>
      </c>
      <c r="BF184" s="1">
        <v>4.5332999999999997</v>
      </c>
      <c r="BG184" s="1">
        <v>4.4712000000000005</v>
      </c>
      <c r="BH184" s="1">
        <f t="shared" si="54"/>
        <v>102191.78082191781</v>
      </c>
      <c r="BI184" s="1">
        <f t="shared" si="55"/>
        <v>100836.93845655546</v>
      </c>
    </row>
    <row r="185" spans="1:61" x14ac:dyDescent="0.2">
      <c r="A185" t="s">
        <v>245</v>
      </c>
      <c r="B185" t="s">
        <v>38</v>
      </c>
      <c r="C185" t="s">
        <v>246</v>
      </c>
      <c r="D185" t="s">
        <v>247</v>
      </c>
      <c r="E185">
        <v>80899</v>
      </c>
      <c r="F185">
        <v>55929</v>
      </c>
      <c r="G185" t="s">
        <v>247</v>
      </c>
      <c r="H185" s="1">
        <v>50.3</v>
      </c>
      <c r="I185" s="1">
        <v>41.8</v>
      </c>
      <c r="J185" s="11">
        <v>2.36</v>
      </c>
      <c r="K185" s="11">
        <f t="shared" ca="1" si="48"/>
        <v>0.1196989557180847</v>
      </c>
      <c r="L185" s="8">
        <v>0.21160000000000001</v>
      </c>
      <c r="M185" s="8">
        <f t="shared" ca="1" si="49"/>
        <v>1.076660689353893E-2</v>
      </c>
      <c r="N185" s="8">
        <v>0.96938999999999997</v>
      </c>
      <c r="O185" s="9">
        <v>4.7258979999999999</v>
      </c>
      <c r="P185" s="9">
        <f t="shared" ca="1" si="50"/>
        <v>0.24046259534873943</v>
      </c>
      <c r="Q185" s="10">
        <v>8.0729999999999996E-2</v>
      </c>
      <c r="R185" s="10">
        <f t="shared" ca="1" si="51"/>
        <v>1.7638121101750039E-3</v>
      </c>
      <c r="S185" s="9">
        <f t="shared" si="52"/>
        <v>0.41889439200698059</v>
      </c>
      <c r="T185" s="12">
        <v>9.0200000000000002E-2</v>
      </c>
      <c r="U185" s="12">
        <f t="shared" ca="1" si="53"/>
        <v>3.3308281252565405E-3</v>
      </c>
      <c r="V185" s="6" t="e">
        <f ca="1">IF(agePb6U8(1/O185)&lt;1400,age7corr(1/O185,Q185,$W$2),agePb76(Q185))</f>
        <v>#NAME?</v>
      </c>
      <c r="W185" s="6" t="e">
        <f ca="1">IF(agePb6U8(1/O185)&lt;1400,ageer7corr(V185,1/O185,P185/O185*(1/O185),Q185,R185,$W$2,0.05),ageerPb76(Q185,R185))</f>
        <v>#NAME?</v>
      </c>
      <c r="X185" s="4" t="e">
        <f ca="1">agePb6U8(L185)/agePb7u5(J185)</f>
        <v>#NAME?</v>
      </c>
      <c r="Z185" s="1">
        <v>2.36</v>
      </c>
      <c r="AA185" s="1">
        <v>0.11</v>
      </c>
      <c r="AB185" s="1">
        <v>0.21160000000000001</v>
      </c>
      <c r="AC185" s="1">
        <v>9.9000000000000008E-3</v>
      </c>
      <c r="AD185" s="1">
        <v>0.96938999999999997</v>
      </c>
      <c r="AE185" s="1">
        <v>4.7258979999999999</v>
      </c>
      <c r="AF185" s="1">
        <v>0.22110769999999999</v>
      </c>
      <c r="AG185" s="1">
        <v>8.0729999999999996E-2</v>
      </c>
      <c r="AH185" s="1">
        <v>7.1000000000000002E-4</v>
      </c>
      <c r="AI185" s="1">
        <v>-0.18779000000000001</v>
      </c>
      <c r="AJ185" s="1">
        <v>9.0200000000000002E-2</v>
      </c>
      <c r="AK185" s="1">
        <v>2.8E-3</v>
      </c>
      <c r="AL185" s="1">
        <v>3.004</v>
      </c>
      <c r="AM185" s="1">
        <v>0.02</v>
      </c>
      <c r="AN185" s="1">
        <v>1238</v>
      </c>
      <c r="AO185" s="1">
        <v>36</v>
      </c>
      <c r="AP185" s="1">
        <v>1236</v>
      </c>
      <c r="AQ185" s="1">
        <v>53</v>
      </c>
      <c r="AR185" s="1">
        <v>1746</v>
      </c>
      <c r="AS185" s="1">
        <v>51</v>
      </c>
      <c r="AT185" s="1">
        <v>1214</v>
      </c>
      <c r="AU185" s="1">
        <v>17</v>
      </c>
      <c r="AV185" s="1">
        <v>10.79</v>
      </c>
      <c r="AW185" s="1">
        <v>0.32</v>
      </c>
      <c r="AX185" s="1">
        <v>3.22</v>
      </c>
      <c r="AY185" s="1">
        <v>0.1</v>
      </c>
      <c r="AZ185" s="1">
        <v>23784.3</v>
      </c>
      <c r="BA185" s="1">
        <v>621</v>
      </c>
      <c r="BB185" s="1">
        <v>7147.71</v>
      </c>
      <c r="BC185" s="1">
        <v>198.71999999999997</v>
      </c>
      <c r="BD185" s="1">
        <v>89113.5</v>
      </c>
      <c r="BE185" s="1">
        <v>2173.5</v>
      </c>
      <c r="BF185" s="1">
        <v>4.7196000000000007</v>
      </c>
      <c r="BG185" s="1">
        <v>5.7131999999999996</v>
      </c>
      <c r="BH185" s="1">
        <f t="shared" si="54"/>
        <v>18881.57894736842</v>
      </c>
      <c r="BI185" s="1">
        <f t="shared" si="55"/>
        <v>22861.28717725167</v>
      </c>
    </row>
    <row r="186" spans="1:61" x14ac:dyDescent="0.2">
      <c r="A186" t="s">
        <v>248</v>
      </c>
      <c r="B186" t="s">
        <v>38</v>
      </c>
      <c r="C186" t="s">
        <v>249</v>
      </c>
      <c r="D186" t="s">
        <v>250</v>
      </c>
      <c r="E186">
        <v>80885</v>
      </c>
      <c r="F186">
        <v>56066</v>
      </c>
      <c r="G186" t="s">
        <v>250</v>
      </c>
      <c r="H186" s="1">
        <v>103.6</v>
      </c>
      <c r="I186" s="1">
        <v>68.599999999999994</v>
      </c>
      <c r="J186" s="11">
        <v>3.91</v>
      </c>
      <c r="K186" s="11">
        <f t="shared" ca="1" si="48"/>
        <v>0.16916039725656828</v>
      </c>
      <c r="L186" s="8">
        <v>0.26090000000000002</v>
      </c>
      <c r="M186" s="8">
        <f t="shared" ca="1" si="49"/>
        <v>1.0751163843975219E-2</v>
      </c>
      <c r="N186" s="8">
        <v>0.97702999999999995</v>
      </c>
      <c r="O186" s="9">
        <v>3.8328859999999998</v>
      </c>
      <c r="P186" s="9">
        <f t="shared" ca="1" si="50"/>
        <v>0.15794556269474114</v>
      </c>
      <c r="Q186" s="10">
        <v>0.10712000000000001</v>
      </c>
      <c r="R186" s="10">
        <f t="shared" ca="1" si="51"/>
        <v>2.3517605660440862E-3</v>
      </c>
      <c r="S186" s="9">
        <f t="shared" si="52"/>
        <v>0.43555533167633692</v>
      </c>
      <c r="T186" s="12">
        <v>0.1017</v>
      </c>
      <c r="U186" s="12">
        <f t="shared" ca="1" si="53"/>
        <v>5.3978844003924357E-3</v>
      </c>
      <c r="V186" s="6" t="e">
        <f ca="1">IF(agePb6U8(1/O186)&lt;1400,age7corr(1/O186,Q186,$W$2),agePb76(Q186))</f>
        <v>#NAME?</v>
      </c>
      <c r="W186" s="6" t="e">
        <f ca="1">IF(agePb6U8(1/O186)&lt;1400,ageer7corr(V186,1/O186,P186/O186*(1/O186),Q186,R186,$W$2,0.05),ageerPb76(Q186,R186))</f>
        <v>#NAME?</v>
      </c>
      <c r="X186" s="4" t="e">
        <f ca="1">agePb6U8(L186)/agePb7u5(J186)</f>
        <v>#NAME?</v>
      </c>
      <c r="Z186" s="1">
        <v>3.91</v>
      </c>
      <c r="AA186" s="1">
        <v>0.15</v>
      </c>
      <c r="AB186" s="1">
        <v>0.26090000000000002</v>
      </c>
      <c r="AC186" s="1">
        <v>9.4000000000000004E-3</v>
      </c>
      <c r="AD186" s="1">
        <v>0.97702999999999995</v>
      </c>
      <c r="AE186" s="1">
        <v>3.8328859999999998</v>
      </c>
      <c r="AF186" s="1">
        <v>0.13809560000000001</v>
      </c>
      <c r="AG186" s="1">
        <v>0.10712000000000001</v>
      </c>
      <c r="AH186" s="1">
        <v>9.7000000000000005E-4</v>
      </c>
      <c r="AI186" s="1">
        <v>0.10739</v>
      </c>
      <c r="AJ186" s="1">
        <v>0.1017</v>
      </c>
      <c r="AK186" s="1">
        <v>5.0000000000000001E-3</v>
      </c>
      <c r="AL186" s="1">
        <v>4.165</v>
      </c>
      <c r="AM186" s="1">
        <v>4.7E-2</v>
      </c>
      <c r="AN186" s="1">
        <v>1622</v>
      </c>
      <c r="AO186" s="1">
        <v>34</v>
      </c>
      <c r="AP186" s="1">
        <v>1494</v>
      </c>
      <c r="AQ186" s="1">
        <v>48</v>
      </c>
      <c r="AR186" s="1">
        <v>1957</v>
      </c>
      <c r="AS186" s="1">
        <v>92</v>
      </c>
      <c r="AT186" s="1">
        <v>1751</v>
      </c>
      <c r="AU186" s="1">
        <v>16</v>
      </c>
      <c r="AV186" s="1">
        <v>22.2</v>
      </c>
      <c r="AW186" s="1">
        <v>1.3</v>
      </c>
      <c r="AX186" s="1">
        <v>5.29</v>
      </c>
      <c r="AY186" s="1">
        <v>0.16</v>
      </c>
      <c r="AZ186" s="1">
        <v>44153.100000000006</v>
      </c>
      <c r="BA186" s="1">
        <v>2049.3000000000002</v>
      </c>
      <c r="BB186" s="1">
        <v>24343.200000000001</v>
      </c>
      <c r="BC186" s="1">
        <v>1428.3</v>
      </c>
      <c r="BD186" s="1">
        <v>229149</v>
      </c>
      <c r="BE186" s="1">
        <v>11799</v>
      </c>
      <c r="BF186" s="1">
        <v>-6.2099999999999991</v>
      </c>
      <c r="BG186" s="1">
        <v>6.2099999999999991</v>
      </c>
      <c r="BH186" s="1">
        <f t="shared" si="54"/>
        <v>-36900.000000000007</v>
      </c>
      <c r="BI186" s="1">
        <f t="shared" si="55"/>
        <v>-36948.883609657285</v>
      </c>
    </row>
    <row r="187" spans="1:61" x14ac:dyDescent="0.2">
      <c r="A187" t="s">
        <v>251</v>
      </c>
      <c r="B187" t="s">
        <v>38</v>
      </c>
      <c r="C187" t="s">
        <v>252</v>
      </c>
      <c r="D187" t="s">
        <v>253</v>
      </c>
      <c r="E187">
        <v>80571</v>
      </c>
      <c r="F187">
        <v>51581</v>
      </c>
      <c r="G187" t="s">
        <v>253</v>
      </c>
      <c r="H187" s="1">
        <v>60.7</v>
      </c>
      <c r="I187" s="1">
        <v>44.7</v>
      </c>
      <c r="J187" s="11">
        <v>2.1829999999999998</v>
      </c>
      <c r="K187" s="11">
        <f t="shared" ca="1" si="48"/>
        <v>0.10546182057977191</v>
      </c>
      <c r="L187" s="8">
        <v>0.19539999999999999</v>
      </c>
      <c r="M187" s="8">
        <f t="shared" ca="1" si="49"/>
        <v>9.2645811562099226E-3</v>
      </c>
      <c r="N187" s="8">
        <v>0.98241999999999996</v>
      </c>
      <c r="O187" s="9">
        <v>5.1177070000000002</v>
      </c>
      <c r="P187" s="9">
        <f t="shared" ca="1" si="50"/>
        <v>0.24264797957036363</v>
      </c>
      <c r="Q187" s="10">
        <v>8.0350000000000005E-2</v>
      </c>
      <c r="R187" s="10">
        <f t="shared" ca="1" si="51"/>
        <v>1.7188801587079887E-3</v>
      </c>
      <c r="S187" s="9">
        <f t="shared" si="52"/>
        <v>0.60281211362700038</v>
      </c>
      <c r="T187" s="12">
        <v>6.5000000000000002E-2</v>
      </c>
      <c r="U187" s="12">
        <f t="shared" ca="1" si="53"/>
        <v>2.8178005607210743E-3</v>
      </c>
      <c r="V187" s="6" t="e">
        <f ca="1">IF(agePb6U8(1/O187)&lt;1400,age7corr(1/O187,Q187,$W$2),agePb76(Q187))</f>
        <v>#NAME?</v>
      </c>
      <c r="W187" s="6" t="e">
        <f ca="1">IF(agePb6U8(1/O187)&lt;1400,ageer7corr(V187,1/O187,P187/O187*(1/O187),Q187,R187,$W$2,0.05),ageerPb76(Q187,R187))</f>
        <v>#NAME?</v>
      </c>
      <c r="X187" s="4" t="e">
        <f ca="1">agePb6U8(L187)/agePb7u5(J187)</f>
        <v>#NAME?</v>
      </c>
      <c r="Z187" s="1">
        <v>2.1829999999999998</v>
      </c>
      <c r="AA187" s="1">
        <v>9.6000000000000002E-2</v>
      </c>
      <c r="AB187" s="1">
        <v>0.19539999999999999</v>
      </c>
      <c r="AC187" s="1">
        <v>8.3999999999999995E-3</v>
      </c>
      <c r="AD187" s="1">
        <v>0.98241999999999996</v>
      </c>
      <c r="AE187" s="1">
        <v>5.1177070000000002</v>
      </c>
      <c r="AF187" s="1">
        <v>0.2200038</v>
      </c>
      <c r="AG187" s="1">
        <v>8.0350000000000005E-2</v>
      </c>
      <c r="AH187" s="1">
        <v>6.0999999999999997E-4</v>
      </c>
      <c r="AI187" s="1">
        <v>-6.1810999999999998E-2</v>
      </c>
      <c r="AJ187" s="1">
        <v>6.5000000000000002E-2</v>
      </c>
      <c r="AK187" s="1">
        <v>2.5000000000000001E-3</v>
      </c>
      <c r="AL187" s="1">
        <v>4.1779999999999999</v>
      </c>
      <c r="AM187" s="1">
        <v>3.7999999999999999E-2</v>
      </c>
      <c r="AN187" s="1">
        <v>1173</v>
      </c>
      <c r="AO187" s="1">
        <v>31</v>
      </c>
      <c r="AP187" s="1">
        <v>1150</v>
      </c>
      <c r="AQ187" s="1">
        <v>45</v>
      </c>
      <c r="AR187" s="1">
        <v>1272</v>
      </c>
      <c r="AS187" s="1">
        <v>47</v>
      </c>
      <c r="AT187" s="1">
        <v>1205</v>
      </c>
      <c r="AU187" s="1">
        <v>15</v>
      </c>
      <c r="AV187" s="1">
        <v>13.02</v>
      </c>
      <c r="AW187" s="1">
        <v>0.56999999999999995</v>
      </c>
      <c r="AX187" s="1">
        <v>3.4499999999999997</v>
      </c>
      <c r="AY187" s="1">
        <v>0.2</v>
      </c>
      <c r="AZ187" s="1">
        <v>18505.8</v>
      </c>
      <c r="BA187" s="1">
        <v>1428.3</v>
      </c>
      <c r="BB187" s="1">
        <v>7638.3000000000011</v>
      </c>
      <c r="BC187" s="1">
        <v>540.27</v>
      </c>
      <c r="BD187" s="1">
        <v>96255</v>
      </c>
      <c r="BE187" s="1">
        <v>6831</v>
      </c>
      <c r="BF187" s="1">
        <v>2.484</v>
      </c>
      <c r="BG187" s="1">
        <v>5.5889999999999995</v>
      </c>
      <c r="BH187" s="1">
        <f t="shared" si="54"/>
        <v>38750</v>
      </c>
      <c r="BI187" s="1">
        <f t="shared" si="55"/>
        <v>87230.858394549796</v>
      </c>
    </row>
    <row r="188" spans="1:61" x14ac:dyDescent="0.2">
      <c r="A188" t="s">
        <v>254</v>
      </c>
      <c r="B188" t="s">
        <v>38</v>
      </c>
      <c r="C188" t="s">
        <v>255</v>
      </c>
      <c r="D188" t="s">
        <v>256</v>
      </c>
      <c r="E188">
        <v>80540</v>
      </c>
      <c r="F188">
        <v>51720</v>
      </c>
      <c r="G188" t="s">
        <v>256</v>
      </c>
      <c r="H188" s="1">
        <v>95.6</v>
      </c>
      <c r="I188" s="1">
        <v>42.9</v>
      </c>
      <c r="J188" s="11">
        <v>3.1880000000000002</v>
      </c>
      <c r="K188" s="11">
        <f t="shared" ca="1" si="48"/>
        <v>0.11358405521903152</v>
      </c>
      <c r="L188" s="8">
        <v>0.25090000000000001</v>
      </c>
      <c r="M188" s="8">
        <f t="shared" ca="1" si="49"/>
        <v>9.0238752207685152E-3</v>
      </c>
      <c r="N188" s="8">
        <v>0.97631000000000001</v>
      </c>
      <c r="O188" s="9">
        <v>3.985652</v>
      </c>
      <c r="P188" s="9">
        <f t="shared" ca="1" si="50"/>
        <v>0.14334800770991413</v>
      </c>
      <c r="Q188" s="10">
        <v>9.11E-2</v>
      </c>
      <c r="R188" s="10">
        <f t="shared" ca="1" si="51"/>
        <v>1.9278443920607285E-3</v>
      </c>
      <c r="S188" s="9">
        <f t="shared" si="52"/>
        <v>0.46923669998372802</v>
      </c>
      <c r="T188" s="12">
        <v>8.4900000000000003E-2</v>
      </c>
      <c r="U188" s="12">
        <f t="shared" ca="1" si="53"/>
        <v>3.0221191240584811E-3</v>
      </c>
      <c r="V188" s="6" t="e">
        <f ca="1">IF(agePb6U8(1/O188)&lt;1400,age7corr(1/O188,Q188,$W$2),agePb76(Q188))</f>
        <v>#NAME?</v>
      </c>
      <c r="W188" s="6" t="e">
        <f ca="1">IF(agePb6U8(1/O188)&lt;1400,ageer7corr(V188,1/O188,P188/O188*(1/O188),Q188,R188,$W$2,0.05),ageerPb76(Q188,R188))</f>
        <v>#NAME?</v>
      </c>
      <c r="X188" s="4" t="e">
        <f ca="1">agePb6U8(L188)/agePb7u5(J188)</f>
        <v>#NAME?</v>
      </c>
      <c r="Z188" s="1">
        <v>3.1880000000000002</v>
      </c>
      <c r="AA188" s="1">
        <v>9.4E-2</v>
      </c>
      <c r="AB188" s="1">
        <v>0.25090000000000001</v>
      </c>
      <c r="AC188" s="1">
        <v>7.4999999999999997E-3</v>
      </c>
      <c r="AD188" s="1">
        <v>0.97631000000000001</v>
      </c>
      <c r="AE188" s="1">
        <v>3.985652</v>
      </c>
      <c r="AF188" s="1">
        <v>0.1191406</v>
      </c>
      <c r="AG188" s="1">
        <v>9.11E-2</v>
      </c>
      <c r="AH188" s="1">
        <v>6.3000000000000003E-4</v>
      </c>
      <c r="AI188" s="1">
        <v>-0.11742</v>
      </c>
      <c r="AJ188" s="1">
        <v>8.4900000000000003E-2</v>
      </c>
      <c r="AK188" s="1">
        <v>2.5000000000000001E-3</v>
      </c>
      <c r="AL188" s="1">
        <v>6.8949999999999996</v>
      </c>
      <c r="AM188" s="1">
        <v>5.1999999999999998E-2</v>
      </c>
      <c r="AN188" s="1">
        <v>1453</v>
      </c>
      <c r="AO188" s="1">
        <v>23</v>
      </c>
      <c r="AP188" s="1">
        <v>1443</v>
      </c>
      <c r="AQ188" s="1">
        <v>38</v>
      </c>
      <c r="AR188" s="1">
        <v>1647</v>
      </c>
      <c r="AS188" s="1">
        <v>46</v>
      </c>
      <c r="AT188" s="1">
        <v>1448</v>
      </c>
      <c r="AU188" s="1">
        <v>13</v>
      </c>
      <c r="AV188" s="1">
        <v>20.490000000000002</v>
      </c>
      <c r="AW188" s="1">
        <v>0.53</v>
      </c>
      <c r="AX188" s="1">
        <v>3.31</v>
      </c>
      <c r="AY188" s="1">
        <v>0.1</v>
      </c>
      <c r="AZ188" s="1">
        <v>23343.389999999996</v>
      </c>
      <c r="BA188" s="1">
        <v>509.21999999999991</v>
      </c>
      <c r="BB188" s="1">
        <v>17977.949999999997</v>
      </c>
      <c r="BC188" s="1">
        <v>416.07</v>
      </c>
      <c r="BD188" s="1">
        <v>199465.2</v>
      </c>
      <c r="BE188" s="1">
        <v>4595.3999999999996</v>
      </c>
      <c r="BF188" s="1">
        <v>12.233699999999999</v>
      </c>
      <c r="BG188" s="1">
        <v>6.1478999999999999</v>
      </c>
      <c r="BH188" s="1">
        <f t="shared" si="54"/>
        <v>16304.568527918784</v>
      </c>
      <c r="BI188" s="1">
        <f t="shared" si="55"/>
        <v>8202.2722859933237</v>
      </c>
    </row>
    <row r="189" spans="1:61" x14ac:dyDescent="0.2">
      <c r="A189" t="s">
        <v>257</v>
      </c>
      <c r="B189" t="s">
        <v>38</v>
      </c>
      <c r="C189" t="s">
        <v>258</v>
      </c>
      <c r="D189" t="s">
        <v>259</v>
      </c>
      <c r="E189">
        <v>80511</v>
      </c>
      <c r="F189">
        <v>51838</v>
      </c>
      <c r="G189" t="s">
        <v>259</v>
      </c>
      <c r="H189" s="1">
        <v>127.9</v>
      </c>
      <c r="I189" s="1">
        <v>56.7</v>
      </c>
      <c r="J189" s="11">
        <v>3.2679999999999998</v>
      </c>
      <c r="K189" s="11">
        <f t="shared" ca="1" si="48"/>
        <v>0.1186293791604761</v>
      </c>
      <c r="L189" s="8">
        <v>0.253</v>
      </c>
      <c r="M189" s="8">
        <f t="shared" ca="1" si="49"/>
        <v>8.47606040563657E-3</v>
      </c>
      <c r="N189" s="8">
        <v>0.98841999999999997</v>
      </c>
      <c r="O189" s="9">
        <v>3.952569</v>
      </c>
      <c r="P189" s="9">
        <f t="shared" ca="1" si="50"/>
        <v>0.13241985180445717</v>
      </c>
      <c r="Q189" s="10">
        <v>9.2480000000000007E-2</v>
      </c>
      <c r="R189" s="10">
        <f t="shared" ca="1" si="51"/>
        <v>1.9268160680251765E-3</v>
      </c>
      <c r="S189" s="9">
        <f t="shared" si="52"/>
        <v>0.35105138865607027</v>
      </c>
      <c r="T189" s="12">
        <v>9.2799999999999994E-2</v>
      </c>
      <c r="U189" s="12">
        <f t="shared" ca="1" si="53"/>
        <v>3.6131338198300933E-3</v>
      </c>
      <c r="V189" s="6" t="e">
        <f ca="1">IF(agePb6U8(1/O189)&lt;1400,age7corr(1/O189,Q189,$W$2),agePb76(Q189))</f>
        <v>#NAME?</v>
      </c>
      <c r="W189" s="6" t="e">
        <f ca="1">IF(agePb6U8(1/O189)&lt;1400,ageer7corr(V189,1/O189,P189/O189*(1/O189),Q189,R189,$W$2,0.05),ageerPb76(Q189,R189))</f>
        <v>#NAME?</v>
      </c>
      <c r="X189" s="4" t="e">
        <f ca="1">agePb6U8(L189)/agePb7u5(J189)</f>
        <v>#NAME?</v>
      </c>
      <c r="Z189" s="1">
        <v>3.2679999999999998</v>
      </c>
      <c r="AA189" s="1">
        <v>9.9000000000000005E-2</v>
      </c>
      <c r="AB189" s="1">
        <v>0.253</v>
      </c>
      <c r="AC189" s="1">
        <v>6.7999999999999996E-3</v>
      </c>
      <c r="AD189" s="1">
        <v>0.98841999999999997</v>
      </c>
      <c r="AE189" s="1">
        <v>3.952569</v>
      </c>
      <c r="AF189" s="1">
        <v>0.1062351</v>
      </c>
      <c r="AG189" s="1">
        <v>9.2480000000000007E-2</v>
      </c>
      <c r="AH189" s="1">
        <v>5.4000000000000001E-4</v>
      </c>
      <c r="AI189" s="1">
        <v>-0.41971999999999998</v>
      </c>
      <c r="AJ189" s="1">
        <v>9.2799999999999994E-2</v>
      </c>
      <c r="AK189" s="1">
        <v>3.0999999999999999E-3</v>
      </c>
      <c r="AL189" s="1">
        <v>6.5</v>
      </c>
      <c r="AM189" s="1">
        <v>2.5000000000000001E-2</v>
      </c>
      <c r="AN189" s="1">
        <v>1472</v>
      </c>
      <c r="AO189" s="1">
        <v>23</v>
      </c>
      <c r="AP189" s="1">
        <v>1453</v>
      </c>
      <c r="AQ189" s="1">
        <v>35</v>
      </c>
      <c r="AR189" s="1">
        <v>1793</v>
      </c>
      <c r="AS189" s="1">
        <v>56</v>
      </c>
      <c r="AT189" s="1">
        <v>1477</v>
      </c>
      <c r="AU189" s="1">
        <v>11</v>
      </c>
      <c r="AV189" s="1">
        <v>27.42</v>
      </c>
      <c r="AW189" s="1">
        <v>0.56999999999999995</v>
      </c>
      <c r="AX189" s="1">
        <v>4.37</v>
      </c>
      <c r="AY189" s="1">
        <v>0.18000000000000002</v>
      </c>
      <c r="AZ189" s="1">
        <v>33658.199999999997</v>
      </c>
      <c r="BA189" s="1">
        <v>621</v>
      </c>
      <c r="BB189" s="1">
        <v>24964.2</v>
      </c>
      <c r="BC189" s="1">
        <v>465.75000000000006</v>
      </c>
      <c r="BD189" s="1">
        <v>274109.40000000002</v>
      </c>
      <c r="BE189" s="1">
        <v>3974.4</v>
      </c>
      <c r="BF189" s="1">
        <v>31.05</v>
      </c>
      <c r="BG189" s="1">
        <v>8.6940000000000008</v>
      </c>
      <c r="BH189" s="1">
        <f t="shared" si="54"/>
        <v>8828</v>
      </c>
      <c r="BI189" s="1">
        <f t="shared" si="55"/>
        <v>2475.1519116207801</v>
      </c>
    </row>
    <row r="190" spans="1:61" x14ac:dyDescent="0.2">
      <c r="A190" t="s">
        <v>260</v>
      </c>
      <c r="B190" t="s">
        <v>38</v>
      </c>
      <c r="C190" t="s">
        <v>261</v>
      </c>
      <c r="D190" t="s">
        <v>262</v>
      </c>
      <c r="E190">
        <v>80493</v>
      </c>
      <c r="F190">
        <v>52015</v>
      </c>
      <c r="G190" t="s">
        <v>262</v>
      </c>
      <c r="H190" s="1">
        <v>42.4</v>
      </c>
      <c r="I190" s="1">
        <v>27.6</v>
      </c>
      <c r="J190" s="11">
        <v>3.07</v>
      </c>
      <c r="K190" s="11">
        <f t="shared" ca="1" si="48"/>
        <v>0.19967463534460256</v>
      </c>
      <c r="L190" s="8">
        <v>0.23899999999999999</v>
      </c>
      <c r="M190" s="8">
        <f t="shared" ca="1" si="49"/>
        <v>1.4793525610888028E-2</v>
      </c>
      <c r="N190" s="8">
        <v>0.99609000000000003</v>
      </c>
      <c r="O190" s="9">
        <v>4.1840999999999999</v>
      </c>
      <c r="P190" s="9">
        <f t="shared" ca="1" si="50"/>
        <v>0.25898571177516727</v>
      </c>
      <c r="Q190" s="10">
        <v>9.1990000000000002E-2</v>
      </c>
      <c r="R190" s="10">
        <f t="shared" ca="1" si="51"/>
        <v>1.9446758187420341E-3</v>
      </c>
      <c r="S190" s="9">
        <f t="shared" si="52"/>
        <v>0.22497407504591146</v>
      </c>
      <c r="T190" s="12">
        <v>8.0399999999999999E-2</v>
      </c>
      <c r="U190" s="12">
        <f t="shared" ca="1" si="53"/>
        <v>4.7786675967260994E-3</v>
      </c>
      <c r="V190" s="6" t="e">
        <f ca="1">IF(agePb6U8(1/O190)&lt;1400,age7corr(1/O190,Q190,$W$2),agePb76(Q190))</f>
        <v>#NAME?</v>
      </c>
      <c r="W190" s="6" t="e">
        <f ca="1">IF(agePb6U8(1/O190)&lt;1400,ageer7corr(V190,1/O190,P190/O190*(1/O190),Q190,R190,$W$2,0.05),ageerPb76(Q190,R190))</f>
        <v>#NAME?</v>
      </c>
      <c r="X190" s="4" t="e">
        <f ca="1">agePb6U8(L190)/agePb7u5(J190)</f>
        <v>#NAME?</v>
      </c>
      <c r="Z190" s="1">
        <v>3.07</v>
      </c>
      <c r="AA190" s="1">
        <v>0.19</v>
      </c>
      <c r="AB190" s="1">
        <v>0.23899999999999999</v>
      </c>
      <c r="AC190" s="1">
        <v>1.4E-2</v>
      </c>
      <c r="AD190" s="1">
        <v>0.99609000000000003</v>
      </c>
      <c r="AE190" s="1">
        <v>4.1840999999999999</v>
      </c>
      <c r="AF190" s="1">
        <v>0.2450937</v>
      </c>
      <c r="AG190" s="1">
        <v>9.1990000000000002E-2</v>
      </c>
      <c r="AH190" s="1">
        <v>6.3000000000000003E-4</v>
      </c>
      <c r="AI190" s="1">
        <v>-0.72824999999999995</v>
      </c>
      <c r="AJ190" s="1">
        <v>8.0399999999999999E-2</v>
      </c>
      <c r="AK190" s="1">
        <v>4.4999999999999997E-3</v>
      </c>
      <c r="AL190" s="1">
        <v>5.0199999999999996</v>
      </c>
      <c r="AM190" s="1">
        <v>0.14000000000000001</v>
      </c>
      <c r="AN190" s="1">
        <v>1418</v>
      </c>
      <c r="AO190" s="1">
        <v>52</v>
      </c>
      <c r="AP190" s="1">
        <v>1380</v>
      </c>
      <c r="AQ190" s="1">
        <v>74</v>
      </c>
      <c r="AR190" s="1">
        <v>1563</v>
      </c>
      <c r="AS190" s="1">
        <v>86</v>
      </c>
      <c r="AT190" s="1">
        <v>1467</v>
      </c>
      <c r="AU190" s="1">
        <v>13</v>
      </c>
      <c r="AV190" s="1">
        <v>9.08</v>
      </c>
      <c r="AW190" s="1">
        <v>0.67</v>
      </c>
      <c r="AX190" s="1">
        <v>2.13</v>
      </c>
      <c r="AY190" s="1">
        <v>0.21000000000000002</v>
      </c>
      <c r="AZ190" s="1">
        <v>13848.300000000001</v>
      </c>
      <c r="BA190" s="1">
        <v>745.2</v>
      </c>
      <c r="BB190" s="1">
        <v>7917.75</v>
      </c>
      <c r="BC190" s="1">
        <v>204.93</v>
      </c>
      <c r="BD190" s="1">
        <v>86381.1</v>
      </c>
      <c r="BE190" s="1">
        <v>2173.5</v>
      </c>
      <c r="BF190" s="1">
        <v>-31.05</v>
      </c>
      <c r="BG190" s="1">
        <v>6.8310000000000004</v>
      </c>
      <c r="BH190" s="1">
        <f t="shared" si="54"/>
        <v>-2782</v>
      </c>
      <c r="BI190" s="1">
        <f t="shared" si="55"/>
        <v>-616.03000056815415</v>
      </c>
    </row>
    <row r="191" spans="1:61" x14ac:dyDescent="0.2">
      <c r="A191" t="s">
        <v>263</v>
      </c>
      <c r="B191" t="s">
        <v>38</v>
      </c>
      <c r="C191" t="s">
        <v>264</v>
      </c>
      <c r="D191" t="s">
        <v>265</v>
      </c>
      <c r="E191">
        <v>80500</v>
      </c>
      <c r="F191">
        <v>52103</v>
      </c>
      <c r="G191" t="s">
        <v>265</v>
      </c>
      <c r="H191" s="1">
        <v>88</v>
      </c>
      <c r="I191" s="1">
        <v>47.9</v>
      </c>
      <c r="J191" s="11">
        <v>2.2890000000000001</v>
      </c>
      <c r="K191" s="11">
        <f t="shared" ca="1" si="48"/>
        <v>6.2807709717836391E-2</v>
      </c>
      <c r="L191" s="8">
        <v>0.20280000000000001</v>
      </c>
      <c r="M191" s="8">
        <f t="shared" ca="1" si="49"/>
        <v>5.838761512512735E-3</v>
      </c>
      <c r="N191" s="8">
        <v>0.94538999999999995</v>
      </c>
      <c r="O191" s="9">
        <v>4.9309659999999997</v>
      </c>
      <c r="P191" s="9">
        <f t="shared" ca="1" si="50"/>
        <v>0.14196614815378489</v>
      </c>
      <c r="Q191" s="10">
        <v>8.0589999999999995E-2</v>
      </c>
      <c r="R191" s="10">
        <f t="shared" ca="1" si="51"/>
        <v>1.7305488262398146E-3</v>
      </c>
      <c r="S191" s="9">
        <f t="shared" si="52"/>
        <v>0.47292692891816474</v>
      </c>
      <c r="T191" s="12">
        <v>6.6879999999999995E-2</v>
      </c>
      <c r="U191" s="12">
        <f t="shared" ca="1" si="53"/>
        <v>1.6522934848264698E-3</v>
      </c>
      <c r="V191" s="6" t="e">
        <f ca="1">IF(agePb6U8(1/O191)&lt;1400,age7corr(1/O191,Q191,$W$2),agePb76(Q191))</f>
        <v>#NAME?</v>
      </c>
      <c r="W191" s="6" t="e">
        <f ca="1">IF(agePb6U8(1/O191)&lt;1400,ageer7corr(V191,1/O191,P191/O191*(1/O191),Q191,R191,$W$2,0.05),ageerPb76(Q191,R191))</f>
        <v>#NAME?</v>
      </c>
      <c r="X191" s="4" t="e">
        <f ca="1">agePb6U8(L191)/agePb7u5(J191)</f>
        <v>#NAME?</v>
      </c>
      <c r="Z191" s="1">
        <v>2.2890000000000001</v>
      </c>
      <c r="AA191" s="1">
        <v>4.2999999999999997E-2</v>
      </c>
      <c r="AB191" s="1">
        <v>0.20280000000000001</v>
      </c>
      <c r="AC191" s="1">
        <v>4.1999999999999997E-3</v>
      </c>
      <c r="AD191" s="1">
        <v>0.94538999999999995</v>
      </c>
      <c r="AE191" s="1">
        <v>4.9309659999999997</v>
      </c>
      <c r="AF191" s="1">
        <v>0.10212060000000001</v>
      </c>
      <c r="AG191" s="1">
        <v>8.0589999999999995E-2</v>
      </c>
      <c r="AH191" s="1">
        <v>6.3000000000000003E-4</v>
      </c>
      <c r="AI191" s="1">
        <v>0.20746999999999999</v>
      </c>
      <c r="AJ191" s="1">
        <v>6.6879999999999995E-2</v>
      </c>
      <c r="AK191" s="1">
        <v>9.7000000000000005E-4</v>
      </c>
      <c r="AL191" s="1">
        <v>5.9630000000000001</v>
      </c>
      <c r="AM191" s="1">
        <v>2.1000000000000001E-2</v>
      </c>
      <c r="AN191" s="1">
        <v>1212</v>
      </c>
      <c r="AO191" s="1">
        <v>14</v>
      </c>
      <c r="AP191" s="1">
        <v>1190</v>
      </c>
      <c r="AQ191" s="1">
        <v>22</v>
      </c>
      <c r="AR191" s="1">
        <v>1308</v>
      </c>
      <c r="AS191" s="1">
        <v>18</v>
      </c>
      <c r="AT191" s="1">
        <v>1211</v>
      </c>
      <c r="AU191" s="1">
        <v>15</v>
      </c>
      <c r="AV191" s="1">
        <v>18.86</v>
      </c>
      <c r="AW191" s="1">
        <v>0.27</v>
      </c>
      <c r="AX191" s="1">
        <v>3.69</v>
      </c>
      <c r="AY191" s="1">
        <v>0.11</v>
      </c>
      <c r="AZ191" s="1">
        <v>20493</v>
      </c>
      <c r="BA191" s="1">
        <v>260.82</v>
      </c>
      <c r="BB191" s="1">
        <v>12146.760000000002</v>
      </c>
      <c r="BC191" s="1">
        <v>223.56</v>
      </c>
      <c r="BD191" s="1">
        <v>152331.29999999999</v>
      </c>
      <c r="BE191" s="1">
        <v>2359.7999999999997</v>
      </c>
      <c r="BF191" s="1">
        <v>55.89</v>
      </c>
      <c r="BG191" s="1">
        <v>6.2099999999999991</v>
      </c>
      <c r="BH191" s="1">
        <f t="shared" si="54"/>
        <v>2725.5555555555552</v>
      </c>
      <c r="BI191" s="1">
        <f t="shared" si="55"/>
        <v>305.76867489720388</v>
      </c>
    </row>
    <row r="192" spans="1:61" x14ac:dyDescent="0.2">
      <c r="A192" t="s">
        <v>272</v>
      </c>
      <c r="B192" t="s">
        <v>38</v>
      </c>
      <c r="C192" t="s">
        <v>273</v>
      </c>
      <c r="D192" t="s">
        <v>274</v>
      </c>
      <c r="E192">
        <v>80552</v>
      </c>
      <c r="F192">
        <v>52361</v>
      </c>
      <c r="G192" t="s">
        <v>274</v>
      </c>
      <c r="H192" s="1">
        <v>31.9</v>
      </c>
      <c r="I192" s="1">
        <v>32.9</v>
      </c>
      <c r="J192" s="11">
        <v>3.07</v>
      </c>
      <c r="K192" s="11">
        <f t="shared" ca="1" si="48"/>
        <v>0.11734547285685971</v>
      </c>
      <c r="L192" s="8">
        <v>0.2455</v>
      </c>
      <c r="M192" s="8">
        <f t="shared" ca="1" si="49"/>
        <v>9.6435522500788063E-3</v>
      </c>
      <c r="N192" s="8">
        <v>0.98009999999999997</v>
      </c>
      <c r="O192" s="9">
        <v>4.0733199999999998</v>
      </c>
      <c r="P192" s="9">
        <f t="shared" ca="1" si="50"/>
        <v>0.16000522566644501</v>
      </c>
      <c r="Q192" s="10">
        <v>8.9730000000000004E-2</v>
      </c>
      <c r="R192" s="10">
        <f t="shared" ca="1" si="51"/>
        <v>1.8890974458719699E-3</v>
      </c>
      <c r="S192" s="9">
        <f t="shared" si="52"/>
        <v>0.52433644324362827</v>
      </c>
      <c r="T192" s="12">
        <v>8.3000000000000004E-2</v>
      </c>
      <c r="U192" s="12">
        <f t="shared" ca="1" si="53"/>
        <v>3.2550883244544995E-3</v>
      </c>
      <c r="V192" s="6" t="e">
        <f ca="1">IF(agePb6U8(1/O192)&lt;1400,age7corr(1/O192,Q192,$W$2),agePb76(Q192))</f>
        <v>#NAME?</v>
      </c>
      <c r="W192" s="6" t="e">
        <f ca="1">IF(agePb6U8(1/O192)&lt;1400,ageer7corr(V192,1/O192,P192/O192*(1/O192),Q192,R192,$W$2,0.05),ageerPb76(Q192,R192))</f>
        <v>#NAME?</v>
      </c>
      <c r="X192" s="4" t="e">
        <f ca="1">agePb6U8(L192)/agePb7u5(J192)</f>
        <v>#NAME?</v>
      </c>
      <c r="Z192" s="1">
        <v>3.07</v>
      </c>
      <c r="AA192" s="1">
        <v>0.1</v>
      </c>
      <c r="AB192" s="1">
        <v>0.2455</v>
      </c>
      <c r="AC192" s="1">
        <v>8.3000000000000001E-3</v>
      </c>
      <c r="AD192" s="1">
        <v>0.98009999999999997</v>
      </c>
      <c r="AE192" s="1">
        <v>4.0733199999999998</v>
      </c>
      <c r="AF192" s="1">
        <v>0.1377131</v>
      </c>
      <c r="AG192" s="1">
        <v>8.9730000000000004E-2</v>
      </c>
      <c r="AH192" s="1">
        <v>5.9000000000000003E-4</v>
      </c>
      <c r="AI192" s="1">
        <v>0.23307</v>
      </c>
      <c r="AJ192" s="1">
        <v>8.3000000000000004E-2</v>
      </c>
      <c r="AK192" s="1">
        <v>2.8E-3</v>
      </c>
      <c r="AL192" s="1">
        <v>3.1349999999999998</v>
      </c>
      <c r="AM192" s="1">
        <v>5.1999999999999998E-2</v>
      </c>
      <c r="AN192" s="1">
        <v>1423</v>
      </c>
      <c r="AO192" s="1">
        <v>25</v>
      </c>
      <c r="AP192" s="1">
        <v>1414</v>
      </c>
      <c r="AQ192" s="1">
        <v>43</v>
      </c>
      <c r="AR192" s="1">
        <v>1612</v>
      </c>
      <c r="AS192" s="1">
        <v>52</v>
      </c>
      <c r="AT192" s="1">
        <v>1420</v>
      </c>
      <c r="AU192" s="1">
        <v>13</v>
      </c>
      <c r="AV192" s="1">
        <v>6.84</v>
      </c>
      <c r="AW192" s="1">
        <v>0.42000000000000004</v>
      </c>
      <c r="AX192" s="1">
        <v>2.5350000000000001</v>
      </c>
      <c r="AY192" s="1">
        <v>9.4E-2</v>
      </c>
      <c r="AZ192" s="1">
        <v>17201.7</v>
      </c>
      <c r="BA192" s="1">
        <v>1055.7</v>
      </c>
      <c r="BB192" s="1">
        <v>5868.45</v>
      </c>
      <c r="BC192" s="1">
        <v>341.54999999999995</v>
      </c>
      <c r="BD192" s="1">
        <v>67254.3</v>
      </c>
      <c r="BE192" s="1">
        <v>4222.8</v>
      </c>
      <c r="BF192" s="1">
        <v>-3.6017999999999999</v>
      </c>
      <c r="BG192" s="1">
        <v>3.6017999999999999</v>
      </c>
      <c r="BH192" s="1">
        <f t="shared" si="54"/>
        <v>-18672.413793103449</v>
      </c>
      <c r="BI192" s="1">
        <f t="shared" si="55"/>
        <v>-18709.184668582944</v>
      </c>
    </row>
    <row r="193" spans="1:61" x14ac:dyDescent="0.2">
      <c r="A193" t="s">
        <v>275</v>
      </c>
      <c r="B193" t="s">
        <v>38</v>
      </c>
      <c r="C193" t="s">
        <v>276</v>
      </c>
      <c r="D193" t="s">
        <v>277</v>
      </c>
      <c r="E193">
        <v>80650</v>
      </c>
      <c r="F193">
        <v>52606</v>
      </c>
      <c r="G193" t="s">
        <v>277</v>
      </c>
      <c r="H193" s="1">
        <v>470</v>
      </c>
      <c r="I193" s="1">
        <v>257</v>
      </c>
      <c r="J193" s="11">
        <v>2.331</v>
      </c>
      <c r="K193" s="11">
        <f t="shared" ca="1" si="48"/>
        <v>9.5196766751817791E-2</v>
      </c>
      <c r="L193" s="8">
        <v>0.1898</v>
      </c>
      <c r="M193" s="8">
        <f t="shared" ca="1" si="49"/>
        <v>7.2697741367940714E-3</v>
      </c>
      <c r="N193" s="8">
        <v>0.98565999999999998</v>
      </c>
      <c r="O193" s="9">
        <v>5.2687039999999996</v>
      </c>
      <c r="P193" s="9">
        <f t="shared" ca="1" si="50"/>
        <v>0.20180341783313879</v>
      </c>
      <c r="Q193" s="10">
        <v>8.7959999999999997E-2</v>
      </c>
      <c r="R193" s="10">
        <f t="shared" ca="1" si="51"/>
        <v>1.8652572583962783E-3</v>
      </c>
      <c r="S193" s="9">
        <f t="shared" si="52"/>
        <v>0.4500425307604996</v>
      </c>
      <c r="T193" s="12">
        <v>5.8500000000000003E-2</v>
      </c>
      <c r="U193" s="12">
        <f t="shared" ca="1" si="53"/>
        <v>2.7602354971994693E-3</v>
      </c>
      <c r="V193" s="6" t="e">
        <f ca="1">IF(agePb6U8(1/O193)&lt;1400,age7corr(1/O193,Q193,$W$2),agePb76(Q193))</f>
        <v>#NAME?</v>
      </c>
      <c r="W193" s="6" t="e">
        <f ca="1">IF(agePb6U8(1/O193)&lt;1400,ageer7corr(V193,1/O193,P193/O193*(1/O193),Q193,R193,$W$2,0.05),ageerPb76(Q193,R193))</f>
        <v>#NAME?</v>
      </c>
      <c r="X193" s="4" t="e">
        <f ca="1">agePb6U8(L193)/agePb7u5(J193)</f>
        <v>#NAME?</v>
      </c>
      <c r="Z193" s="1">
        <v>2.331</v>
      </c>
      <c r="AA193" s="1">
        <v>8.3000000000000004E-2</v>
      </c>
      <c r="AB193" s="1">
        <v>0.1898</v>
      </c>
      <c r="AC193" s="1">
        <v>6.1999999999999998E-3</v>
      </c>
      <c r="AD193" s="1">
        <v>0.98565999999999998</v>
      </c>
      <c r="AE193" s="1">
        <v>5.2687039999999996</v>
      </c>
      <c r="AF193" s="1">
        <v>0.17210729999999999</v>
      </c>
      <c r="AG193" s="1">
        <v>8.7959999999999997E-2</v>
      </c>
      <c r="AH193" s="1">
        <v>6.2E-4</v>
      </c>
      <c r="AI193" s="1">
        <v>-0.20585000000000001</v>
      </c>
      <c r="AJ193" s="1">
        <v>5.8500000000000003E-2</v>
      </c>
      <c r="AK193" s="1">
        <v>2.5000000000000001E-3</v>
      </c>
      <c r="AL193" s="1">
        <v>6.33</v>
      </c>
      <c r="AM193" s="1">
        <v>0.19</v>
      </c>
      <c r="AN193" s="1">
        <v>1220</v>
      </c>
      <c r="AO193" s="1">
        <v>25</v>
      </c>
      <c r="AP193" s="1">
        <v>1120</v>
      </c>
      <c r="AQ193" s="1">
        <v>34</v>
      </c>
      <c r="AR193" s="1">
        <v>1149</v>
      </c>
      <c r="AS193" s="1">
        <v>47</v>
      </c>
      <c r="AT193" s="1">
        <v>1381</v>
      </c>
      <c r="AU193" s="1">
        <v>13</v>
      </c>
      <c r="AV193" s="1">
        <v>100.7</v>
      </c>
      <c r="AW193" s="1">
        <v>2.9</v>
      </c>
      <c r="AX193" s="1">
        <v>19.8</v>
      </c>
      <c r="AY193" s="1">
        <v>1.6</v>
      </c>
      <c r="AZ193" s="1">
        <v>94888.8</v>
      </c>
      <c r="BA193" s="1">
        <v>4719.5999999999995</v>
      </c>
      <c r="BB193" s="1">
        <v>64459.8</v>
      </c>
      <c r="BC193" s="1">
        <v>1614.6</v>
      </c>
      <c r="BD193" s="1">
        <v>739611</v>
      </c>
      <c r="BE193" s="1">
        <v>18009</v>
      </c>
      <c r="BF193" s="1">
        <v>30.863699999999994</v>
      </c>
      <c r="BG193" s="1">
        <v>5.8995000000000006</v>
      </c>
      <c r="BH193" s="1">
        <f t="shared" si="54"/>
        <v>23963.782696177066</v>
      </c>
      <c r="BI193" s="1">
        <f t="shared" si="55"/>
        <v>4617.6174695527134</v>
      </c>
    </row>
    <row r="194" spans="1:61" s="24" customFormat="1" x14ac:dyDescent="0.2">
      <c r="A194" s="24" t="s">
        <v>278</v>
      </c>
      <c r="B194" s="24" t="s">
        <v>38</v>
      </c>
      <c r="C194" s="24" t="s">
        <v>279</v>
      </c>
      <c r="D194" s="24" t="s">
        <v>280</v>
      </c>
      <c r="E194" s="24">
        <v>80461</v>
      </c>
      <c r="F194" s="24">
        <v>53041</v>
      </c>
      <c r="G194" s="24" t="s">
        <v>280</v>
      </c>
      <c r="H194" s="25">
        <v>171</v>
      </c>
      <c r="I194" s="25">
        <v>124</v>
      </c>
      <c r="J194" s="26">
        <v>2.69</v>
      </c>
      <c r="K194" s="26">
        <f t="shared" ca="1" si="48"/>
        <v>0.22648275872569198</v>
      </c>
      <c r="L194" s="27">
        <v>0.21099999999999999</v>
      </c>
      <c r="M194" s="27">
        <f t="shared" ca="1" si="49"/>
        <v>1.7515947019787429E-2</v>
      </c>
      <c r="N194" s="27">
        <v>0.99827999999999995</v>
      </c>
      <c r="O194" s="27">
        <v>4.7393359999999998</v>
      </c>
      <c r="P194" s="27">
        <f t="shared" ca="1" si="50"/>
        <v>0.39343114309577526</v>
      </c>
      <c r="Q194" s="26">
        <v>9.1649999999999995E-2</v>
      </c>
      <c r="R194" s="26">
        <f t="shared" ca="1" si="51"/>
        <v>1.8850700252245273E-3</v>
      </c>
      <c r="S194" s="27">
        <f t="shared" si="52"/>
        <v>0.32275442542351712</v>
      </c>
      <c r="T194" s="26">
        <v>8.1500000000000003E-2</v>
      </c>
      <c r="U194" s="26">
        <f t="shared" ca="1" si="53"/>
        <v>3.5912254175977315E-3</v>
      </c>
      <c r="V194" s="25" t="e">
        <f ca="1">IF(agePb6U8(1/O194)&lt;1400,age7corr(1/O194,Q194,$W$2),agePb76(Q194))</f>
        <v>#NAME?</v>
      </c>
      <c r="W194" s="25" t="e">
        <f ca="1">IF(agePb6U8(1/O194)&lt;1400,ageer7corr(V194,1/O194,P194/O194*(1/O194),Q194,R194,$W$2,0.05),ageerPb76(Q194,R194))</f>
        <v>#NAME?</v>
      </c>
      <c r="X194" s="27" t="e">
        <f ca="1">agePb6U8(L194)/agePb7u5(J194)</f>
        <v>#NAME?</v>
      </c>
      <c r="Y194" s="25"/>
      <c r="Z194" s="25">
        <v>2.69</v>
      </c>
      <c r="AA194" s="25">
        <v>0.22</v>
      </c>
      <c r="AB194" s="25">
        <v>0.21099999999999999</v>
      </c>
      <c r="AC194" s="25">
        <v>1.7000000000000001E-2</v>
      </c>
      <c r="AD194" s="25">
        <v>0.99827999999999995</v>
      </c>
      <c r="AE194" s="25">
        <v>4.7393359999999998</v>
      </c>
      <c r="AF194" s="25">
        <v>0.38184230000000002</v>
      </c>
      <c r="AG194" s="25">
        <v>9.1649999999999995E-2</v>
      </c>
      <c r="AH194" s="25">
        <v>4.4000000000000002E-4</v>
      </c>
      <c r="AI194" s="25">
        <v>-0.17766000000000001</v>
      </c>
      <c r="AJ194" s="25">
        <v>8.1500000000000003E-2</v>
      </c>
      <c r="AK194" s="25">
        <v>3.2000000000000002E-3</v>
      </c>
      <c r="AL194" s="25">
        <v>3.76</v>
      </c>
      <c r="AM194" s="25">
        <v>0.45</v>
      </c>
      <c r="AN194" s="25">
        <v>1317</v>
      </c>
      <c r="AO194" s="25">
        <v>62</v>
      </c>
      <c r="AP194" s="25">
        <v>1232</v>
      </c>
      <c r="AQ194" s="25">
        <v>91</v>
      </c>
      <c r="AR194" s="25">
        <v>1582</v>
      </c>
      <c r="AS194" s="25">
        <v>60</v>
      </c>
      <c r="AT194" s="25">
        <v>1460</v>
      </c>
      <c r="AU194" s="25">
        <v>9.1999999999999993</v>
      </c>
      <c r="AV194" s="25">
        <v>36.6</v>
      </c>
      <c r="AW194" s="25">
        <v>6.3</v>
      </c>
      <c r="AX194" s="25">
        <v>9.5499999999999989</v>
      </c>
      <c r="AY194" s="25">
        <v>0.44</v>
      </c>
      <c r="AZ194" s="25">
        <v>64149.30000000001</v>
      </c>
      <c r="BA194" s="25">
        <v>2608.1999999999998</v>
      </c>
      <c r="BB194" s="25">
        <v>26827.200000000001</v>
      </c>
      <c r="BC194" s="25">
        <v>2484</v>
      </c>
      <c r="BD194" s="25">
        <v>296838</v>
      </c>
      <c r="BE194" s="25">
        <v>26703</v>
      </c>
      <c r="BF194" s="25">
        <v>24.219000000000001</v>
      </c>
      <c r="BG194" s="25">
        <v>14.903999999999998</v>
      </c>
      <c r="BH194" s="25">
        <f t="shared" si="54"/>
        <v>12256.410256410256</v>
      </c>
      <c r="BI194" s="25">
        <f t="shared" si="55"/>
        <v>7622.5678462107389</v>
      </c>
    </row>
    <row r="195" spans="1:61" x14ac:dyDescent="0.2">
      <c r="A195" t="s">
        <v>281</v>
      </c>
      <c r="B195" t="s">
        <v>38</v>
      </c>
      <c r="C195" t="s">
        <v>282</v>
      </c>
      <c r="D195" t="s">
        <v>283</v>
      </c>
      <c r="E195">
        <v>80538</v>
      </c>
      <c r="F195">
        <v>53103</v>
      </c>
      <c r="G195" t="s">
        <v>283</v>
      </c>
      <c r="H195" s="1">
        <v>60.3</v>
      </c>
      <c r="I195" s="1">
        <v>32.9</v>
      </c>
      <c r="J195" s="11">
        <v>2.3519999999999999</v>
      </c>
      <c r="K195" s="11">
        <f t="shared" ca="1" si="48"/>
        <v>0.10870492905107847</v>
      </c>
      <c r="L195" s="8">
        <v>0.21099999999999999</v>
      </c>
      <c r="M195" s="8">
        <f t="shared" ca="1" si="49"/>
        <v>9.7595286771442E-3</v>
      </c>
      <c r="N195" s="8">
        <v>0.98946000000000001</v>
      </c>
      <c r="O195" s="9">
        <v>4.7393359999999998</v>
      </c>
      <c r="P195" s="9">
        <f t="shared" ca="1" si="50"/>
        <v>0.21921177027844194</v>
      </c>
      <c r="Q195" s="10">
        <v>0.08</v>
      </c>
      <c r="R195" s="10">
        <f t="shared" ca="1" si="51"/>
        <v>1.6468454693747074E-3</v>
      </c>
      <c r="S195" s="9">
        <f t="shared" si="52"/>
        <v>0.49906199202729584</v>
      </c>
      <c r="T195" s="12">
        <v>7.5399999999999995E-2</v>
      </c>
      <c r="U195" s="12">
        <f t="shared" ca="1" si="53"/>
        <v>3.4473270805074471E-3</v>
      </c>
      <c r="V195" s="6" t="e">
        <f ca="1">IF(agePb6U8(1/O195)&lt;1400,age7corr(1/O195,Q195,$W$2),agePb76(Q195))</f>
        <v>#NAME?</v>
      </c>
      <c r="W195" s="6" t="e">
        <f ca="1">IF(agePb6U8(1/O195)&lt;1400,ageer7corr(V195,1/O195,P195/O195*(1/O195),Q195,R195,$W$2,0.05),ageerPb76(Q195,R195))</f>
        <v>#NAME?</v>
      </c>
      <c r="X195" s="4" t="e">
        <f ca="1">agePb6U8(L195)/agePb7u5(J195)</f>
        <v>#NAME?</v>
      </c>
      <c r="Z195" s="1">
        <v>2.3519999999999999</v>
      </c>
      <c r="AA195" s="1">
        <v>9.8000000000000004E-2</v>
      </c>
      <c r="AB195" s="1">
        <v>0.21099999999999999</v>
      </c>
      <c r="AC195" s="1">
        <v>8.8000000000000005E-3</v>
      </c>
      <c r="AD195" s="1">
        <v>0.98946000000000001</v>
      </c>
      <c r="AE195" s="1">
        <v>4.7393359999999998</v>
      </c>
      <c r="AF195" s="1">
        <v>0.19765949999999999</v>
      </c>
      <c r="AG195" s="1">
        <v>0.08</v>
      </c>
      <c r="AH195" s="1">
        <v>3.8999999999999999E-4</v>
      </c>
      <c r="AI195" s="1">
        <v>7.6147999999999993E-2</v>
      </c>
      <c r="AJ195" s="1">
        <v>7.5399999999999995E-2</v>
      </c>
      <c r="AK195" s="1">
        <v>3.0999999999999999E-3</v>
      </c>
      <c r="AL195" s="1">
        <v>5.42</v>
      </c>
      <c r="AM195" s="1">
        <v>0.11</v>
      </c>
      <c r="AN195" s="1">
        <v>1226</v>
      </c>
      <c r="AO195" s="1">
        <v>30</v>
      </c>
      <c r="AP195" s="1">
        <v>1233</v>
      </c>
      <c r="AQ195" s="1">
        <v>47</v>
      </c>
      <c r="AR195" s="1">
        <v>1469</v>
      </c>
      <c r="AS195" s="1">
        <v>58</v>
      </c>
      <c r="AT195" s="1">
        <v>1196.8</v>
      </c>
      <c r="AU195" s="1">
        <v>9.6999999999999993</v>
      </c>
      <c r="AV195" s="1">
        <v>12.91</v>
      </c>
      <c r="AW195" s="1">
        <v>0.75</v>
      </c>
      <c r="AX195" s="1">
        <v>2.5300000000000002</v>
      </c>
      <c r="AY195" s="1">
        <v>0.27999999999999997</v>
      </c>
      <c r="AZ195" s="1">
        <v>15773.4</v>
      </c>
      <c r="BA195" s="1">
        <v>1179.8999999999999</v>
      </c>
      <c r="BB195" s="1">
        <v>8408.340000000002</v>
      </c>
      <c r="BC195" s="1">
        <v>496.8</v>
      </c>
      <c r="BD195" s="1">
        <v>106191</v>
      </c>
      <c r="BE195" s="1">
        <v>6210</v>
      </c>
      <c r="BF195" s="1">
        <v>12.419999999999998</v>
      </c>
      <c r="BG195" s="1">
        <v>8.0729999999999986</v>
      </c>
      <c r="BH195" s="1">
        <f t="shared" si="54"/>
        <v>8550.0000000000018</v>
      </c>
      <c r="BI195" s="1">
        <f t="shared" si="55"/>
        <v>5579.9467963413426</v>
      </c>
    </row>
    <row r="196" spans="1:61" x14ac:dyDescent="0.2">
      <c r="A196" t="s">
        <v>284</v>
      </c>
      <c r="B196" t="s">
        <v>38</v>
      </c>
      <c r="C196" t="s">
        <v>285</v>
      </c>
      <c r="D196" t="s">
        <v>286</v>
      </c>
      <c r="E196">
        <v>80643</v>
      </c>
      <c r="F196">
        <v>53282</v>
      </c>
      <c r="G196" t="s">
        <v>286</v>
      </c>
      <c r="H196" s="1">
        <v>93</v>
      </c>
      <c r="I196" s="1">
        <v>62.8</v>
      </c>
      <c r="J196" s="11">
        <v>2.1309999999999998</v>
      </c>
      <c r="K196" s="11">
        <f t="shared" ref="K196:K207" ca="1" si="56">SQRT(K$2^2+(AA196/Z196)^2)*J196</f>
        <v>0.10412235302758001</v>
      </c>
      <c r="L196" s="8">
        <v>0.17100000000000001</v>
      </c>
      <c r="M196" s="8">
        <f t="shared" ref="M196:M207" ca="1" si="57">SQRT(M$2^2+(AC196/AB196)^2)*L196</f>
        <v>8.1520794893082341E-3</v>
      </c>
      <c r="N196" s="8">
        <v>0.98995</v>
      </c>
      <c r="O196" s="9">
        <v>5.8479530000000004</v>
      </c>
      <c r="P196" s="9">
        <f t="shared" ref="P196:P207" ca="1" si="58">SQRT(P$2^2+(AF196/AE196)^2)*O196</f>
        <v>0.27878933322236987</v>
      </c>
      <c r="Q196" s="10">
        <v>8.9660000000000004E-2</v>
      </c>
      <c r="R196" s="10">
        <f t="shared" ref="R196:R207" ca="1" si="59">SQRT(R$2^2+(AH196/AG196)^2)*Q196</f>
        <v>1.8670742459795222E-3</v>
      </c>
      <c r="S196" s="9">
        <f t="shared" ref="S196:S207" si="60">(((BE196/BD196)^2+(AW196/AV196)^2)+((BE196/BD196)^2+(BC196/BB196)^2)-((BC196/BB196)^2+(AW196/AV196)^2))/(2*SQRT((BE196/BD196)^2+(AW196/AV196)^2)*SQRT((BE196/BD196)^2+(BC196/BB196)^2))</f>
        <v>0.43374554703551821</v>
      </c>
      <c r="T196" s="12">
        <v>8.6999999999999994E-2</v>
      </c>
      <c r="U196" s="12">
        <f t="shared" ref="U196:U207" ca="1" si="61">SQRT(U$2^2+(AK196/AJ196)^2)*T196</f>
        <v>3.2966043135323349E-3</v>
      </c>
      <c r="V196" s="6" t="e">
        <f ca="1">IF(agePb6U8(1/O196)&lt;1400,age7corr(1/O196,Q196,$W$2),agePb76(Q196))</f>
        <v>#NAME?</v>
      </c>
      <c r="W196" s="6" t="e">
        <f ca="1">IF(agePb6U8(1/O196)&lt;1400,ageer7corr(V196,1/O196,P196/O196*(1/O196),Q196,R196,$W$2,0.05),ageerPb76(Q196,R196))</f>
        <v>#NAME?</v>
      </c>
      <c r="X196" s="4" t="e">
        <f ca="1">agePb6U8(L196)/agePb7u5(J196)</f>
        <v>#NAME?</v>
      </c>
      <c r="Z196" s="1">
        <v>2.1309999999999998</v>
      </c>
      <c r="AA196" s="1">
        <v>9.5000000000000001E-2</v>
      </c>
      <c r="AB196" s="1">
        <v>0.17100000000000001</v>
      </c>
      <c r="AC196" s="1">
        <v>7.4000000000000003E-3</v>
      </c>
      <c r="AD196" s="1">
        <v>0.98995</v>
      </c>
      <c r="AE196" s="1">
        <v>5.8479530000000004</v>
      </c>
      <c r="AF196" s="1">
        <v>0.2530693</v>
      </c>
      <c r="AG196" s="1">
        <v>8.9660000000000004E-2</v>
      </c>
      <c r="AH196" s="1">
        <v>5.1999999999999995E-4</v>
      </c>
      <c r="AI196" s="1">
        <v>-0.16581000000000001</v>
      </c>
      <c r="AJ196" s="1">
        <v>8.6999999999999994E-2</v>
      </c>
      <c r="AK196" s="1">
        <v>2.8E-3</v>
      </c>
      <c r="AL196" s="1">
        <v>3.0859999999999999</v>
      </c>
      <c r="AM196" s="1">
        <v>0.02</v>
      </c>
      <c r="AN196" s="1">
        <v>1157</v>
      </c>
      <c r="AO196" s="1">
        <v>31</v>
      </c>
      <c r="AP196" s="1">
        <v>1017</v>
      </c>
      <c r="AQ196" s="1">
        <v>41</v>
      </c>
      <c r="AR196" s="1">
        <v>1686</v>
      </c>
      <c r="AS196" s="1">
        <v>53</v>
      </c>
      <c r="AT196" s="1">
        <v>1418</v>
      </c>
      <c r="AU196" s="1">
        <v>11</v>
      </c>
      <c r="AV196" s="1">
        <v>19.91</v>
      </c>
      <c r="AW196" s="1">
        <v>0.6</v>
      </c>
      <c r="AX196" s="1">
        <v>4.84</v>
      </c>
      <c r="AY196" s="1">
        <v>0.17</v>
      </c>
      <c r="AZ196" s="1">
        <v>35210.700000000004</v>
      </c>
      <c r="BA196" s="1">
        <v>931.50000000000011</v>
      </c>
      <c r="BB196" s="1">
        <v>12016.349999999999</v>
      </c>
      <c r="BC196" s="1">
        <v>316.71000000000004</v>
      </c>
      <c r="BD196" s="1">
        <v>135688.5</v>
      </c>
      <c r="BE196" s="1">
        <v>3353.4</v>
      </c>
      <c r="BF196" s="1">
        <v>12.419999999999998</v>
      </c>
      <c r="BG196" s="1">
        <v>6.2099999999999991</v>
      </c>
      <c r="BH196" s="1">
        <f t="shared" ref="BH196:BH207" si="62">BD196/BF196</f>
        <v>10925.000000000002</v>
      </c>
      <c r="BI196" s="1">
        <f t="shared" ref="BI196:BI207" si="63">SQRT((BG196/BF196)^2+(BE196/BD196)^2)*BH196</f>
        <v>5469.1686982575347</v>
      </c>
    </row>
    <row r="197" spans="1:61" s="24" customFormat="1" x14ac:dyDescent="0.2">
      <c r="A197" s="24" t="s">
        <v>287</v>
      </c>
      <c r="B197" s="24" t="s">
        <v>38</v>
      </c>
      <c r="C197" s="24" t="s">
        <v>288</v>
      </c>
      <c r="D197" s="24" t="s">
        <v>289</v>
      </c>
      <c r="E197" s="24">
        <v>80576</v>
      </c>
      <c r="F197" s="24">
        <v>53370</v>
      </c>
      <c r="G197" s="24" t="s">
        <v>289</v>
      </c>
      <c r="H197" s="25">
        <v>45</v>
      </c>
      <c r="I197" s="25">
        <v>62.7</v>
      </c>
      <c r="J197" s="26">
        <v>3.16</v>
      </c>
      <c r="K197" s="26">
        <f t="shared" ca="1" si="56"/>
        <v>0.23852513494388808</v>
      </c>
      <c r="L197" s="27">
        <v>0.217</v>
      </c>
      <c r="M197" s="27">
        <f t="shared" ca="1" si="57"/>
        <v>1.5615236149351053E-2</v>
      </c>
      <c r="N197" s="27">
        <v>0.99514999999999998</v>
      </c>
      <c r="O197" s="27">
        <v>4.608295</v>
      </c>
      <c r="P197" s="27">
        <f t="shared" ca="1" si="58"/>
        <v>0.33161109165903963</v>
      </c>
      <c r="Q197" s="26">
        <v>0.10488</v>
      </c>
      <c r="R197" s="26">
        <f t="shared" ca="1" si="59"/>
        <v>2.2558425831604475E-3</v>
      </c>
      <c r="S197" s="27">
        <f t="shared" si="60"/>
        <v>0.20305893352450952</v>
      </c>
      <c r="T197" s="26">
        <v>9.3899999999999997E-2</v>
      </c>
      <c r="U197" s="26">
        <f t="shared" ca="1" si="61"/>
        <v>2.8925566545877713E-3</v>
      </c>
      <c r="V197" s="25" t="e">
        <f ca="1">IF(agePb6U8(1/O197)&lt;1400,age7corr(1/O197,Q197,$W$2),agePb76(Q197))</f>
        <v>#NAME?</v>
      </c>
      <c r="W197" s="25" t="e">
        <f ca="1">IF(agePb6U8(1/O197)&lt;1400,ageer7corr(V197,1/O197,P197/O197*(1/O197),Q197,R197,$W$2,0.05),ageerPb76(Q197,R197))</f>
        <v>#NAME?</v>
      </c>
      <c r="X197" s="27" t="e">
        <f ca="1">agePb6U8(L197)/agePb7u5(J197)</f>
        <v>#NAME?</v>
      </c>
      <c r="Y197" s="25"/>
      <c r="Z197" s="25">
        <v>3.16</v>
      </c>
      <c r="AA197" s="25">
        <v>0.23</v>
      </c>
      <c r="AB197" s="25">
        <v>0.217</v>
      </c>
      <c r="AC197" s="25">
        <v>1.4999999999999999E-2</v>
      </c>
      <c r="AD197" s="25">
        <v>0.99514999999999998</v>
      </c>
      <c r="AE197" s="25">
        <v>4.608295</v>
      </c>
      <c r="AF197" s="25">
        <v>0.31854569999999999</v>
      </c>
      <c r="AG197" s="25">
        <v>0.10488</v>
      </c>
      <c r="AH197" s="25">
        <v>8.3000000000000001E-4</v>
      </c>
      <c r="AI197" s="25">
        <v>-0.23537</v>
      </c>
      <c r="AJ197" s="25">
        <v>9.3899999999999997E-2</v>
      </c>
      <c r="AK197" s="25">
        <v>2.2000000000000001E-3</v>
      </c>
      <c r="AL197" s="25">
        <v>1.792</v>
      </c>
      <c r="AM197" s="25">
        <v>1.4999999999999999E-2</v>
      </c>
      <c r="AN197" s="25">
        <v>1441</v>
      </c>
      <c r="AO197" s="25">
        <v>57</v>
      </c>
      <c r="AP197" s="25">
        <v>1262</v>
      </c>
      <c r="AQ197" s="25">
        <v>80</v>
      </c>
      <c r="AR197" s="25">
        <v>1815</v>
      </c>
      <c r="AS197" s="25">
        <v>40</v>
      </c>
      <c r="AT197" s="25">
        <v>1712</v>
      </c>
      <c r="AU197" s="25">
        <v>15</v>
      </c>
      <c r="AV197" s="25">
        <v>9.629999999999999</v>
      </c>
      <c r="AW197" s="25">
        <v>0.88</v>
      </c>
      <c r="AX197" s="25">
        <v>4.8289999999999997</v>
      </c>
      <c r="AY197" s="25">
        <v>9.0999999999999998E-2</v>
      </c>
      <c r="AZ197" s="25">
        <v>37756.799999999996</v>
      </c>
      <c r="BA197" s="25">
        <v>1366.1999999999998</v>
      </c>
      <c r="BB197" s="25">
        <v>8681.58</v>
      </c>
      <c r="BC197" s="25">
        <v>322.91999999999996</v>
      </c>
      <c r="BD197" s="25">
        <v>82841.399999999994</v>
      </c>
      <c r="BE197" s="25">
        <v>2546.1</v>
      </c>
      <c r="BF197" s="25">
        <v>21.734999999999999</v>
      </c>
      <c r="BG197" s="25">
        <v>8.6940000000000008</v>
      </c>
      <c r="BH197" s="25">
        <f t="shared" si="62"/>
        <v>3811.4285714285711</v>
      </c>
      <c r="BI197" s="25">
        <f t="shared" si="63"/>
        <v>1529.065233989681</v>
      </c>
    </row>
    <row r="198" spans="1:61" x14ac:dyDescent="0.2">
      <c r="A198" t="s">
        <v>290</v>
      </c>
      <c r="B198" t="s">
        <v>38</v>
      </c>
      <c r="C198" t="s">
        <v>291</v>
      </c>
      <c r="D198" t="s">
        <v>292</v>
      </c>
      <c r="E198">
        <v>80537</v>
      </c>
      <c r="F198">
        <v>53638</v>
      </c>
      <c r="G198" t="s">
        <v>292</v>
      </c>
      <c r="H198" s="1">
        <v>62.9</v>
      </c>
      <c r="I198" s="1">
        <v>29</v>
      </c>
      <c r="J198" s="11">
        <v>4.7300000000000004</v>
      </c>
      <c r="K198" s="11">
        <f t="shared" ca="1" si="56"/>
        <v>0.13693122361243984</v>
      </c>
      <c r="L198" s="8">
        <v>0.31219999999999998</v>
      </c>
      <c r="M198" s="8">
        <f t="shared" ca="1" si="57"/>
        <v>8.1257329515558151E-3</v>
      </c>
      <c r="N198" s="8">
        <v>0.96155000000000002</v>
      </c>
      <c r="O198" s="9">
        <v>3.2030750000000001</v>
      </c>
      <c r="P198" s="9">
        <f t="shared" ca="1" si="58"/>
        <v>8.336749263588536E-2</v>
      </c>
      <c r="Q198" s="10">
        <v>0.10920000000000001</v>
      </c>
      <c r="R198" s="10">
        <f t="shared" ca="1" si="59"/>
        <v>2.3583799524249695E-3</v>
      </c>
      <c r="S198" s="9">
        <f t="shared" si="60"/>
        <v>0.51593387063792751</v>
      </c>
      <c r="T198" s="12">
        <v>0.11260000000000001</v>
      </c>
      <c r="U198" s="12">
        <f t="shared" ca="1" si="61"/>
        <v>3.5158930586694473E-3</v>
      </c>
      <c r="V198" s="6" t="e">
        <f ca="1">IF(agePb6U8(1/O198)&lt;1400,age7corr(1/O198,Q198,$W$2),agePb76(Q198))</f>
        <v>#NAME?</v>
      </c>
      <c r="W198" s="6" t="e">
        <f ca="1">IF(agePb6U8(1/O198)&lt;1400,ageer7corr(V198,1/O198,P198/O198*(1/O198),Q198,R198,$W$2,0.05),ageerPb76(Q198,R198))</f>
        <v>#NAME?</v>
      </c>
      <c r="X198" s="4" t="e">
        <f ca="1">agePb6U8(L198)/agePb7u5(J198)</f>
        <v>#NAME?</v>
      </c>
      <c r="Z198" s="1">
        <v>4.7300000000000004</v>
      </c>
      <c r="AA198" s="1">
        <v>9.9000000000000005E-2</v>
      </c>
      <c r="AB198" s="1">
        <v>0.31219999999999998</v>
      </c>
      <c r="AC198" s="1">
        <v>5.1999999999999998E-3</v>
      </c>
      <c r="AD198" s="1">
        <v>0.96155000000000002</v>
      </c>
      <c r="AE198" s="1">
        <v>3.2030750000000001</v>
      </c>
      <c r="AF198" s="1">
        <v>5.3350380000000003E-2</v>
      </c>
      <c r="AG198" s="1">
        <v>0.10920000000000001</v>
      </c>
      <c r="AH198" s="1">
        <v>8.8999999999999995E-4</v>
      </c>
      <c r="AI198" s="1">
        <v>-0.24052999999999999</v>
      </c>
      <c r="AJ198" s="1">
        <v>0.11260000000000001</v>
      </c>
      <c r="AK198" s="1">
        <v>2.7000000000000001E-3</v>
      </c>
      <c r="AL198" s="1">
        <v>6.72</v>
      </c>
      <c r="AM198" s="1">
        <v>0.19</v>
      </c>
      <c r="AN198" s="1">
        <v>1772</v>
      </c>
      <c r="AO198" s="1">
        <v>17</v>
      </c>
      <c r="AP198" s="1">
        <v>1751</v>
      </c>
      <c r="AQ198" s="1">
        <v>25</v>
      </c>
      <c r="AR198" s="1">
        <v>2157</v>
      </c>
      <c r="AS198" s="1">
        <v>50</v>
      </c>
      <c r="AT198" s="1">
        <v>1786</v>
      </c>
      <c r="AU198" s="1">
        <v>15</v>
      </c>
      <c r="AV198" s="1">
        <v>13.5</v>
      </c>
      <c r="AW198" s="1">
        <v>1.5</v>
      </c>
      <c r="AX198" s="1">
        <v>2.2300000000000004</v>
      </c>
      <c r="AY198" s="1">
        <v>0.37</v>
      </c>
      <c r="AZ198" s="1">
        <v>20555.100000000002</v>
      </c>
      <c r="BA198" s="1">
        <v>2918.7</v>
      </c>
      <c r="BB198" s="1">
        <v>18505.8</v>
      </c>
      <c r="BC198" s="1">
        <v>2359.7999999999997</v>
      </c>
      <c r="BD198" s="1">
        <v>171396</v>
      </c>
      <c r="BE198" s="1">
        <v>21114</v>
      </c>
      <c r="BF198" s="1">
        <v>9.5013000000000005</v>
      </c>
      <c r="BG198" s="1">
        <v>5.1543000000000001</v>
      </c>
      <c r="BH198" s="1">
        <f t="shared" si="62"/>
        <v>18039.215686274511</v>
      </c>
      <c r="BI198" s="1">
        <f t="shared" si="63"/>
        <v>10035.12188761612</v>
      </c>
    </row>
    <row r="199" spans="1:61" x14ac:dyDescent="0.2">
      <c r="A199" t="s">
        <v>293</v>
      </c>
      <c r="B199" t="s">
        <v>38</v>
      </c>
      <c r="C199" t="s">
        <v>294</v>
      </c>
      <c r="D199" t="s">
        <v>295</v>
      </c>
      <c r="E199">
        <v>80548</v>
      </c>
      <c r="F199">
        <v>53985</v>
      </c>
      <c r="G199" t="s">
        <v>295</v>
      </c>
      <c r="H199" s="1">
        <v>85.1</v>
      </c>
      <c r="I199" s="1">
        <v>26.7</v>
      </c>
      <c r="J199" s="11">
        <v>1.98</v>
      </c>
      <c r="K199" s="11">
        <f t="shared" ca="1" si="56"/>
        <v>0.11691090624916052</v>
      </c>
      <c r="L199" s="8">
        <v>0.1588</v>
      </c>
      <c r="M199" s="8">
        <f t="shared" ca="1" si="57"/>
        <v>9.1677137826177806E-3</v>
      </c>
      <c r="N199" s="8">
        <v>0.98958999999999997</v>
      </c>
      <c r="O199" s="9">
        <v>6.2972289999999997</v>
      </c>
      <c r="P199" s="9">
        <f t="shared" ca="1" si="58"/>
        <v>0.36354654443938317</v>
      </c>
      <c r="Q199" s="10">
        <v>8.9469999999999994E-2</v>
      </c>
      <c r="R199" s="10">
        <f t="shared" ca="1" si="59"/>
        <v>1.9214453830385084E-3</v>
      </c>
      <c r="S199" s="9">
        <f t="shared" si="60"/>
        <v>0.38090331296221341</v>
      </c>
      <c r="T199" s="12">
        <v>9.0300000000000005E-2</v>
      </c>
      <c r="U199" s="12">
        <f t="shared" ca="1" si="61"/>
        <v>3.3319117635375647E-3</v>
      </c>
      <c r="V199" s="6" t="e">
        <f ca="1">IF(agePb6U8(1/O199)&lt;1400,age7corr(1/O199,Q199,$W$2),agePb76(Q199))</f>
        <v>#NAME?</v>
      </c>
      <c r="W199" s="6" t="e">
        <f ca="1">IF(agePb6U8(1/O199)&lt;1400,ageer7corr(V199,1/O199,P199/O199*(1/O199),Q199,R199,$W$2,0.05),ageerPb76(Q199,R199))</f>
        <v>#NAME?</v>
      </c>
      <c r="X199" s="4" t="e">
        <f ca="1">agePb6U8(L199)/agePb7u5(J199)</f>
        <v>#NAME?</v>
      </c>
      <c r="Z199" s="1">
        <v>1.98</v>
      </c>
      <c r="AA199" s="1">
        <v>0.11</v>
      </c>
      <c r="AB199" s="1">
        <v>0.1588</v>
      </c>
      <c r="AC199" s="1">
        <v>8.6E-3</v>
      </c>
      <c r="AD199" s="1">
        <v>0.98958999999999997</v>
      </c>
      <c r="AE199" s="1">
        <v>6.2972289999999997</v>
      </c>
      <c r="AF199" s="1">
        <v>0.3410338</v>
      </c>
      <c r="AG199" s="1">
        <v>8.9469999999999994E-2</v>
      </c>
      <c r="AH199" s="1">
        <v>6.9999999999999999E-4</v>
      </c>
      <c r="AI199" s="1">
        <v>8.5063E-2</v>
      </c>
      <c r="AJ199" s="1">
        <v>9.0300000000000005E-2</v>
      </c>
      <c r="AK199" s="1">
        <v>2.8E-3</v>
      </c>
      <c r="AL199" s="1">
        <v>5.8860000000000001</v>
      </c>
      <c r="AM199" s="1">
        <v>0.04</v>
      </c>
      <c r="AN199" s="1">
        <v>1104</v>
      </c>
      <c r="AO199" s="1">
        <v>38</v>
      </c>
      <c r="AP199" s="1">
        <v>949</v>
      </c>
      <c r="AQ199" s="1">
        <v>48</v>
      </c>
      <c r="AR199" s="1">
        <v>1747</v>
      </c>
      <c r="AS199" s="1">
        <v>52</v>
      </c>
      <c r="AT199" s="1">
        <v>1414</v>
      </c>
      <c r="AU199" s="1">
        <v>15</v>
      </c>
      <c r="AV199" s="1">
        <v>18.2</v>
      </c>
      <c r="AW199" s="1">
        <v>1.4</v>
      </c>
      <c r="AX199" s="1">
        <v>2.0529999999999999</v>
      </c>
      <c r="AY199" s="1">
        <v>8.1000000000000003E-2</v>
      </c>
      <c r="AZ199" s="1">
        <v>15525</v>
      </c>
      <c r="BA199" s="1">
        <v>745.2</v>
      </c>
      <c r="BB199" s="1">
        <v>9954.6299999999992</v>
      </c>
      <c r="BC199" s="1">
        <v>447.12</v>
      </c>
      <c r="BD199" s="1">
        <v>113953.5</v>
      </c>
      <c r="BE199" s="1">
        <v>5402.7</v>
      </c>
      <c r="BF199" s="1">
        <v>-2.1114000000000002</v>
      </c>
      <c r="BG199" s="1">
        <v>5.7131999999999996</v>
      </c>
      <c r="BH199" s="1">
        <f t="shared" si="62"/>
        <v>-53970.588235294112</v>
      </c>
      <c r="BI199" s="1">
        <f t="shared" si="63"/>
        <v>-146060.47793103827</v>
      </c>
    </row>
    <row r="200" spans="1:61" x14ac:dyDescent="0.2">
      <c r="A200" t="s">
        <v>296</v>
      </c>
      <c r="B200" t="s">
        <v>38</v>
      </c>
      <c r="C200" t="s">
        <v>297</v>
      </c>
      <c r="D200" t="s">
        <v>298</v>
      </c>
      <c r="E200">
        <v>80526</v>
      </c>
      <c r="F200">
        <v>54613</v>
      </c>
      <c r="G200" t="s">
        <v>298</v>
      </c>
      <c r="H200" s="1">
        <v>34.4</v>
      </c>
      <c r="I200" s="1">
        <v>19.52</v>
      </c>
      <c r="J200" s="11">
        <v>1.8680000000000001</v>
      </c>
      <c r="K200" s="11">
        <f t="shared" ca="1" si="56"/>
        <v>7.9345885841674235E-2</v>
      </c>
      <c r="L200" s="8">
        <v>0.17899999999999999</v>
      </c>
      <c r="M200" s="8">
        <f t="shared" ca="1" si="57"/>
        <v>7.5084219380639498E-3</v>
      </c>
      <c r="N200" s="8">
        <v>0.94152999999999998</v>
      </c>
      <c r="O200" s="9">
        <v>5.5865919999999996</v>
      </c>
      <c r="P200" s="9">
        <f t="shared" ca="1" si="58"/>
        <v>0.23433795566018667</v>
      </c>
      <c r="Q200" s="10">
        <v>7.5069999999999998E-2</v>
      </c>
      <c r="R200" s="10">
        <f t="shared" ca="1" si="59"/>
        <v>1.7012354216862523E-3</v>
      </c>
      <c r="S200" s="9">
        <f t="shared" si="60"/>
        <v>0.29797952154608626</v>
      </c>
      <c r="T200" s="12">
        <v>6.6299999999999998E-2</v>
      </c>
      <c r="U200" s="12">
        <f t="shared" ca="1" si="61"/>
        <v>2.4836014172970669E-3</v>
      </c>
      <c r="V200" s="6" t="e">
        <f ca="1">IF(agePb6U8(1/O200)&lt;1400,age7corr(1/O200,Q200,$W$2),agePb76(Q200))</f>
        <v>#NAME?</v>
      </c>
      <c r="W200" s="6" t="e">
        <f ca="1">IF(agePb6U8(1/O200)&lt;1400,ageer7corr(V200,1/O200,P200/O200*(1/O200),Q200,R200,$W$2,0.05),ageerPb76(Q200,R200))</f>
        <v>#NAME?</v>
      </c>
      <c r="X200" s="4" t="e">
        <f ca="1">agePb6U8(L200)/agePb7u5(J200)</f>
        <v>#NAME?</v>
      </c>
      <c r="Z200" s="1">
        <v>1.8680000000000001</v>
      </c>
      <c r="AA200" s="1">
        <v>7.0000000000000007E-2</v>
      </c>
      <c r="AB200" s="1">
        <v>0.17899999999999999</v>
      </c>
      <c r="AC200" s="1">
        <v>6.6E-3</v>
      </c>
      <c r="AD200" s="1">
        <v>0.94152999999999998</v>
      </c>
      <c r="AE200" s="1">
        <v>5.5865919999999996</v>
      </c>
      <c r="AF200" s="1">
        <v>0.20598610000000001</v>
      </c>
      <c r="AG200" s="1">
        <v>7.5069999999999998E-2</v>
      </c>
      <c r="AH200" s="1">
        <v>8.0000000000000004E-4</v>
      </c>
      <c r="AI200" s="1">
        <v>9.4100000000000003E-2</v>
      </c>
      <c r="AJ200" s="1">
        <v>6.6299999999999998E-2</v>
      </c>
      <c r="AK200" s="1">
        <v>2.0999999999999999E-3</v>
      </c>
      <c r="AL200" s="1">
        <v>4.9050000000000002</v>
      </c>
      <c r="AM200" s="1">
        <v>2.8000000000000001E-2</v>
      </c>
      <c r="AN200" s="1">
        <v>1068</v>
      </c>
      <c r="AO200" s="1">
        <v>25</v>
      </c>
      <c r="AP200" s="1">
        <v>1061</v>
      </c>
      <c r="AQ200" s="1">
        <v>36</v>
      </c>
      <c r="AR200" s="1">
        <v>1296</v>
      </c>
      <c r="AS200" s="1">
        <v>41</v>
      </c>
      <c r="AT200" s="1">
        <v>1070</v>
      </c>
      <c r="AU200" s="1">
        <v>21</v>
      </c>
      <c r="AV200" s="1">
        <v>7.36</v>
      </c>
      <c r="AW200" s="1">
        <v>0.28999999999999998</v>
      </c>
      <c r="AX200" s="1">
        <v>1.5029999999999999</v>
      </c>
      <c r="AY200" s="1">
        <v>4.1000000000000002E-2</v>
      </c>
      <c r="AZ200" s="1">
        <v>8346.24</v>
      </c>
      <c r="BA200" s="1">
        <v>186.3</v>
      </c>
      <c r="BB200" s="1">
        <v>3794.3099999999995</v>
      </c>
      <c r="BC200" s="1">
        <v>80.72999999999999</v>
      </c>
      <c r="BD200" s="1">
        <v>51170.399999999994</v>
      </c>
      <c r="BE200" s="1">
        <v>993.6</v>
      </c>
      <c r="BF200" s="1">
        <v>43.47</v>
      </c>
      <c r="BG200" s="1">
        <v>7.4519999999999991</v>
      </c>
      <c r="BH200" s="1">
        <f t="shared" si="62"/>
        <v>1177.1428571428571</v>
      </c>
      <c r="BI200" s="1">
        <f t="shared" si="63"/>
        <v>203.086291140768</v>
      </c>
    </row>
    <row r="201" spans="1:61" x14ac:dyDescent="0.2">
      <c r="A201" t="s">
        <v>299</v>
      </c>
      <c r="B201" t="s">
        <v>38</v>
      </c>
      <c r="C201" t="s">
        <v>300</v>
      </c>
      <c r="D201" t="s">
        <v>301</v>
      </c>
      <c r="E201">
        <v>80533</v>
      </c>
      <c r="F201">
        <v>54737</v>
      </c>
      <c r="G201" t="s">
        <v>301</v>
      </c>
      <c r="H201" s="1">
        <v>333.1</v>
      </c>
      <c r="I201" s="1">
        <v>281.10000000000002</v>
      </c>
      <c r="J201" s="11">
        <v>2.1949999999999998</v>
      </c>
      <c r="K201" s="11">
        <f t="shared" ca="1" si="56"/>
        <v>9.5667183506153247E-2</v>
      </c>
      <c r="L201" s="8">
        <v>0.1913</v>
      </c>
      <c r="M201" s="8">
        <f t="shared" ca="1" si="57"/>
        <v>8.0652511430209031E-3</v>
      </c>
      <c r="N201" s="8">
        <v>0.98889000000000005</v>
      </c>
      <c r="O201" s="9">
        <v>5.227392</v>
      </c>
      <c r="P201" s="9">
        <f t="shared" ca="1" si="58"/>
        <v>0.22038799466004405</v>
      </c>
      <c r="Q201" s="10">
        <v>8.2519999999999996E-2</v>
      </c>
      <c r="R201" s="10">
        <f t="shared" ca="1" si="59"/>
        <v>1.7364965188562862E-3</v>
      </c>
      <c r="S201" s="9">
        <f t="shared" si="60"/>
        <v>0.53825568569602755</v>
      </c>
      <c r="T201" s="12">
        <v>7.17E-2</v>
      </c>
      <c r="U201" s="12">
        <f t="shared" ca="1" si="61"/>
        <v>2.795774669031823E-3</v>
      </c>
      <c r="V201" s="6" t="e">
        <f ca="1">IF(agePb6U8(1/O201)&lt;1400,age7corr(1/O201,Q201,$W$2),agePb76(Q201))</f>
        <v>#NAME?</v>
      </c>
      <c r="W201" s="6" t="e">
        <f ca="1">IF(agePb6U8(1/O201)&lt;1400,ageer7corr(V201,1/O201,P201/O201*(1/O201),Q201,R201,$W$2,0.05),ageerPb76(Q201,R201))</f>
        <v>#NAME?</v>
      </c>
      <c r="X201" s="4" t="e">
        <f ca="1">agePb6U8(L201)/agePb7u5(J201)</f>
        <v>#NAME?</v>
      </c>
      <c r="Z201" s="1">
        <v>2.1949999999999998</v>
      </c>
      <c r="AA201" s="1">
        <v>8.5000000000000006E-2</v>
      </c>
      <c r="AB201" s="1">
        <v>0.1913</v>
      </c>
      <c r="AC201" s="1">
        <v>7.1000000000000004E-3</v>
      </c>
      <c r="AD201" s="1">
        <v>0.98889000000000005</v>
      </c>
      <c r="AE201" s="1">
        <v>5.227392</v>
      </c>
      <c r="AF201" s="1">
        <v>0.19401189999999999</v>
      </c>
      <c r="AG201" s="1">
        <v>8.2519999999999996E-2</v>
      </c>
      <c r="AH201" s="1">
        <v>5.4000000000000001E-4</v>
      </c>
      <c r="AI201" s="1">
        <v>-0.27715000000000001</v>
      </c>
      <c r="AJ201" s="1">
        <v>7.17E-2</v>
      </c>
      <c r="AK201" s="1">
        <v>2.3999999999999998E-3</v>
      </c>
      <c r="AL201" s="1">
        <v>3.2970000000000002</v>
      </c>
      <c r="AM201" s="1">
        <v>1.0999999999999999E-2</v>
      </c>
      <c r="AN201" s="1">
        <v>1178</v>
      </c>
      <c r="AO201" s="1">
        <v>27</v>
      </c>
      <c r="AP201" s="1">
        <v>1128</v>
      </c>
      <c r="AQ201" s="1">
        <v>38</v>
      </c>
      <c r="AR201" s="1">
        <v>1399</v>
      </c>
      <c r="AS201" s="1">
        <v>45</v>
      </c>
      <c r="AT201" s="1">
        <v>1258</v>
      </c>
      <c r="AU201" s="1">
        <v>13</v>
      </c>
      <c r="AV201" s="1">
        <v>71.3</v>
      </c>
      <c r="AW201" s="1">
        <v>1.5</v>
      </c>
      <c r="AX201" s="1">
        <v>21.65</v>
      </c>
      <c r="AY201" s="1">
        <v>0.7</v>
      </c>
      <c r="AZ201" s="1">
        <v>129354.30000000002</v>
      </c>
      <c r="BA201" s="1">
        <v>3539.7000000000003</v>
      </c>
      <c r="BB201" s="1">
        <v>43470</v>
      </c>
      <c r="BC201" s="1">
        <v>1242</v>
      </c>
      <c r="BD201" s="1">
        <v>532818</v>
      </c>
      <c r="BE201" s="1">
        <v>14283</v>
      </c>
      <c r="BF201" s="1">
        <v>11.177999999999999</v>
      </c>
      <c r="BG201" s="1">
        <v>7.4519999999999991</v>
      </c>
      <c r="BH201" s="1">
        <f t="shared" si="62"/>
        <v>47666.666666666672</v>
      </c>
      <c r="BI201" s="1">
        <f t="shared" si="63"/>
        <v>31803.456990446964</v>
      </c>
    </row>
    <row r="202" spans="1:61" x14ac:dyDescent="0.2">
      <c r="A202" t="s">
        <v>308</v>
      </c>
      <c r="B202" t="s">
        <v>38</v>
      </c>
      <c r="C202" t="s">
        <v>309</v>
      </c>
      <c r="D202" t="s">
        <v>310</v>
      </c>
      <c r="E202">
        <v>80615</v>
      </c>
      <c r="F202">
        <v>54946</v>
      </c>
      <c r="G202" t="s">
        <v>310</v>
      </c>
      <c r="H202" s="1">
        <v>94.1</v>
      </c>
      <c r="I202" s="1">
        <v>64.5</v>
      </c>
      <c r="J202" s="11">
        <v>5.0599999999999996</v>
      </c>
      <c r="K202" s="11">
        <f t="shared" ca="1" si="56"/>
        <v>0.22414602383267923</v>
      </c>
      <c r="L202" s="8">
        <v>0.31</v>
      </c>
      <c r="M202" s="8">
        <f t="shared" ca="1" si="57"/>
        <v>1.2626955294131678E-2</v>
      </c>
      <c r="N202" s="8">
        <v>0.99145000000000005</v>
      </c>
      <c r="O202" s="9">
        <v>3.225806</v>
      </c>
      <c r="P202" s="9">
        <f t="shared" ca="1" si="58"/>
        <v>0.13139391130742853</v>
      </c>
      <c r="Q202" s="10">
        <v>0.11736000000000001</v>
      </c>
      <c r="R202" s="10">
        <f t="shared" ca="1" si="59"/>
        <v>2.4963669281577979E-3</v>
      </c>
      <c r="S202" s="9">
        <f t="shared" si="60"/>
        <v>0.47104573932564869</v>
      </c>
      <c r="T202" s="12">
        <v>0.1173</v>
      </c>
      <c r="U202" s="12">
        <f t="shared" ca="1" si="61"/>
        <v>4.1308250991781295E-3</v>
      </c>
      <c r="V202" s="6" t="e">
        <f ca="1">IF(agePb6U8(1/O202)&lt;1400,age7corr(1/O202,Q202,$W$2),agePb76(Q202))</f>
        <v>#NAME?</v>
      </c>
      <c r="W202" s="6" t="e">
        <f ca="1">IF(agePb6U8(1/O202)&lt;1400,ageer7corr(V202,1/O202,P202/O202*(1/O202),Q202,R202,$W$2,0.05),ageerPb76(Q202,R202))</f>
        <v>#NAME?</v>
      </c>
      <c r="X202" s="4" t="e">
        <f ca="1">agePb6U8(L202)/agePb7u5(J202)</f>
        <v>#NAME?</v>
      </c>
      <c r="Z202" s="1">
        <v>5.0599999999999996</v>
      </c>
      <c r="AA202" s="1">
        <v>0.2</v>
      </c>
      <c r="AB202" s="1">
        <v>0.31</v>
      </c>
      <c r="AC202" s="1">
        <v>1.0999999999999999E-2</v>
      </c>
      <c r="AD202" s="1">
        <v>0.99145000000000005</v>
      </c>
      <c r="AE202" s="1">
        <v>3.225806</v>
      </c>
      <c r="AF202" s="1">
        <v>0.1144641</v>
      </c>
      <c r="AG202" s="1">
        <v>0.11736000000000001</v>
      </c>
      <c r="AH202" s="1">
        <v>8.4999999999999995E-4</v>
      </c>
      <c r="AI202" s="1">
        <v>-0.47354000000000002</v>
      </c>
      <c r="AJ202" s="1">
        <v>0.1173</v>
      </c>
      <c r="AK202" s="1">
        <v>3.3999999999999998E-3</v>
      </c>
      <c r="AL202" s="1">
        <v>3.9860000000000002</v>
      </c>
      <c r="AM202" s="1">
        <v>1.7000000000000001E-2</v>
      </c>
      <c r="AN202" s="1">
        <v>1826</v>
      </c>
      <c r="AO202" s="1">
        <v>34</v>
      </c>
      <c r="AP202" s="1">
        <v>1739</v>
      </c>
      <c r="AQ202" s="1">
        <v>56</v>
      </c>
      <c r="AR202" s="1">
        <v>2242</v>
      </c>
      <c r="AS202" s="1">
        <v>61</v>
      </c>
      <c r="AT202" s="1">
        <v>1916</v>
      </c>
      <c r="AU202" s="1">
        <v>13</v>
      </c>
      <c r="AV202" s="1">
        <v>20.13</v>
      </c>
      <c r="AW202" s="1">
        <v>0.48000000000000004</v>
      </c>
      <c r="AX202" s="1">
        <v>4.97</v>
      </c>
      <c r="AY202" s="1">
        <v>0.19</v>
      </c>
      <c r="AZ202" s="1">
        <v>48313.8</v>
      </c>
      <c r="BA202" s="1">
        <v>1055.7</v>
      </c>
      <c r="BB202" s="1">
        <v>28007.100000000002</v>
      </c>
      <c r="BC202" s="1">
        <v>745.2</v>
      </c>
      <c r="BD202" s="1">
        <v>240016.5</v>
      </c>
      <c r="BE202" s="1">
        <v>5713.2</v>
      </c>
      <c r="BF202" s="1">
        <v>36.018000000000001</v>
      </c>
      <c r="BG202" s="1">
        <v>10.556999999999999</v>
      </c>
      <c r="BH202" s="1">
        <f t="shared" si="62"/>
        <v>6663.7931034482754</v>
      </c>
      <c r="BI202" s="1">
        <f t="shared" si="63"/>
        <v>1959.611062283677</v>
      </c>
    </row>
    <row r="203" spans="1:61" x14ac:dyDescent="0.2">
      <c r="A203" t="s">
        <v>311</v>
      </c>
      <c r="B203" t="s">
        <v>38</v>
      </c>
      <c r="C203" t="s">
        <v>312</v>
      </c>
      <c r="D203" t="s">
        <v>313</v>
      </c>
      <c r="E203">
        <v>80714</v>
      </c>
      <c r="F203">
        <v>54984</v>
      </c>
      <c r="G203" t="s">
        <v>313</v>
      </c>
      <c r="H203" s="1">
        <v>53.9</v>
      </c>
      <c r="I203" s="1">
        <v>31.5</v>
      </c>
      <c r="J203" s="11">
        <v>2.5299999999999998</v>
      </c>
      <c r="K203" s="11">
        <f t="shared" ca="1" si="56"/>
        <v>0.14886356169324985</v>
      </c>
      <c r="L203" s="8">
        <v>0.214</v>
      </c>
      <c r="M203" s="8">
        <f t="shared" ca="1" si="57"/>
        <v>1.4639617481341512E-2</v>
      </c>
      <c r="N203" s="8">
        <v>0.99231999999999998</v>
      </c>
      <c r="O203" s="9">
        <v>4.6728969999999999</v>
      </c>
      <c r="P203" s="9">
        <f t="shared" ca="1" si="58"/>
        <v>0.31967026386888669</v>
      </c>
      <c r="Q203" s="10">
        <v>8.3750000000000005E-2</v>
      </c>
      <c r="R203" s="10">
        <f t="shared" ca="1" si="59"/>
        <v>1.811553200985276E-3</v>
      </c>
      <c r="S203" s="9">
        <f t="shared" si="60"/>
        <v>0.47135457530065689</v>
      </c>
      <c r="T203" s="12">
        <v>8.7599999999999997E-2</v>
      </c>
      <c r="U203" s="12">
        <f t="shared" ca="1" si="61"/>
        <v>4.093837319679423E-3</v>
      </c>
      <c r="V203" s="6" t="e">
        <f ca="1">IF(agePb6U8(1/O203)&lt;1400,age7corr(1/O203,Q203,$W$2),agePb76(Q203))</f>
        <v>#NAME?</v>
      </c>
      <c r="W203" s="6" t="e">
        <f ca="1">IF(agePb6U8(1/O203)&lt;1400,ageer7corr(V203,1/O203,P203/O203*(1/O203),Q203,R203,$W$2,0.05),ageerPb76(Q203,R203))</f>
        <v>#NAME?</v>
      </c>
      <c r="X203" s="4" t="e">
        <f ca="1">agePb6U8(L203)/agePb7u5(J203)</f>
        <v>#NAME?</v>
      </c>
      <c r="Z203" s="1">
        <v>2.5299999999999998</v>
      </c>
      <c r="AA203" s="1">
        <v>0.14000000000000001</v>
      </c>
      <c r="AB203" s="1">
        <v>0.214</v>
      </c>
      <c r="AC203" s="1">
        <v>1.4E-2</v>
      </c>
      <c r="AD203" s="1">
        <v>0.99231999999999998</v>
      </c>
      <c r="AE203" s="1">
        <v>4.6728969999999999</v>
      </c>
      <c r="AF203" s="1">
        <v>0.30570360000000002</v>
      </c>
      <c r="AG203" s="1">
        <v>8.3750000000000005E-2</v>
      </c>
      <c r="AH203" s="1">
        <v>6.8999999999999997E-4</v>
      </c>
      <c r="AI203" s="1">
        <v>5.0202999999999998E-2</v>
      </c>
      <c r="AJ203" s="1">
        <v>8.7599999999999997E-2</v>
      </c>
      <c r="AK203" s="1">
        <v>3.7000000000000002E-3</v>
      </c>
      <c r="AL203" s="1">
        <v>4.3150000000000004</v>
      </c>
      <c r="AM203" s="1">
        <v>3.9E-2</v>
      </c>
      <c r="AN203" s="1">
        <v>1277</v>
      </c>
      <c r="AO203" s="1">
        <v>42</v>
      </c>
      <c r="AP203" s="1">
        <v>1249</v>
      </c>
      <c r="AQ203" s="1">
        <v>73</v>
      </c>
      <c r="AR203" s="1">
        <v>1696</v>
      </c>
      <c r="AS203" s="1">
        <v>68</v>
      </c>
      <c r="AT203" s="1">
        <v>1286</v>
      </c>
      <c r="AU203" s="1">
        <v>16</v>
      </c>
      <c r="AV203" s="1">
        <v>11.530000000000001</v>
      </c>
      <c r="AW203" s="1">
        <v>0.63</v>
      </c>
      <c r="AX203" s="1">
        <v>2.4239999999999999</v>
      </c>
      <c r="AY203" s="1">
        <v>9.0000000000000011E-2</v>
      </c>
      <c r="AZ203" s="1">
        <v>17698.5</v>
      </c>
      <c r="BA203" s="1">
        <v>931.50000000000011</v>
      </c>
      <c r="BB203" s="1">
        <v>7880.4899999999989</v>
      </c>
      <c r="BC203" s="1">
        <v>385.02</v>
      </c>
      <c r="BD203" s="1">
        <v>95323.5</v>
      </c>
      <c r="BE203" s="1">
        <v>4657.5</v>
      </c>
      <c r="BF203" s="1">
        <v>-6.2099999999999991</v>
      </c>
      <c r="BG203" s="1">
        <v>6.2099999999999991</v>
      </c>
      <c r="BH203" s="1">
        <f t="shared" si="62"/>
        <v>-15350.000000000002</v>
      </c>
      <c r="BI203" s="1">
        <f t="shared" si="63"/>
        <v>-15368.311553322965</v>
      </c>
    </row>
    <row r="204" spans="1:61" x14ac:dyDescent="0.2">
      <c r="A204" t="s">
        <v>314</v>
      </c>
      <c r="B204" t="s">
        <v>38</v>
      </c>
      <c r="C204" t="s">
        <v>315</v>
      </c>
      <c r="D204" t="s">
        <v>316</v>
      </c>
      <c r="E204">
        <v>80638</v>
      </c>
      <c r="F204">
        <v>55135</v>
      </c>
      <c r="G204" t="s">
        <v>316</v>
      </c>
      <c r="H204" s="1">
        <v>134.5</v>
      </c>
      <c r="I204" s="1">
        <v>74.8</v>
      </c>
      <c r="J204" s="11">
        <v>2.4929999999999999</v>
      </c>
      <c r="K204" s="11">
        <f t="shared" ca="1" si="56"/>
        <v>9.0895652261260548E-2</v>
      </c>
      <c r="L204" s="8">
        <v>0.20660000000000001</v>
      </c>
      <c r="M204" s="8">
        <f t="shared" ca="1" si="57"/>
        <v>7.2851509249980536E-3</v>
      </c>
      <c r="N204" s="8">
        <v>0.97338999999999998</v>
      </c>
      <c r="O204" s="9">
        <v>4.8402710000000004</v>
      </c>
      <c r="P204" s="9">
        <f t="shared" ca="1" si="58"/>
        <v>0.17067811061722707</v>
      </c>
      <c r="Q204" s="10">
        <v>8.6809999999999998E-2</v>
      </c>
      <c r="R204" s="10">
        <f t="shared" ca="1" si="59"/>
        <v>1.8912668875650522E-3</v>
      </c>
      <c r="S204" s="9">
        <f t="shared" si="60"/>
        <v>0.49843348011370769</v>
      </c>
      <c r="T204" s="12">
        <v>7.9899999999999999E-2</v>
      </c>
      <c r="U204" s="12">
        <f t="shared" ca="1" si="61"/>
        <v>3.1374518322995816E-3</v>
      </c>
      <c r="V204" s="6" t="e">
        <f ca="1">IF(agePb6U8(1/O204)&lt;1400,age7corr(1/O204,Q204,$W$2),agePb76(Q204))</f>
        <v>#NAME?</v>
      </c>
      <c r="W204" s="6" t="e">
        <f ca="1">IF(agePb6U8(1/O204)&lt;1400,ageer7corr(V204,1/O204,P204/O204*(1/O204),Q204,R204,$W$2,0.05),ageerPb76(Q204,R204))</f>
        <v>#NAME?</v>
      </c>
      <c r="X204" s="4" t="e">
        <f ca="1">agePb6U8(L204)/agePb7u5(J204)</f>
        <v>#NAME?</v>
      </c>
      <c r="Z204" s="1">
        <v>2.4929999999999999</v>
      </c>
      <c r="AA204" s="1">
        <v>7.5999999999999998E-2</v>
      </c>
      <c r="AB204" s="1">
        <v>0.20660000000000001</v>
      </c>
      <c r="AC204" s="1">
        <v>6.0000000000000001E-3</v>
      </c>
      <c r="AD204" s="1">
        <v>0.97338999999999998</v>
      </c>
      <c r="AE204" s="1">
        <v>4.8402710000000004</v>
      </c>
      <c r="AF204" s="1">
        <v>0.14056930000000001</v>
      </c>
      <c r="AG204" s="1">
        <v>8.6809999999999998E-2</v>
      </c>
      <c r="AH204" s="1">
        <v>7.5000000000000002E-4</v>
      </c>
      <c r="AI204" s="1">
        <v>-0.24812999999999999</v>
      </c>
      <c r="AJ204" s="1">
        <v>7.9899999999999999E-2</v>
      </c>
      <c r="AK204" s="1">
        <v>2.7000000000000001E-3</v>
      </c>
      <c r="AL204" s="1">
        <v>4.9379999999999997</v>
      </c>
      <c r="AM204" s="1">
        <v>3.5999999999999997E-2</v>
      </c>
      <c r="AN204" s="1">
        <v>1269</v>
      </c>
      <c r="AO204" s="1">
        <v>22</v>
      </c>
      <c r="AP204" s="1">
        <v>1210</v>
      </c>
      <c r="AQ204" s="1">
        <v>32</v>
      </c>
      <c r="AR204" s="1">
        <v>1553</v>
      </c>
      <c r="AS204" s="1">
        <v>51</v>
      </c>
      <c r="AT204" s="1">
        <v>1356</v>
      </c>
      <c r="AU204" s="1">
        <v>17</v>
      </c>
      <c r="AV204" s="1">
        <v>28.77</v>
      </c>
      <c r="AW204" s="1">
        <v>0.65</v>
      </c>
      <c r="AX204" s="1">
        <v>5.7600000000000007</v>
      </c>
      <c r="AY204" s="1">
        <v>0.21000000000000002</v>
      </c>
      <c r="AZ204" s="1">
        <v>37508.400000000009</v>
      </c>
      <c r="BA204" s="1">
        <v>1117.8000000000002</v>
      </c>
      <c r="BB204" s="1">
        <v>19859.580000000002</v>
      </c>
      <c r="BC204" s="1">
        <v>534.05999999999995</v>
      </c>
      <c r="BD204" s="1">
        <v>231633</v>
      </c>
      <c r="BE204" s="1">
        <v>5713.2</v>
      </c>
      <c r="BF204" s="1">
        <v>68.930999999999997</v>
      </c>
      <c r="BG204" s="1">
        <v>11.177999999999999</v>
      </c>
      <c r="BH204" s="1">
        <f t="shared" si="62"/>
        <v>3360.3603603603606</v>
      </c>
      <c r="BI204" s="1">
        <f t="shared" si="63"/>
        <v>551.19050879788711</v>
      </c>
    </row>
    <row r="205" spans="1:61" x14ac:dyDescent="0.2">
      <c r="A205" t="s">
        <v>317</v>
      </c>
      <c r="B205" t="s">
        <v>38</v>
      </c>
      <c r="C205" t="s">
        <v>318</v>
      </c>
      <c r="D205" t="s">
        <v>319</v>
      </c>
      <c r="E205">
        <v>80653</v>
      </c>
      <c r="F205">
        <v>55324</v>
      </c>
      <c r="G205" t="s">
        <v>319</v>
      </c>
      <c r="H205" s="1">
        <v>90.7</v>
      </c>
      <c r="I205" s="1">
        <v>45</v>
      </c>
      <c r="J205" s="11">
        <v>2.48</v>
      </c>
      <c r="K205" s="11">
        <f t="shared" ca="1" si="56"/>
        <v>0.11162508678608049</v>
      </c>
      <c r="L205" s="8">
        <v>0.2145</v>
      </c>
      <c r="M205" s="8">
        <f t="shared" ca="1" si="57"/>
        <v>9.0776704060017508E-3</v>
      </c>
      <c r="N205" s="8">
        <v>0.98302</v>
      </c>
      <c r="O205" s="9">
        <v>4.6620049999999997</v>
      </c>
      <c r="P205" s="9">
        <f t="shared" ca="1" si="58"/>
        <v>0.19729670156518078</v>
      </c>
      <c r="Q205" s="10">
        <v>8.2970000000000002E-2</v>
      </c>
      <c r="R205" s="10">
        <f t="shared" ca="1" si="59"/>
        <v>1.771442451788937E-3</v>
      </c>
      <c r="S205" s="9">
        <f t="shared" si="60"/>
        <v>0.52788419108838414</v>
      </c>
      <c r="T205" s="12">
        <v>8.2100000000000006E-2</v>
      </c>
      <c r="U205" s="12">
        <f t="shared" ca="1" si="61"/>
        <v>3.3325911840488328E-3</v>
      </c>
      <c r="V205" s="6" t="e">
        <f ca="1">IF(agePb6U8(1/O205)&lt;1400,age7corr(1/O205,Q205,$W$2),agePb76(Q205))</f>
        <v>#NAME?</v>
      </c>
      <c r="W205" s="6" t="e">
        <f ca="1">IF(agePb6U8(1/O205)&lt;1400,ageer7corr(V205,1/O205,P205/O205*(1/O205),Q205,R205,$W$2,0.05),ageerPb76(Q205,R205))</f>
        <v>#NAME?</v>
      </c>
      <c r="X205" s="4" t="e">
        <f ca="1">agePb6U8(L205)/agePb7u5(J205)</f>
        <v>#NAME?</v>
      </c>
      <c r="Z205" s="1">
        <v>2.48</v>
      </c>
      <c r="AA205" s="1">
        <v>0.1</v>
      </c>
      <c r="AB205" s="1">
        <v>0.2145</v>
      </c>
      <c r="AC205" s="1">
        <v>8.0000000000000002E-3</v>
      </c>
      <c r="AD205" s="1">
        <v>0.98302</v>
      </c>
      <c r="AE205" s="1">
        <v>4.6620049999999997</v>
      </c>
      <c r="AF205" s="1">
        <v>0.17387430000000001</v>
      </c>
      <c r="AG205" s="1">
        <v>8.2970000000000002E-2</v>
      </c>
      <c r="AH205" s="1">
        <v>6.2E-4</v>
      </c>
      <c r="AI205" s="1">
        <v>-0.14538999999999999</v>
      </c>
      <c r="AJ205" s="1">
        <v>8.2100000000000006E-2</v>
      </c>
      <c r="AK205" s="1">
        <v>2.8999999999999998E-3</v>
      </c>
      <c r="AL205" s="1">
        <v>5.5490000000000004</v>
      </c>
      <c r="AM205" s="1">
        <v>3.1E-2</v>
      </c>
      <c r="AN205" s="1">
        <v>1263</v>
      </c>
      <c r="AO205" s="1">
        <v>29</v>
      </c>
      <c r="AP205" s="1">
        <v>1252</v>
      </c>
      <c r="AQ205" s="1">
        <v>43</v>
      </c>
      <c r="AR205" s="1">
        <v>1595</v>
      </c>
      <c r="AS205" s="1">
        <v>54</v>
      </c>
      <c r="AT205" s="1">
        <v>1268</v>
      </c>
      <c r="AU205" s="1">
        <v>15</v>
      </c>
      <c r="AV205" s="1">
        <v>19.400000000000002</v>
      </c>
      <c r="AW205" s="1">
        <v>0.55000000000000004</v>
      </c>
      <c r="AX205" s="1">
        <v>3.46</v>
      </c>
      <c r="AY205" s="1">
        <v>0.19</v>
      </c>
      <c r="AZ205" s="1">
        <v>23163.3</v>
      </c>
      <c r="BA205" s="1">
        <v>745.2</v>
      </c>
      <c r="BB205" s="1">
        <v>13158.99</v>
      </c>
      <c r="BC205" s="1">
        <v>378.81</v>
      </c>
      <c r="BD205" s="1">
        <v>160342.20000000001</v>
      </c>
      <c r="BE205" s="1">
        <v>4843.8</v>
      </c>
      <c r="BF205" s="1">
        <v>9.9359999999999999</v>
      </c>
      <c r="BG205" s="1">
        <v>6.8310000000000004</v>
      </c>
      <c r="BH205" s="1">
        <f t="shared" si="62"/>
        <v>16137.500000000002</v>
      </c>
      <c r="BI205" s="1">
        <f t="shared" si="63"/>
        <v>11105.236598435289</v>
      </c>
    </row>
    <row r="206" spans="1:61" x14ac:dyDescent="0.2">
      <c r="A206" t="s">
        <v>320</v>
      </c>
      <c r="B206" t="s">
        <v>38</v>
      </c>
      <c r="C206" t="s">
        <v>321</v>
      </c>
      <c r="D206" t="s">
        <v>322</v>
      </c>
      <c r="E206">
        <v>80692</v>
      </c>
      <c r="F206">
        <v>55462</v>
      </c>
      <c r="G206" t="s">
        <v>322</v>
      </c>
      <c r="H206" s="1">
        <v>233</v>
      </c>
      <c r="I206" s="1">
        <v>155</v>
      </c>
      <c r="J206" s="11">
        <v>2.9</v>
      </c>
      <c r="K206" s="11">
        <f t="shared" ca="1" si="56"/>
        <v>0.17018813119603848</v>
      </c>
      <c r="L206" s="8">
        <v>0.22600000000000001</v>
      </c>
      <c r="M206" s="8">
        <f t="shared" ca="1" si="57"/>
        <v>1.3763371679933663E-2</v>
      </c>
      <c r="N206" s="8">
        <v>0.99465999999999999</v>
      </c>
      <c r="O206" s="9">
        <v>4.424779</v>
      </c>
      <c r="P206" s="9">
        <f t="shared" ca="1" si="58"/>
        <v>0.26946850000478056</v>
      </c>
      <c r="Q206" s="10">
        <v>9.2170000000000002E-2</v>
      </c>
      <c r="R206" s="10">
        <f t="shared" ca="1" si="59"/>
        <v>1.9355163548779434E-3</v>
      </c>
      <c r="S206" s="9">
        <f t="shared" si="60"/>
        <v>0.56376599532827998</v>
      </c>
      <c r="T206" s="12">
        <v>8.8400000000000006E-2</v>
      </c>
      <c r="U206" s="12">
        <f t="shared" ca="1" si="61"/>
        <v>6.1592064423917478E-3</v>
      </c>
      <c r="V206" s="6" t="e">
        <f ca="1">IF(agePb6U8(1/O206)&lt;1400,age7corr(1/O206,Q206,$W$2),agePb76(Q206))</f>
        <v>#NAME?</v>
      </c>
      <c r="W206" s="6" t="e">
        <f ca="1">IF(agePb6U8(1/O206)&lt;1400,ageer7corr(V206,1/O206,P206/O206*(1/O206),Q206,R206,$W$2,0.05),ageerPb76(Q206,R206))</f>
        <v>#NAME?</v>
      </c>
      <c r="X206" s="4" t="e">
        <f ca="1">agePb6U8(L206)/agePb7u5(J206)</f>
        <v>#NAME?</v>
      </c>
      <c r="Z206" s="1">
        <v>2.9</v>
      </c>
      <c r="AA206" s="1">
        <v>0.16</v>
      </c>
      <c r="AB206" s="1">
        <v>0.22600000000000001</v>
      </c>
      <c r="AC206" s="1">
        <v>1.2999999999999999E-2</v>
      </c>
      <c r="AD206" s="1">
        <v>0.99465999999999999</v>
      </c>
      <c r="AE206" s="1">
        <v>4.424779</v>
      </c>
      <c r="AF206" s="1">
        <v>0.25452269999999999</v>
      </c>
      <c r="AG206" s="1">
        <v>9.2170000000000002E-2</v>
      </c>
      <c r="AH206" s="1">
        <v>5.9000000000000003E-4</v>
      </c>
      <c r="AI206" s="1">
        <v>-4.5194999999999999E-2</v>
      </c>
      <c r="AJ206" s="1">
        <v>8.8400000000000006E-2</v>
      </c>
      <c r="AK206" s="1">
        <v>5.8999999999999999E-3</v>
      </c>
      <c r="AL206" s="1">
        <v>4.0620000000000003</v>
      </c>
      <c r="AM206" s="1">
        <v>6.2E-2</v>
      </c>
      <c r="AN206" s="1">
        <v>1388</v>
      </c>
      <c r="AO206" s="1">
        <v>45</v>
      </c>
      <c r="AP206" s="1">
        <v>1312</v>
      </c>
      <c r="AQ206" s="1">
        <v>66</v>
      </c>
      <c r="AR206" s="1">
        <v>1710</v>
      </c>
      <c r="AS206" s="1">
        <v>110</v>
      </c>
      <c r="AT206" s="1">
        <v>1471</v>
      </c>
      <c r="AU206" s="1">
        <v>12</v>
      </c>
      <c r="AV206" s="1">
        <v>49.9</v>
      </c>
      <c r="AW206" s="1">
        <v>3.2</v>
      </c>
      <c r="AX206" s="1">
        <v>11.91</v>
      </c>
      <c r="AY206" s="1">
        <v>0.80999999999999994</v>
      </c>
      <c r="AZ206" s="1">
        <v>85077</v>
      </c>
      <c r="BA206" s="1">
        <v>6210</v>
      </c>
      <c r="BB206" s="1">
        <v>40551.300000000003</v>
      </c>
      <c r="BC206" s="1">
        <v>3477.6</v>
      </c>
      <c r="BD206" s="1">
        <v>444015</v>
      </c>
      <c r="BE206" s="1">
        <v>37881</v>
      </c>
      <c r="BF206" s="1">
        <v>43.47</v>
      </c>
      <c r="BG206" s="1">
        <v>7.4519999999999991</v>
      </c>
      <c r="BH206" s="1">
        <f t="shared" si="62"/>
        <v>10214.285714285714</v>
      </c>
      <c r="BI206" s="1">
        <f t="shared" si="63"/>
        <v>1955.8783768185299</v>
      </c>
    </row>
    <row r="207" spans="1:61" x14ac:dyDescent="0.2">
      <c r="A207" t="s">
        <v>323</v>
      </c>
      <c r="B207" t="s">
        <v>38</v>
      </c>
      <c r="C207" t="s">
        <v>324</v>
      </c>
      <c r="D207" t="s">
        <v>325</v>
      </c>
      <c r="E207">
        <v>80650</v>
      </c>
      <c r="F207">
        <v>55925</v>
      </c>
      <c r="G207" t="s">
        <v>325</v>
      </c>
      <c r="H207" s="1">
        <v>270</v>
      </c>
      <c r="I207" s="1">
        <v>99.6</v>
      </c>
      <c r="J207" s="11">
        <v>5.08</v>
      </c>
      <c r="K207" s="11">
        <f t="shared" ca="1" si="56"/>
        <v>0.23328643338179783</v>
      </c>
      <c r="L207" s="8">
        <v>0.29799999999999999</v>
      </c>
      <c r="M207" s="8">
        <f t="shared" ca="1" si="57"/>
        <v>1.2510859283038876E-2</v>
      </c>
      <c r="N207" s="8">
        <v>0.97089999999999999</v>
      </c>
      <c r="O207" s="9">
        <v>3.3557049999999999</v>
      </c>
      <c r="P207" s="9">
        <f t="shared" ca="1" si="58"/>
        <v>0.14088171692487284</v>
      </c>
      <c r="Q207" s="10">
        <v>0.1216</v>
      </c>
      <c r="R207" s="10">
        <f t="shared" ca="1" si="59"/>
        <v>2.7119410023081257E-3</v>
      </c>
      <c r="S207" s="9">
        <f t="shared" si="60"/>
        <v>0.47365739738767393</v>
      </c>
      <c r="T207" s="12">
        <v>0.1042</v>
      </c>
      <c r="U207" s="12">
        <f t="shared" ca="1" si="61"/>
        <v>3.1785304780668688E-3</v>
      </c>
      <c r="V207" s="6" t="e">
        <f ca="1">IF(agePb6U8(1/O207)&lt;1400,age7corr(1/O207,Q207,$W$2),agePb76(Q207))</f>
        <v>#NAME?</v>
      </c>
      <c r="W207" s="6" t="e">
        <f ca="1">IF(agePb6U8(1/O207)&lt;1400,ageer7corr(V207,1/O207,P207/O207*(1/O207),Q207,R207,$W$2,0.05),ageerPb76(Q207,R207))</f>
        <v>#NAME?</v>
      </c>
      <c r="X207" s="4" t="e">
        <f ca="1">agePb6U8(L207)/agePb7u5(J207)</f>
        <v>#NAME?</v>
      </c>
      <c r="Z207" s="1">
        <v>5.08</v>
      </c>
      <c r="AA207" s="1">
        <v>0.21</v>
      </c>
      <c r="AB207" s="1">
        <v>0.29799999999999999</v>
      </c>
      <c r="AC207" s="1">
        <v>1.0999999999999999E-2</v>
      </c>
      <c r="AD207" s="1">
        <v>0.97089999999999999</v>
      </c>
      <c r="AE207" s="1">
        <v>3.3557049999999999</v>
      </c>
      <c r="AF207" s="1">
        <v>0.1238683</v>
      </c>
      <c r="AG207" s="1">
        <v>0.1216</v>
      </c>
      <c r="AH207" s="1">
        <v>1.1999999999999999E-3</v>
      </c>
      <c r="AI207" s="1">
        <v>-1.4445E-2</v>
      </c>
      <c r="AJ207" s="1">
        <v>0.1042</v>
      </c>
      <c r="AK207" s="1">
        <v>2.3999999999999998E-3</v>
      </c>
      <c r="AL207" s="1">
        <v>8.2899999999999991</v>
      </c>
      <c r="AM207" s="1">
        <v>0.11</v>
      </c>
      <c r="AN207" s="1">
        <v>1839</v>
      </c>
      <c r="AO207" s="1">
        <v>32</v>
      </c>
      <c r="AP207" s="1">
        <v>1680</v>
      </c>
      <c r="AQ207" s="1">
        <v>55</v>
      </c>
      <c r="AR207" s="1">
        <v>2003</v>
      </c>
      <c r="AS207" s="1">
        <v>45</v>
      </c>
      <c r="AT207" s="1">
        <v>1979</v>
      </c>
      <c r="AU207" s="1">
        <v>17</v>
      </c>
      <c r="AV207" s="1">
        <v>57.8</v>
      </c>
      <c r="AW207" s="1">
        <v>1.5</v>
      </c>
      <c r="AX207" s="1">
        <v>7.66</v>
      </c>
      <c r="AY207" s="1">
        <v>0.19</v>
      </c>
      <c r="AZ207" s="1">
        <v>65267.100000000013</v>
      </c>
      <c r="BA207" s="1">
        <v>1490.4</v>
      </c>
      <c r="BB207" s="1">
        <v>81847.799999999988</v>
      </c>
      <c r="BC207" s="1">
        <v>1676.7</v>
      </c>
      <c r="BD207" s="1">
        <v>676890</v>
      </c>
      <c r="BE207" s="1">
        <v>14904.000000000002</v>
      </c>
      <c r="BF207" s="1">
        <v>3.8502000000000001</v>
      </c>
      <c r="BG207" s="1">
        <v>4.9059000000000008</v>
      </c>
      <c r="BH207" s="1">
        <f t="shared" si="62"/>
        <v>175806.45161290321</v>
      </c>
      <c r="BI207" s="1">
        <f t="shared" si="63"/>
        <v>224044.8895064441</v>
      </c>
    </row>
    <row r="208" spans="1:61" x14ac:dyDescent="0.2">
      <c r="X208" s="4"/>
    </row>
    <row r="209" spans="1:61" x14ac:dyDescent="0.2">
      <c r="X209" s="4"/>
    </row>
    <row r="210" spans="1:61" x14ac:dyDescent="0.2">
      <c r="A210" t="s">
        <v>326</v>
      </c>
      <c r="B210" t="s">
        <v>38</v>
      </c>
      <c r="C210" t="s">
        <v>327</v>
      </c>
      <c r="D210" t="s">
        <v>328</v>
      </c>
      <c r="E210">
        <v>76179</v>
      </c>
      <c r="F210">
        <v>52965</v>
      </c>
      <c r="G210" t="s">
        <v>328</v>
      </c>
      <c r="H210" s="1">
        <v>154.30000000000001</v>
      </c>
      <c r="I210" s="1">
        <v>79.7</v>
      </c>
      <c r="J210" s="11">
        <v>1.863</v>
      </c>
      <c r="K210" s="11">
        <f t="shared" ref="K210:K241" ca="1" si="64">SQRT(K$2^2+(AA210/Z210)^2)*J210</f>
        <v>0.10484420632538549</v>
      </c>
      <c r="L210" s="8">
        <v>0.17630000000000001</v>
      </c>
      <c r="M210" s="8">
        <f t="shared" ref="M210:M241" ca="1" si="65">SQRT(M$2^2+(AC210/AB210)^2)*L210</f>
        <v>1.0039555567852595E-2</v>
      </c>
      <c r="N210" s="8">
        <v>0.99602000000000002</v>
      </c>
      <c r="O210" s="9">
        <v>5.6721500000000002</v>
      </c>
      <c r="P210" s="9">
        <f t="shared" ref="P210:P241" ca="1" si="66">SQRT(P$2^2+(AF210/AE210)^2)*O210</f>
        <v>0.3230055011980601</v>
      </c>
      <c r="Q210" s="10">
        <v>7.5920000000000001E-2</v>
      </c>
      <c r="R210" s="10">
        <f t="shared" ref="R210:R241" ca="1" si="67">SQRT(R$2^2+(AH210/AG210)^2)*Q210</f>
        <v>1.5604930502889141E-3</v>
      </c>
      <c r="S210" s="9">
        <f t="shared" ref="S210:S241" si="68">(((BE210/BD210)^2+(AW210/AV210)^2)+((BE210/BD210)^2+(BC210/BB210)^2)-((BC210/BB210)^2+(AW210/AV210)^2))/(2*SQRT((BE210/BD210)^2+(AW210/AV210)^2)*SQRT((BE210/BD210)^2+(BC210/BB210)^2))</f>
        <v>0.56937561022658922</v>
      </c>
      <c r="T210" s="12">
        <v>6.1199999999999997E-2</v>
      </c>
      <c r="U210" s="12">
        <f t="shared" ref="U210:U241" ca="1" si="69">SQRT(U$2^2+(AK210/AJ210)^2)*T210</f>
        <v>3.5196840767318881E-3</v>
      </c>
      <c r="V210" s="6" t="e">
        <f ca="1">IF(agePb6U8(1/O210)&lt;1400,age7corr(1/O210,Q210,$W$2),agePb76(Q210))</f>
        <v>#NAME?</v>
      </c>
      <c r="W210" s="6" t="e">
        <f ca="1">IF(agePb6U8(1/O210)&lt;1400,ageer7corr(V210,1/O210,P210/O210*(1/O210),Q210,R210,$W$2,0.05),ageerPb76(Q210,R210))</f>
        <v>#NAME?</v>
      </c>
      <c r="X210" s="4" t="e">
        <f ca="1">agePb6U8(L210)/agePb7u5(J210)</f>
        <v>#NAME?</v>
      </c>
      <c r="Z210" s="1">
        <v>1.863</v>
      </c>
      <c r="AA210" s="1">
        <v>9.8000000000000004E-2</v>
      </c>
      <c r="AB210" s="1">
        <v>0.17630000000000001</v>
      </c>
      <c r="AC210" s="1">
        <v>9.4000000000000004E-3</v>
      </c>
      <c r="AD210" s="1">
        <v>0.99602000000000002</v>
      </c>
      <c r="AE210" s="1">
        <v>5.6721500000000002</v>
      </c>
      <c r="AF210" s="1">
        <v>0.3024289</v>
      </c>
      <c r="AG210" s="1">
        <v>7.5920000000000001E-2</v>
      </c>
      <c r="AH210" s="1">
        <v>3.6000000000000002E-4</v>
      </c>
      <c r="AI210" s="1">
        <v>0.41977999999999999</v>
      </c>
      <c r="AJ210" s="1">
        <v>6.1199999999999997E-2</v>
      </c>
      <c r="AK210" s="1">
        <v>3.3E-3</v>
      </c>
      <c r="AL210" s="1">
        <v>5.93</v>
      </c>
      <c r="AM210" s="1">
        <v>0.16</v>
      </c>
      <c r="AN210" s="1">
        <v>1066</v>
      </c>
      <c r="AO210" s="1">
        <v>34</v>
      </c>
      <c r="AP210" s="1">
        <v>1046</v>
      </c>
      <c r="AQ210" s="1">
        <v>51</v>
      </c>
      <c r="AR210" s="1">
        <v>1200</v>
      </c>
      <c r="AS210" s="1">
        <v>63</v>
      </c>
      <c r="AT210" s="1">
        <v>1092.9000000000001</v>
      </c>
      <c r="AU210" s="1">
        <v>9.6</v>
      </c>
      <c r="AV210" s="1">
        <v>33</v>
      </c>
      <c r="AW210" s="1">
        <v>1.6</v>
      </c>
      <c r="AX210" s="1">
        <v>6.13</v>
      </c>
      <c r="AY210" s="1">
        <v>0.51</v>
      </c>
      <c r="AZ210" s="1">
        <v>31236.3</v>
      </c>
      <c r="BA210" s="1">
        <v>2359.7999999999997</v>
      </c>
      <c r="BB210" s="1">
        <v>17015.399999999998</v>
      </c>
      <c r="BC210" s="1">
        <v>1117.8000000000002</v>
      </c>
      <c r="BD210" s="1">
        <v>226665</v>
      </c>
      <c r="BE210" s="1">
        <v>14904.000000000002</v>
      </c>
      <c r="BF210" s="1">
        <v>-1.242</v>
      </c>
      <c r="BG210" s="1">
        <v>5.5269000000000004</v>
      </c>
      <c r="BH210" s="1">
        <f t="shared" ref="BH210:BH241" si="70">BD210/BF210</f>
        <v>-182500</v>
      </c>
      <c r="BI210" s="1">
        <f t="shared" ref="BI210:BI241" si="71">SQRT((BG210/BF210)^2+(BE210/BD210)^2)*BH210</f>
        <v>-812213.65146431758</v>
      </c>
    </row>
    <row r="211" spans="1:61" x14ac:dyDescent="0.2">
      <c r="A211" t="s">
        <v>359</v>
      </c>
      <c r="B211" t="s">
        <v>38</v>
      </c>
      <c r="C211" t="s">
        <v>360</v>
      </c>
      <c r="D211" t="s">
        <v>361</v>
      </c>
      <c r="E211">
        <v>76265</v>
      </c>
      <c r="F211">
        <v>55881</v>
      </c>
      <c r="G211" t="s">
        <v>361</v>
      </c>
      <c r="H211" s="1">
        <v>222.7</v>
      </c>
      <c r="I211" s="1">
        <v>71.3</v>
      </c>
      <c r="J211" s="11">
        <v>1.9650000000000001</v>
      </c>
      <c r="K211" s="11">
        <f t="shared" ca="1" si="64"/>
        <v>6.5980982108483355E-2</v>
      </c>
      <c r="L211" s="8">
        <v>0.18240000000000001</v>
      </c>
      <c r="M211" s="8">
        <f t="shared" ca="1" si="65"/>
        <v>6.0289222917533107E-3</v>
      </c>
      <c r="N211" s="8">
        <v>0.98958999999999997</v>
      </c>
      <c r="O211" s="9">
        <v>5.482456</v>
      </c>
      <c r="P211" s="9">
        <f t="shared" ca="1" si="66"/>
        <v>0.18121330760133042</v>
      </c>
      <c r="Q211" s="10">
        <v>7.7670000000000003E-2</v>
      </c>
      <c r="R211" s="10">
        <f t="shared" ca="1" si="67"/>
        <v>1.6016090534209653E-3</v>
      </c>
      <c r="S211" s="9">
        <f t="shared" si="68"/>
        <v>0.36408517400905027</v>
      </c>
      <c r="T211" s="12">
        <v>6.25E-2</v>
      </c>
      <c r="U211" s="12">
        <f t="shared" ca="1" si="69"/>
        <v>2.2743130831088319E-3</v>
      </c>
      <c r="V211" s="6" t="e">
        <f ca="1">IF(agePb6U8(1/O211)&lt;1400,age7corr(1/O211,Q211,$W$2),agePb76(Q211))</f>
        <v>#NAME?</v>
      </c>
      <c r="W211" s="6" t="e">
        <f ca="1">IF(agePb6U8(1/O211)&lt;1400,ageer7corr(V211,1/O211,P211/O211*(1/O211),Q211,R211,$W$2,0.05),ageerPb76(Q211,R211))</f>
        <v>#NAME?</v>
      </c>
      <c r="X211" s="4" t="e">
        <f ca="1">agePb6U8(L211)/agePb7u5(J211)</f>
        <v>#NAME?</v>
      </c>
      <c r="Z211" s="1">
        <v>1.9650000000000001</v>
      </c>
      <c r="AA211" s="1">
        <v>5.2999999999999999E-2</v>
      </c>
      <c r="AB211" s="1">
        <v>0.18240000000000001</v>
      </c>
      <c r="AC211" s="1">
        <v>4.7999999999999996E-3</v>
      </c>
      <c r="AD211" s="1">
        <v>0.98958999999999997</v>
      </c>
      <c r="AE211" s="1">
        <v>5.482456</v>
      </c>
      <c r="AF211" s="1">
        <v>0.14427519999999999</v>
      </c>
      <c r="AG211" s="1">
        <v>7.7670000000000003E-2</v>
      </c>
      <c r="AH211" s="1">
        <v>3.8999999999999999E-4</v>
      </c>
      <c r="AI211" s="1">
        <v>-0.47297</v>
      </c>
      <c r="AJ211" s="1">
        <v>6.25E-2</v>
      </c>
      <c r="AK211" s="1">
        <v>1.9E-3</v>
      </c>
      <c r="AL211" s="1">
        <v>9.61</v>
      </c>
      <c r="AM211" s="1">
        <v>5.8999999999999997E-2</v>
      </c>
      <c r="AN211" s="1">
        <v>1103</v>
      </c>
      <c r="AO211" s="1">
        <v>18</v>
      </c>
      <c r="AP211" s="1">
        <v>1080</v>
      </c>
      <c r="AQ211" s="1">
        <v>26</v>
      </c>
      <c r="AR211" s="1">
        <v>1226</v>
      </c>
      <c r="AS211" s="1">
        <v>36</v>
      </c>
      <c r="AT211" s="1">
        <v>1138.3</v>
      </c>
      <c r="AU211" s="1">
        <v>9.9</v>
      </c>
      <c r="AV211" s="1">
        <v>47.59</v>
      </c>
      <c r="AW211" s="1">
        <v>0.86</v>
      </c>
      <c r="AX211" s="1">
        <v>5.4799999999999995</v>
      </c>
      <c r="AY211" s="1">
        <v>0.17</v>
      </c>
      <c r="AZ211" s="1">
        <v>28230.66</v>
      </c>
      <c r="BA211" s="1">
        <v>546.48</v>
      </c>
      <c r="BB211" s="1">
        <v>25957.800000000003</v>
      </c>
      <c r="BC211" s="1">
        <v>434.7</v>
      </c>
      <c r="BD211" s="1">
        <v>339500.69999999995</v>
      </c>
      <c r="BE211" s="1">
        <v>4471.2000000000007</v>
      </c>
      <c r="BF211" s="1">
        <v>5.7752999999999997</v>
      </c>
      <c r="BG211" s="1">
        <v>6.0858000000000008</v>
      </c>
      <c r="BH211" s="1">
        <f t="shared" si="70"/>
        <v>58784.946236559132</v>
      </c>
      <c r="BI211" s="1">
        <f t="shared" si="71"/>
        <v>61950.264961091183</v>
      </c>
    </row>
    <row r="212" spans="1:61" x14ac:dyDescent="0.2">
      <c r="A212" t="s">
        <v>362</v>
      </c>
      <c r="B212" t="s">
        <v>38</v>
      </c>
      <c r="C212" t="s">
        <v>363</v>
      </c>
      <c r="D212" t="s">
        <v>364</v>
      </c>
      <c r="E212">
        <v>76168</v>
      </c>
      <c r="F212">
        <v>56135</v>
      </c>
      <c r="G212" t="s">
        <v>364</v>
      </c>
      <c r="H212" s="1">
        <v>43.89</v>
      </c>
      <c r="I212" s="1">
        <v>14.93</v>
      </c>
      <c r="J212" s="11">
        <v>2.5089999999999999</v>
      </c>
      <c r="K212" s="11">
        <f t="shared" ca="1" si="64"/>
        <v>9.1071578442453713E-2</v>
      </c>
      <c r="L212" s="8">
        <v>0.21940000000000001</v>
      </c>
      <c r="M212" s="8">
        <f t="shared" ca="1" si="65"/>
        <v>6.8807371698096417E-3</v>
      </c>
      <c r="N212" s="8">
        <v>0.94576000000000005</v>
      </c>
      <c r="O212" s="9">
        <v>4.5578849999999997</v>
      </c>
      <c r="P212" s="9">
        <f t="shared" ca="1" si="66"/>
        <v>0.14294262857699239</v>
      </c>
      <c r="Q212" s="10">
        <v>8.3099999999999993E-2</v>
      </c>
      <c r="R212" s="10">
        <f t="shared" ca="1" si="67"/>
        <v>1.8488764155562153E-3</v>
      </c>
      <c r="S212" s="9">
        <f t="shared" si="68"/>
        <v>0.46002626565166932</v>
      </c>
      <c r="T212" s="12">
        <v>7.5399999999999995E-2</v>
      </c>
      <c r="U212" s="12">
        <f t="shared" ca="1" si="69"/>
        <v>3.7194171586419286E-3</v>
      </c>
      <c r="V212" s="6" t="e">
        <f ca="1">IF(agePb6U8(1/O212)&lt;1400,age7corr(1/O212,Q212,$W$2),agePb76(Q212))</f>
        <v>#NAME?</v>
      </c>
      <c r="W212" s="6" t="e">
        <f ca="1">IF(agePb6U8(1/O212)&lt;1400,ageer7corr(V212,1/O212,P212/O212*(1/O212),Q212,R212,$W$2,0.05),ageerPb76(Q212,R212))</f>
        <v>#NAME?</v>
      </c>
      <c r="X212" s="4" t="e">
        <f ca="1">agePb6U8(L212)/agePb7u5(J212)</f>
        <v>#NAME?</v>
      </c>
      <c r="Z212" s="1">
        <v>2.5089999999999999</v>
      </c>
      <c r="AA212" s="1">
        <v>7.5999999999999998E-2</v>
      </c>
      <c r="AB212" s="1">
        <v>0.21940000000000001</v>
      </c>
      <c r="AC212" s="1">
        <v>5.3E-3</v>
      </c>
      <c r="AD212" s="1">
        <v>0.94576000000000005</v>
      </c>
      <c r="AE212" s="1">
        <v>4.5578849999999997</v>
      </c>
      <c r="AF212" s="1">
        <v>0.1101039</v>
      </c>
      <c r="AG212" s="1">
        <v>8.3099999999999993E-2</v>
      </c>
      <c r="AH212" s="1">
        <v>8.0999999999999996E-4</v>
      </c>
      <c r="AI212" s="1">
        <v>-3.9753999999999998E-2</v>
      </c>
      <c r="AJ212" s="1">
        <v>7.5399999999999995E-2</v>
      </c>
      <c r="AK212" s="1">
        <v>3.3999999999999998E-3</v>
      </c>
      <c r="AL212" s="1">
        <v>8.9670000000000005</v>
      </c>
      <c r="AM212" s="1">
        <v>6.9000000000000006E-2</v>
      </c>
      <c r="AN212" s="1">
        <v>1279</v>
      </c>
      <c r="AO212" s="1">
        <v>20</v>
      </c>
      <c r="AP212" s="1">
        <v>1278</v>
      </c>
      <c r="AQ212" s="1">
        <v>28</v>
      </c>
      <c r="AR212" s="1">
        <v>1468</v>
      </c>
      <c r="AS212" s="1">
        <v>64</v>
      </c>
      <c r="AT212" s="1">
        <v>1276</v>
      </c>
      <c r="AU212" s="1">
        <v>18</v>
      </c>
      <c r="AV212" s="1">
        <v>9.379999999999999</v>
      </c>
      <c r="AW212" s="1">
        <v>0.19</v>
      </c>
      <c r="AX212" s="1">
        <v>1.1479999999999999</v>
      </c>
      <c r="AY212" s="1">
        <v>4.9000000000000002E-2</v>
      </c>
      <c r="AZ212" s="1">
        <v>7166.34</v>
      </c>
      <c r="BA212" s="1">
        <v>136.62</v>
      </c>
      <c r="BB212" s="1">
        <v>6501.87</v>
      </c>
      <c r="BC212" s="1">
        <v>130.41</v>
      </c>
      <c r="BD212" s="1">
        <v>80108.999999999985</v>
      </c>
      <c r="BE212" s="1">
        <v>1490.4</v>
      </c>
      <c r="BF212" s="1">
        <v>1.3041</v>
      </c>
      <c r="BG212" s="1">
        <v>5.4027000000000003</v>
      </c>
      <c r="BH212" s="1">
        <f t="shared" si="70"/>
        <v>61428.571428571413</v>
      </c>
      <c r="BI212" s="1">
        <f t="shared" si="71"/>
        <v>254492.36206421052</v>
      </c>
    </row>
    <row r="213" spans="1:61" x14ac:dyDescent="0.2">
      <c r="A213" t="s">
        <v>365</v>
      </c>
      <c r="B213" t="s">
        <v>38</v>
      </c>
      <c r="C213" t="s">
        <v>366</v>
      </c>
      <c r="D213" t="s">
        <v>367</v>
      </c>
      <c r="E213">
        <v>75741</v>
      </c>
      <c r="F213">
        <v>51407</v>
      </c>
      <c r="G213" t="s">
        <v>367</v>
      </c>
      <c r="H213" s="1">
        <v>133.5</v>
      </c>
      <c r="I213" s="1">
        <v>72</v>
      </c>
      <c r="J213" s="11">
        <v>1.8939999999999999</v>
      </c>
      <c r="K213" s="11">
        <f t="shared" ca="1" si="64"/>
        <v>6.5145179407228596E-2</v>
      </c>
      <c r="L213" s="8">
        <v>0.17979999999999999</v>
      </c>
      <c r="M213" s="8">
        <f t="shared" ca="1" si="65"/>
        <v>5.9178725907204181E-3</v>
      </c>
      <c r="N213" s="8">
        <v>0.97313000000000005</v>
      </c>
      <c r="O213" s="9">
        <v>5.5617349999999997</v>
      </c>
      <c r="P213" s="9">
        <f t="shared" ca="1" si="66"/>
        <v>0.18305693213109961</v>
      </c>
      <c r="Q213" s="10">
        <v>7.603E-2</v>
      </c>
      <c r="R213" s="10">
        <f t="shared" ca="1" si="67"/>
        <v>1.6038467383138577E-3</v>
      </c>
      <c r="S213" s="9">
        <f t="shared" si="68"/>
        <v>0.41361334889832602</v>
      </c>
      <c r="T213" s="12">
        <v>6.0299999999999999E-2</v>
      </c>
      <c r="U213" s="12">
        <f t="shared" ca="1" si="69"/>
        <v>1.7732557627144483E-3</v>
      </c>
      <c r="V213" s="6" t="e">
        <f ca="1">IF(agePb6U8(1/O213)&lt;1400,age7corr(1/O213,Q213,$W$2),agePb76(Q213))</f>
        <v>#NAME?</v>
      </c>
      <c r="W213" s="6" t="e">
        <f ca="1">IF(agePb6U8(1/O213)&lt;1400,ageer7corr(V213,1/O213,P213/O213*(1/O213),Q213,R213,$W$2,0.05),ageerPb76(Q213,R213))</f>
        <v>#NAME?</v>
      </c>
      <c r="X213" s="4" t="e">
        <f ca="1">agePb6U8(L213)/agePb7u5(J213)</f>
        <v>#NAME?</v>
      </c>
      <c r="Z213" s="1">
        <v>1.8939999999999999</v>
      </c>
      <c r="AA213" s="1">
        <v>5.2999999999999999E-2</v>
      </c>
      <c r="AB213" s="1">
        <v>0.17979999999999999</v>
      </c>
      <c r="AC213" s="1">
        <v>4.7000000000000002E-3</v>
      </c>
      <c r="AD213" s="1">
        <v>0.97313000000000005</v>
      </c>
      <c r="AE213" s="1">
        <v>5.5617349999999997</v>
      </c>
      <c r="AF213" s="1">
        <v>0.1453846</v>
      </c>
      <c r="AG213" s="1">
        <v>7.603E-2</v>
      </c>
      <c r="AH213" s="1">
        <v>5.1000000000000004E-4</v>
      </c>
      <c r="AI213" s="1">
        <v>-0.17205000000000001</v>
      </c>
      <c r="AJ213" s="1">
        <v>6.0299999999999999E-2</v>
      </c>
      <c r="AK213" s="1">
        <v>1.2999999999999999E-3</v>
      </c>
      <c r="AL213" s="1">
        <v>5.7030000000000003</v>
      </c>
      <c r="AM213" s="1">
        <v>2.8000000000000001E-2</v>
      </c>
      <c r="AN213" s="1">
        <v>1078</v>
      </c>
      <c r="AO213" s="1">
        <v>18</v>
      </c>
      <c r="AP213" s="1">
        <v>1066</v>
      </c>
      <c r="AQ213" s="1">
        <v>26</v>
      </c>
      <c r="AR213" s="1">
        <v>1182</v>
      </c>
      <c r="AS213" s="1">
        <v>26</v>
      </c>
      <c r="AT213" s="1">
        <v>1096</v>
      </c>
      <c r="AU213" s="1">
        <v>13</v>
      </c>
      <c r="AV213" s="1">
        <v>28.53</v>
      </c>
      <c r="AW213" s="1">
        <v>0.55000000000000004</v>
      </c>
      <c r="AX213" s="1">
        <v>5.53</v>
      </c>
      <c r="AY213" s="1">
        <v>0.13999999999999999</v>
      </c>
      <c r="AZ213" s="1">
        <v>27864.27</v>
      </c>
      <c r="BA213" s="1">
        <v>347.76</v>
      </c>
      <c r="BB213" s="1">
        <v>15021.99</v>
      </c>
      <c r="BC213" s="1">
        <v>180.09</v>
      </c>
      <c r="BD213" s="1">
        <v>199527.30000000002</v>
      </c>
      <c r="BE213" s="1">
        <v>2608.1999999999998</v>
      </c>
      <c r="BF213" s="1">
        <v>43.47</v>
      </c>
      <c r="BG213" s="1">
        <v>8.0729999999999986</v>
      </c>
      <c r="BH213" s="1">
        <f t="shared" si="70"/>
        <v>4590.0000000000009</v>
      </c>
      <c r="BI213" s="1">
        <f t="shared" si="71"/>
        <v>854.53757634626879</v>
      </c>
    </row>
    <row r="214" spans="1:61" x14ac:dyDescent="0.2">
      <c r="A214" t="s">
        <v>368</v>
      </c>
      <c r="B214" t="s">
        <v>38</v>
      </c>
      <c r="C214" t="s">
        <v>369</v>
      </c>
      <c r="D214" t="s">
        <v>370</v>
      </c>
      <c r="E214">
        <v>75774</v>
      </c>
      <c r="F214">
        <v>51601</v>
      </c>
      <c r="G214" t="s">
        <v>370</v>
      </c>
      <c r="H214" s="1">
        <v>52.7</v>
      </c>
      <c r="I214" s="1">
        <v>34.799999999999997</v>
      </c>
      <c r="J214" s="11">
        <v>1.8919999999999999</v>
      </c>
      <c r="K214" s="11">
        <f t="shared" ca="1" si="64"/>
        <v>9.0309831137036251E-2</v>
      </c>
      <c r="L214" s="8">
        <v>0.18029999999999999</v>
      </c>
      <c r="M214" s="8">
        <f t="shared" ca="1" si="65"/>
        <v>7.8742133575361029E-3</v>
      </c>
      <c r="N214" s="8">
        <v>0.96645999999999999</v>
      </c>
      <c r="O214" s="9">
        <v>5.5463120000000004</v>
      </c>
      <c r="P214" s="9">
        <f t="shared" ca="1" si="66"/>
        <v>0.2422231827912795</v>
      </c>
      <c r="Q214" s="10">
        <v>7.6770000000000005E-2</v>
      </c>
      <c r="R214" s="10">
        <f t="shared" ca="1" si="67"/>
        <v>1.7359588589595089E-3</v>
      </c>
      <c r="S214" s="9">
        <f t="shared" si="68"/>
        <v>0.59856395461909717</v>
      </c>
      <c r="T214" s="12">
        <v>5.7700000000000001E-2</v>
      </c>
      <c r="U214" s="12">
        <f t="shared" ca="1" si="69"/>
        <v>2.4842938634549662E-3</v>
      </c>
      <c r="V214" s="6" t="e">
        <f ca="1">IF(agePb6U8(1/O214)&lt;1400,age7corr(1/O214,Q214,$W$2),agePb76(Q214))</f>
        <v>#NAME?</v>
      </c>
      <c r="W214" s="6" t="e">
        <f ca="1">IF(agePb6U8(1/O214)&lt;1400,ageer7corr(V214,1/O214,P214/O214*(1/O214),Q214,R214,$W$2,0.05),ageerPb76(Q214,R214))</f>
        <v>#NAME?</v>
      </c>
      <c r="X214" s="4" t="e">
        <f ca="1">agePb6U8(L214)/agePb7u5(J214)</f>
        <v>#NAME?</v>
      </c>
      <c r="Z214" s="1">
        <v>1.8919999999999999</v>
      </c>
      <c r="AA214" s="1">
        <v>8.2000000000000003E-2</v>
      </c>
      <c r="AB214" s="1">
        <v>0.18029999999999999</v>
      </c>
      <c r="AC214" s="1">
        <v>7.0000000000000001E-3</v>
      </c>
      <c r="AD214" s="1">
        <v>0.96645999999999999</v>
      </c>
      <c r="AE214" s="1">
        <v>5.5463120000000004</v>
      </c>
      <c r="AF214" s="1">
        <v>0.21533099999999999</v>
      </c>
      <c r="AG214" s="1">
        <v>7.6770000000000005E-2</v>
      </c>
      <c r="AH214" s="1">
        <v>8.0999999999999996E-4</v>
      </c>
      <c r="AI214" s="1">
        <v>0.21282000000000001</v>
      </c>
      <c r="AJ214" s="1">
        <v>5.7700000000000001E-2</v>
      </c>
      <c r="AK214" s="1">
        <v>2.2000000000000001E-3</v>
      </c>
      <c r="AL214" s="1">
        <v>4.9809999999999999</v>
      </c>
      <c r="AM214" s="1">
        <v>2.9000000000000001E-2</v>
      </c>
      <c r="AN214" s="1">
        <v>1076</v>
      </c>
      <c r="AO214" s="1">
        <v>29</v>
      </c>
      <c r="AP214" s="1">
        <v>1068</v>
      </c>
      <c r="AQ214" s="1">
        <v>38</v>
      </c>
      <c r="AR214" s="1">
        <v>1134</v>
      </c>
      <c r="AS214" s="1">
        <v>42</v>
      </c>
      <c r="AT214" s="1">
        <v>1115</v>
      </c>
      <c r="AU214" s="1">
        <v>21</v>
      </c>
      <c r="AV214" s="1">
        <v>11.25</v>
      </c>
      <c r="AW214" s="1">
        <v>0.4</v>
      </c>
      <c r="AX214" s="1">
        <v>2.67</v>
      </c>
      <c r="AY214" s="1">
        <v>0.19</v>
      </c>
      <c r="AZ214" s="1">
        <v>12544.2</v>
      </c>
      <c r="BA214" s="1">
        <v>683.09999999999991</v>
      </c>
      <c r="BB214" s="1">
        <v>5974.0199999999995</v>
      </c>
      <c r="BC214" s="1">
        <v>254.60999999999996</v>
      </c>
      <c r="BD214" s="1">
        <v>79301.7</v>
      </c>
      <c r="BE214" s="1">
        <v>3788.1</v>
      </c>
      <c r="BF214" s="1">
        <v>11.177999999999999</v>
      </c>
      <c r="BG214" s="1">
        <v>7.4519999999999991</v>
      </c>
      <c r="BH214" s="1">
        <f t="shared" si="70"/>
        <v>7094.4444444444443</v>
      </c>
      <c r="BI214" s="1">
        <f t="shared" si="71"/>
        <v>4741.755172136458</v>
      </c>
    </row>
    <row r="215" spans="1:61" x14ac:dyDescent="0.2">
      <c r="A215" t="s">
        <v>371</v>
      </c>
      <c r="B215" t="s">
        <v>38</v>
      </c>
      <c r="C215" t="s">
        <v>372</v>
      </c>
      <c r="D215" t="s">
        <v>373</v>
      </c>
      <c r="E215">
        <v>75718</v>
      </c>
      <c r="F215">
        <v>52233</v>
      </c>
      <c r="G215" t="s">
        <v>373</v>
      </c>
      <c r="H215" s="1">
        <v>380.9</v>
      </c>
      <c r="I215" s="1">
        <v>87.9</v>
      </c>
      <c r="J215" s="11">
        <v>1.792</v>
      </c>
      <c r="K215" s="11">
        <f t="shared" ca="1" si="64"/>
        <v>6.7331312180886532E-2</v>
      </c>
      <c r="L215" s="8">
        <v>0.17199999999999999</v>
      </c>
      <c r="M215" s="8">
        <f t="shared" ca="1" si="65"/>
        <v>6.5721838075330774E-3</v>
      </c>
      <c r="N215" s="8">
        <v>0.99267000000000005</v>
      </c>
      <c r="O215" s="9">
        <v>5.8139529999999997</v>
      </c>
      <c r="P215" s="9">
        <f t="shared" ca="1" si="66"/>
        <v>0.22215330690028809</v>
      </c>
      <c r="Q215" s="10">
        <v>7.571E-2</v>
      </c>
      <c r="R215" s="10">
        <f t="shared" ca="1" si="67"/>
        <v>1.5331019666023522E-3</v>
      </c>
      <c r="S215" s="9">
        <f t="shared" si="68"/>
        <v>0.55008624786028981</v>
      </c>
      <c r="T215" s="12">
        <v>5.6899999999999999E-2</v>
      </c>
      <c r="U215" s="12">
        <f t="shared" ca="1" si="69"/>
        <v>1.8828287229591546E-3</v>
      </c>
      <c r="V215" s="6" t="e">
        <f ca="1">IF(agePb6U8(1/O215)&lt;1400,age7corr(1/O215,Q215,$W$2),agePb76(Q215))</f>
        <v>#NAME?</v>
      </c>
      <c r="W215" s="6" t="e">
        <f ca="1">IF(agePb6U8(1/O215)&lt;1400,ageer7corr(V215,1/O215,P215/O215*(1/O215),Q215,R215,$W$2,0.05),ageerPb76(Q215,R215))</f>
        <v>#NAME?</v>
      </c>
      <c r="X215" s="4" t="e">
        <f ca="1">agePb6U8(L215)/agePb7u5(J215)</f>
        <v>#NAME?</v>
      </c>
      <c r="Z215" s="1">
        <v>1.792</v>
      </c>
      <c r="AA215" s="1">
        <v>5.7000000000000002E-2</v>
      </c>
      <c r="AB215" s="1">
        <v>0.17199999999999999</v>
      </c>
      <c r="AC215" s="1">
        <v>5.5999999999999999E-3</v>
      </c>
      <c r="AD215" s="1">
        <v>0.99267000000000005</v>
      </c>
      <c r="AE215" s="1">
        <v>5.8139529999999997</v>
      </c>
      <c r="AF215" s="1">
        <v>0.1892915</v>
      </c>
      <c r="AG215" s="1">
        <v>7.571E-2</v>
      </c>
      <c r="AH215" s="1">
        <v>2.4000000000000001E-4</v>
      </c>
      <c r="AI215" s="1">
        <v>-0.39015</v>
      </c>
      <c r="AJ215" s="1">
        <v>5.6899999999999999E-2</v>
      </c>
      <c r="AK215" s="1">
        <v>1.5E-3</v>
      </c>
      <c r="AL215" s="1">
        <v>13.87</v>
      </c>
      <c r="AM215" s="1">
        <v>3.3000000000000002E-2</v>
      </c>
      <c r="AN215" s="1">
        <v>1041</v>
      </c>
      <c r="AO215" s="1">
        <v>21</v>
      </c>
      <c r="AP215" s="1">
        <v>1023</v>
      </c>
      <c r="AQ215" s="1">
        <v>31</v>
      </c>
      <c r="AR215" s="1">
        <v>1119</v>
      </c>
      <c r="AS215" s="1">
        <v>29</v>
      </c>
      <c r="AT215" s="1">
        <v>1087.2</v>
      </c>
      <c r="AU215" s="1">
        <v>6.4</v>
      </c>
      <c r="AV215" s="1">
        <v>81.400000000000006</v>
      </c>
      <c r="AW215" s="1">
        <v>1.6</v>
      </c>
      <c r="AX215" s="1">
        <v>6.7600000000000007</v>
      </c>
      <c r="AY215" s="1">
        <v>0.22</v>
      </c>
      <c r="AZ215" s="1">
        <v>31608.9</v>
      </c>
      <c r="BA215" s="1">
        <v>745.2</v>
      </c>
      <c r="BB215" s="1">
        <v>40799.700000000004</v>
      </c>
      <c r="BC215" s="1">
        <v>869.4</v>
      </c>
      <c r="BD215" s="1">
        <v>548343</v>
      </c>
      <c r="BE215" s="1">
        <v>12420</v>
      </c>
      <c r="BF215" s="1">
        <v>0.37259999999999999</v>
      </c>
      <c r="BG215" s="1">
        <v>6.8310000000000004</v>
      </c>
      <c r="BH215" s="1">
        <f t="shared" si="70"/>
        <v>1471666.6666666667</v>
      </c>
      <c r="BI215" s="1">
        <f t="shared" si="71"/>
        <v>26980576.146508269</v>
      </c>
    </row>
    <row r="216" spans="1:61" x14ac:dyDescent="0.2">
      <c r="A216" t="s">
        <v>380</v>
      </c>
      <c r="B216" t="s">
        <v>38</v>
      </c>
      <c r="C216" t="s">
        <v>381</v>
      </c>
      <c r="D216" t="s">
        <v>382</v>
      </c>
      <c r="E216">
        <v>75739</v>
      </c>
      <c r="F216">
        <v>52428</v>
      </c>
      <c r="G216" t="s">
        <v>382</v>
      </c>
      <c r="H216" s="1">
        <v>44.2</v>
      </c>
      <c r="I216" s="1">
        <v>20.95</v>
      </c>
      <c r="J216" s="11">
        <v>10.77</v>
      </c>
      <c r="K216" s="11">
        <f t="shared" ca="1" si="64"/>
        <v>0.45430954205255253</v>
      </c>
      <c r="L216" s="8">
        <v>0.47099999999999997</v>
      </c>
      <c r="M216" s="8">
        <f t="shared" ca="1" si="65"/>
        <v>1.9435441852450899E-2</v>
      </c>
      <c r="N216" s="8">
        <v>0.99222999999999995</v>
      </c>
      <c r="O216" s="9">
        <v>2.1231420000000001</v>
      </c>
      <c r="P216" s="9">
        <f t="shared" ca="1" si="66"/>
        <v>8.7609779377631106E-2</v>
      </c>
      <c r="Q216" s="10">
        <v>0.16466</v>
      </c>
      <c r="R216" s="10">
        <f t="shared" ca="1" si="67"/>
        <v>3.3986418228462972E-3</v>
      </c>
      <c r="S216" s="9">
        <f t="shared" si="68"/>
        <v>0.45066349827010443</v>
      </c>
      <c r="T216" s="12">
        <v>0.1467</v>
      </c>
      <c r="U216" s="12">
        <f t="shared" ca="1" si="69"/>
        <v>5.7972714271457048E-3</v>
      </c>
      <c r="V216" s="6" t="e">
        <f ca="1">IF(agePb6U8(1/O216)&lt;1400,age7corr(1/O216,Q216,$W$2),agePb76(Q216))</f>
        <v>#NAME?</v>
      </c>
      <c r="W216" s="6" t="e">
        <f ca="1">IF(agePb6U8(1/O216)&lt;1400,ageer7corr(V216,1/O216,P216/O216*(1/O216),Q216,R216,$W$2,0.05),ageerPb76(Q216,R216))</f>
        <v>#NAME?</v>
      </c>
      <c r="X216" s="4" t="e">
        <f ca="1">agePb6U8(L216)/agePb7u5(J216)</f>
        <v>#NAME?</v>
      </c>
      <c r="Z216" s="1">
        <v>10.77</v>
      </c>
      <c r="AA216" s="1">
        <v>0.4</v>
      </c>
      <c r="AB216" s="1">
        <v>0.47099999999999997</v>
      </c>
      <c r="AC216" s="1">
        <v>1.7000000000000001E-2</v>
      </c>
      <c r="AD216" s="1">
        <v>0.99222999999999995</v>
      </c>
      <c r="AE216" s="1">
        <v>2.1231420000000001</v>
      </c>
      <c r="AF216" s="1">
        <v>7.6631459999999998E-2</v>
      </c>
      <c r="AG216" s="1">
        <v>0.16466</v>
      </c>
      <c r="AH216" s="1">
        <v>8.4000000000000003E-4</v>
      </c>
      <c r="AI216" s="1">
        <v>-0.44091999999999998</v>
      </c>
      <c r="AJ216" s="1">
        <v>0.1467</v>
      </c>
      <c r="AK216" s="1">
        <v>5.0000000000000001E-3</v>
      </c>
      <c r="AL216" s="1">
        <v>6.9189999999999996</v>
      </c>
      <c r="AM216" s="1">
        <v>3.9E-2</v>
      </c>
      <c r="AN216" s="1">
        <v>2501</v>
      </c>
      <c r="AO216" s="1">
        <v>35</v>
      </c>
      <c r="AP216" s="1">
        <v>2487</v>
      </c>
      <c r="AQ216" s="1">
        <v>73</v>
      </c>
      <c r="AR216" s="1">
        <v>2766</v>
      </c>
      <c r="AS216" s="1">
        <v>88</v>
      </c>
      <c r="AT216" s="1">
        <v>2504</v>
      </c>
      <c r="AU216" s="1">
        <v>8.5</v>
      </c>
      <c r="AV216" s="1">
        <v>9.4400000000000013</v>
      </c>
      <c r="AW216" s="1">
        <v>0.27</v>
      </c>
      <c r="AX216" s="1">
        <v>1.609</v>
      </c>
      <c r="AY216" s="1">
        <v>4.5000000000000005E-2</v>
      </c>
      <c r="AZ216" s="1">
        <v>19679.490000000002</v>
      </c>
      <c r="BA216" s="1">
        <v>453.33</v>
      </c>
      <c r="BB216" s="1">
        <v>28007.100000000002</v>
      </c>
      <c r="BC216" s="1">
        <v>683.09999999999991</v>
      </c>
      <c r="BD216" s="1">
        <v>170837.1</v>
      </c>
      <c r="BE216" s="1">
        <v>4098.6000000000004</v>
      </c>
      <c r="BF216" s="1">
        <v>24.839999999999996</v>
      </c>
      <c r="BG216" s="1">
        <v>6.8310000000000004</v>
      </c>
      <c r="BH216" s="1">
        <f t="shared" si="70"/>
        <v>6877.5000000000009</v>
      </c>
      <c r="BI216" s="1">
        <f t="shared" si="71"/>
        <v>1898.4962398320024</v>
      </c>
    </row>
    <row r="217" spans="1:61" x14ac:dyDescent="0.2">
      <c r="A217" t="s">
        <v>383</v>
      </c>
      <c r="B217" t="s">
        <v>38</v>
      </c>
      <c r="C217" t="s">
        <v>384</v>
      </c>
      <c r="D217" t="s">
        <v>385</v>
      </c>
      <c r="E217">
        <v>75693</v>
      </c>
      <c r="F217">
        <v>53016</v>
      </c>
      <c r="G217" t="s">
        <v>385</v>
      </c>
      <c r="H217" s="1">
        <v>21.51</v>
      </c>
      <c r="I217" s="1">
        <v>10.76</v>
      </c>
      <c r="J217" s="11">
        <v>1.7869999999999999</v>
      </c>
      <c r="K217" s="11">
        <f t="shared" ca="1" si="64"/>
        <v>7.5055630035327794E-2</v>
      </c>
      <c r="L217" s="8">
        <v>0.1744</v>
      </c>
      <c r="M217" s="8">
        <f t="shared" ca="1" si="65"/>
        <v>7.3767298988101759E-3</v>
      </c>
      <c r="N217" s="8">
        <v>0.95208999999999999</v>
      </c>
      <c r="O217" s="9">
        <v>5.7339450000000003</v>
      </c>
      <c r="P217" s="9">
        <f t="shared" ca="1" si="66"/>
        <v>0.24253303668995282</v>
      </c>
      <c r="Q217" s="10">
        <v>7.4099999999999999E-2</v>
      </c>
      <c r="R217" s="10">
        <f t="shared" ca="1" si="67"/>
        <v>1.8456229300699534E-3</v>
      </c>
      <c r="S217" s="9">
        <f t="shared" si="68"/>
        <v>0.49164656202184165</v>
      </c>
      <c r="T217" s="12">
        <v>5.6800000000000003E-2</v>
      </c>
      <c r="U217" s="12">
        <f t="shared" ca="1" si="69"/>
        <v>3.1145619274626727E-3</v>
      </c>
      <c r="V217" s="6" t="e">
        <f ca="1">IF(agePb6U8(1/O217)&lt;1400,age7corr(1/O217,Q217,$W$2),agePb76(Q217))</f>
        <v>#NAME?</v>
      </c>
      <c r="W217" s="6" t="e">
        <f ca="1">IF(agePb6U8(1/O217)&lt;1400,ageer7corr(V217,1/O217,P217/O217*(1/O217),Q217,R217,$W$2,0.05),ageerPb76(Q217,R217))</f>
        <v>#NAME?</v>
      </c>
      <c r="X217" s="4" t="e">
        <f ca="1">agePb6U8(L217)/agePb7u5(J217)</f>
        <v>#NAME?</v>
      </c>
      <c r="Z217" s="1">
        <v>1.7869999999999999</v>
      </c>
      <c r="AA217" s="1">
        <v>6.6000000000000003E-2</v>
      </c>
      <c r="AB217" s="1">
        <v>0.1744</v>
      </c>
      <c r="AC217" s="1">
        <v>6.4999999999999997E-3</v>
      </c>
      <c r="AD217" s="1">
        <v>0.95208999999999999</v>
      </c>
      <c r="AE217" s="1">
        <v>5.7339450000000003</v>
      </c>
      <c r="AF217" s="1">
        <v>0.2137078</v>
      </c>
      <c r="AG217" s="1">
        <v>7.4099999999999999E-2</v>
      </c>
      <c r="AH217" s="1">
        <v>1.1000000000000001E-3</v>
      </c>
      <c r="AI217" s="1">
        <v>-0.26698</v>
      </c>
      <c r="AJ217" s="1">
        <v>5.6800000000000003E-2</v>
      </c>
      <c r="AK217" s="1">
        <v>2.8999999999999998E-3</v>
      </c>
      <c r="AL217" s="1">
        <v>6.42</v>
      </c>
      <c r="AM217" s="1">
        <v>0.06</v>
      </c>
      <c r="AN217" s="1">
        <v>1040</v>
      </c>
      <c r="AO217" s="1">
        <v>24</v>
      </c>
      <c r="AP217" s="1">
        <v>1036</v>
      </c>
      <c r="AQ217" s="1">
        <v>36</v>
      </c>
      <c r="AR217" s="1">
        <v>1115</v>
      </c>
      <c r="AS217" s="1">
        <v>56</v>
      </c>
      <c r="AT217" s="1">
        <v>1042</v>
      </c>
      <c r="AU217" s="1">
        <v>30</v>
      </c>
      <c r="AV217" s="1">
        <v>4.593</v>
      </c>
      <c r="AW217" s="1">
        <v>9.8999999999999991E-2</v>
      </c>
      <c r="AX217" s="1">
        <v>0.82700000000000007</v>
      </c>
      <c r="AY217" s="1">
        <v>3.1E-2</v>
      </c>
      <c r="AZ217" s="1">
        <v>3850.2</v>
      </c>
      <c r="BA217" s="1">
        <v>93.15</v>
      </c>
      <c r="BB217" s="1">
        <v>2271.6179999999999</v>
      </c>
      <c r="BC217" s="1">
        <v>61.478999999999999</v>
      </c>
      <c r="BD217" s="1">
        <v>31174.2</v>
      </c>
      <c r="BE217" s="1">
        <v>745.2</v>
      </c>
      <c r="BF217" s="1">
        <v>2.6703000000000001</v>
      </c>
      <c r="BG217" s="1">
        <v>6.0858000000000008</v>
      </c>
      <c r="BH217" s="1">
        <f t="shared" si="70"/>
        <v>11674.418604651162</v>
      </c>
      <c r="BI217" s="1">
        <f t="shared" si="71"/>
        <v>26608.277987692545</v>
      </c>
    </row>
    <row r="218" spans="1:61" x14ac:dyDescent="0.2">
      <c r="A218" t="s">
        <v>386</v>
      </c>
      <c r="B218" t="s">
        <v>38</v>
      </c>
      <c r="C218" t="s">
        <v>387</v>
      </c>
      <c r="D218" t="s">
        <v>388</v>
      </c>
      <c r="E218">
        <v>75763</v>
      </c>
      <c r="F218">
        <v>53354</v>
      </c>
      <c r="G218" t="s">
        <v>388</v>
      </c>
      <c r="H218" s="1">
        <v>895</v>
      </c>
      <c r="I218" s="1">
        <v>26.1</v>
      </c>
      <c r="J218" s="11">
        <v>1.696</v>
      </c>
      <c r="K218" s="11">
        <f t="shared" ca="1" si="64"/>
        <v>6.9796607367407185E-2</v>
      </c>
      <c r="L218" s="8">
        <v>0.15790000000000001</v>
      </c>
      <c r="M218" s="8">
        <f t="shared" ca="1" si="65"/>
        <v>6.5163612545653116E-3</v>
      </c>
      <c r="N218" s="8">
        <v>0.98143999999999998</v>
      </c>
      <c r="O218" s="9">
        <v>6.3331220000000004</v>
      </c>
      <c r="P218" s="9">
        <f t="shared" ca="1" si="66"/>
        <v>0.26136107084713966</v>
      </c>
      <c r="Q218" s="10">
        <v>7.7549999999999994E-2</v>
      </c>
      <c r="R218" s="10">
        <f t="shared" ca="1" si="67"/>
        <v>1.6630096211387353E-3</v>
      </c>
      <c r="S218" s="9">
        <f t="shared" si="68"/>
        <v>0.41748341570254804</v>
      </c>
      <c r="T218" s="12">
        <v>5.67E-2</v>
      </c>
      <c r="U218" s="12">
        <f t="shared" ca="1" si="69"/>
        <v>2.4750668677835761E-3</v>
      </c>
      <c r="V218" s="6" t="e">
        <f ca="1">IF(agePb6U8(1/O218)&lt;1400,age7corr(1/O218,Q218,$W$2),agePb76(Q218))</f>
        <v>#NAME?</v>
      </c>
      <c r="W218" s="6" t="e">
        <f ca="1">IF(agePb6U8(1/O218)&lt;1400,ageer7corr(V218,1/O218,P218/O218*(1/O218),Q218,R218,$W$2,0.05),ageerPb76(Q218,R218))</f>
        <v>#NAME?</v>
      </c>
      <c r="X218" s="4" t="e">
        <f ca="1">agePb6U8(L218)/agePb7u5(J218)</f>
        <v>#NAME?</v>
      </c>
      <c r="Z218" s="1">
        <v>1.696</v>
      </c>
      <c r="AA218" s="1">
        <v>6.0999999999999999E-2</v>
      </c>
      <c r="AB218" s="1">
        <v>0.15790000000000001</v>
      </c>
      <c r="AC218" s="1">
        <v>5.7000000000000002E-3</v>
      </c>
      <c r="AD218" s="1">
        <v>0.98143999999999998</v>
      </c>
      <c r="AE218" s="1">
        <v>6.3331220000000004</v>
      </c>
      <c r="AF218" s="1">
        <v>0.22861809999999999</v>
      </c>
      <c r="AG218" s="1">
        <v>7.7549999999999994E-2</v>
      </c>
      <c r="AH218" s="1">
        <v>5.9999999999999995E-4</v>
      </c>
      <c r="AI218" s="1">
        <v>0.21708</v>
      </c>
      <c r="AJ218" s="1">
        <v>5.67E-2</v>
      </c>
      <c r="AK218" s="1">
        <v>2.2000000000000001E-3</v>
      </c>
      <c r="AL218" s="1">
        <v>101.8</v>
      </c>
      <c r="AM218" s="1">
        <v>2.5</v>
      </c>
      <c r="AN218" s="1">
        <v>1006</v>
      </c>
      <c r="AO218" s="1">
        <v>23</v>
      </c>
      <c r="AP218" s="1">
        <v>945</v>
      </c>
      <c r="AQ218" s="1">
        <v>32</v>
      </c>
      <c r="AR218" s="1">
        <v>1114</v>
      </c>
      <c r="AS218" s="1">
        <v>41</v>
      </c>
      <c r="AT218" s="1">
        <v>1135</v>
      </c>
      <c r="AU218" s="1">
        <v>15</v>
      </c>
      <c r="AV218" s="1">
        <v>191</v>
      </c>
      <c r="AW218" s="1">
        <v>5.5</v>
      </c>
      <c r="AX218" s="1">
        <v>2.0070000000000001</v>
      </c>
      <c r="AY218" s="1">
        <v>8.3000000000000004E-2</v>
      </c>
      <c r="AZ218" s="1">
        <v>9401.94</v>
      </c>
      <c r="BA218" s="1">
        <v>347.76</v>
      </c>
      <c r="BB218" s="1">
        <v>91224.900000000009</v>
      </c>
      <c r="BC218" s="1">
        <v>1987.2</v>
      </c>
      <c r="BD218" s="1">
        <v>1191078</v>
      </c>
      <c r="BE218" s="1">
        <v>25461</v>
      </c>
      <c r="BF218" s="1">
        <v>9.8739000000000008</v>
      </c>
      <c r="BG218" s="1">
        <v>4.5953999999999997</v>
      </c>
      <c r="BH218" s="1">
        <f t="shared" si="70"/>
        <v>120628.93081761006</v>
      </c>
      <c r="BI218" s="1">
        <f t="shared" si="71"/>
        <v>56200.953844021918</v>
      </c>
    </row>
    <row r="219" spans="1:61" x14ac:dyDescent="0.2">
      <c r="A219" t="s">
        <v>389</v>
      </c>
      <c r="B219" t="s">
        <v>38</v>
      </c>
      <c r="C219" t="s">
        <v>390</v>
      </c>
      <c r="D219" t="s">
        <v>391</v>
      </c>
      <c r="E219">
        <v>75770</v>
      </c>
      <c r="F219">
        <v>53483</v>
      </c>
      <c r="G219" t="s">
        <v>391</v>
      </c>
      <c r="H219" s="1">
        <v>112.3</v>
      </c>
      <c r="I219" s="1">
        <v>71.900000000000006</v>
      </c>
      <c r="J219" s="11">
        <v>1.86</v>
      </c>
      <c r="K219" s="11">
        <f t="shared" ca="1" si="64"/>
        <v>7.2303803496081731E-2</v>
      </c>
      <c r="L219" s="8">
        <v>0.17749999999999999</v>
      </c>
      <c r="M219" s="8">
        <f t="shared" ca="1" si="65"/>
        <v>6.7150949360377616E-3</v>
      </c>
      <c r="N219" s="8">
        <v>0.98960999999999999</v>
      </c>
      <c r="O219" s="9">
        <v>5.6338030000000003</v>
      </c>
      <c r="P219" s="9">
        <f t="shared" ca="1" si="66"/>
        <v>0.21313534307893095</v>
      </c>
      <c r="Q219" s="10">
        <v>7.5749999999999998E-2</v>
      </c>
      <c r="R219" s="10">
        <f t="shared" ca="1" si="67"/>
        <v>1.5669157603394001E-3</v>
      </c>
      <c r="S219" s="9">
        <f t="shared" si="68"/>
        <v>0.3914299251443043</v>
      </c>
      <c r="T219" s="12">
        <v>6.0499999999999998E-2</v>
      </c>
      <c r="U219" s="12">
        <f t="shared" ca="1" si="69"/>
        <v>2.0060159520801425E-3</v>
      </c>
      <c r="V219" s="6" t="e">
        <f ca="1">IF(agePb6U8(1/O219)&lt;1400,age7corr(1/O219,Q219,$W$2),agePb76(Q219))</f>
        <v>#NAME?</v>
      </c>
      <c r="W219" s="6" t="e">
        <f ca="1">IF(agePb6U8(1/O219)&lt;1400,ageer7corr(V219,1/O219,P219/O219*(1/O219),Q219,R219,$W$2,0.05),ageerPb76(Q219,R219))</f>
        <v>#NAME?</v>
      </c>
      <c r="X219" s="4" t="e">
        <f ca="1">agePb6U8(L219)/agePb7u5(J219)</f>
        <v>#NAME?</v>
      </c>
      <c r="Z219" s="1">
        <v>1.86</v>
      </c>
      <c r="AA219" s="1">
        <v>6.2E-2</v>
      </c>
      <c r="AB219" s="1">
        <v>0.17749999999999999</v>
      </c>
      <c r="AC219" s="1">
        <v>5.7000000000000002E-3</v>
      </c>
      <c r="AD219" s="1">
        <v>0.98960999999999999</v>
      </c>
      <c r="AE219" s="1">
        <v>5.6338030000000003</v>
      </c>
      <c r="AF219" s="1">
        <v>0.18091650000000001</v>
      </c>
      <c r="AG219" s="1">
        <v>7.5749999999999998E-2</v>
      </c>
      <c r="AH219" s="1">
        <v>4.0000000000000002E-4</v>
      </c>
      <c r="AI219" s="1">
        <v>-0.31830000000000003</v>
      </c>
      <c r="AJ219" s="1">
        <v>6.0499999999999998E-2</v>
      </c>
      <c r="AK219" s="1">
        <v>1.6000000000000001E-3</v>
      </c>
      <c r="AL219" s="1">
        <v>4.7069999999999999</v>
      </c>
      <c r="AM219" s="1">
        <v>1.7000000000000001E-2</v>
      </c>
      <c r="AN219" s="1">
        <v>1066</v>
      </c>
      <c r="AO219" s="1">
        <v>22</v>
      </c>
      <c r="AP219" s="1">
        <v>1053</v>
      </c>
      <c r="AQ219" s="1">
        <v>31</v>
      </c>
      <c r="AR219" s="1">
        <v>1188</v>
      </c>
      <c r="AS219" s="1">
        <v>30</v>
      </c>
      <c r="AT219" s="1">
        <v>1088</v>
      </c>
      <c r="AU219" s="1">
        <v>11</v>
      </c>
      <c r="AV219" s="1">
        <v>23.970000000000002</v>
      </c>
      <c r="AW219" s="1">
        <v>0.56999999999999995</v>
      </c>
      <c r="AX219" s="1">
        <v>5.52</v>
      </c>
      <c r="AY219" s="1">
        <v>0.13999999999999999</v>
      </c>
      <c r="AZ219" s="1">
        <v>27851.850000000002</v>
      </c>
      <c r="BA219" s="1">
        <v>490.59000000000003</v>
      </c>
      <c r="BB219" s="1">
        <v>12258.539999999999</v>
      </c>
      <c r="BC219" s="1">
        <v>229.77</v>
      </c>
      <c r="BD219" s="1">
        <v>164130.29999999999</v>
      </c>
      <c r="BE219" s="1">
        <v>2794.5000000000005</v>
      </c>
      <c r="BF219" s="1">
        <v>11.799000000000001</v>
      </c>
      <c r="BG219" s="1">
        <v>8.6940000000000008</v>
      </c>
      <c r="BH219" s="1">
        <f t="shared" si="70"/>
        <v>13910.526315789471</v>
      </c>
      <c r="BI219" s="1">
        <f t="shared" si="71"/>
        <v>10252.597469267424</v>
      </c>
    </row>
    <row r="220" spans="1:61" x14ac:dyDescent="0.2">
      <c r="A220" t="s">
        <v>392</v>
      </c>
      <c r="B220" t="s">
        <v>38</v>
      </c>
      <c r="C220" t="s">
        <v>393</v>
      </c>
      <c r="D220" t="s">
        <v>394</v>
      </c>
      <c r="E220">
        <v>75715</v>
      </c>
      <c r="F220">
        <v>53895</v>
      </c>
      <c r="G220" t="s">
        <v>394</v>
      </c>
      <c r="H220" s="1">
        <v>25.76</v>
      </c>
      <c r="I220" s="1">
        <v>9.92</v>
      </c>
      <c r="J220" s="11">
        <v>2.669</v>
      </c>
      <c r="K220" s="11">
        <f t="shared" ca="1" si="64"/>
        <v>8.7237746417476891E-2</v>
      </c>
      <c r="L220" s="8">
        <v>0.2291</v>
      </c>
      <c r="M220" s="8">
        <f t="shared" ca="1" si="65"/>
        <v>7.1585420303299186E-3</v>
      </c>
      <c r="N220" s="8">
        <v>0.90132999999999996</v>
      </c>
      <c r="O220" s="9">
        <v>4.3649060000000004</v>
      </c>
      <c r="P220" s="9">
        <f t="shared" ca="1" si="66"/>
        <v>0.13638742102838664</v>
      </c>
      <c r="Q220" s="10">
        <v>8.5720000000000005E-2</v>
      </c>
      <c r="R220" s="10">
        <f t="shared" ca="1" si="67"/>
        <v>1.9600171835981442E-3</v>
      </c>
      <c r="S220" s="9">
        <f t="shared" si="68"/>
        <v>0.52414342353540988</v>
      </c>
      <c r="T220" s="12">
        <v>8.2500000000000004E-2</v>
      </c>
      <c r="U220" s="12">
        <f t="shared" ca="1" si="69"/>
        <v>4.0512343797909295E-3</v>
      </c>
      <c r="V220" s="6" t="e">
        <f ca="1">IF(agePb6U8(1/O220)&lt;1400,age7corr(1/O220,Q220,$W$2),agePb76(Q220))</f>
        <v>#NAME?</v>
      </c>
      <c r="W220" s="6" t="e">
        <f ca="1">IF(agePb6U8(1/O220)&lt;1400,ageer7corr(V220,1/O220,P220/O220*(1/O220),Q220,R220,$W$2,0.05),ageerPb76(Q220,R220))</f>
        <v>#NAME?</v>
      </c>
      <c r="X220" s="4" t="e">
        <f ca="1">agePb6U8(L220)/agePb7u5(J220)</f>
        <v>#NAME?</v>
      </c>
      <c r="Z220" s="1">
        <v>2.669</v>
      </c>
      <c r="AA220" s="1">
        <v>6.9000000000000006E-2</v>
      </c>
      <c r="AB220" s="1">
        <v>0.2291</v>
      </c>
      <c r="AC220" s="1">
        <v>5.4999999999999997E-3</v>
      </c>
      <c r="AD220" s="1">
        <v>0.90132999999999996</v>
      </c>
      <c r="AE220" s="1">
        <v>4.3649060000000004</v>
      </c>
      <c r="AF220" s="1">
        <v>0.1047882</v>
      </c>
      <c r="AG220" s="1">
        <v>8.5720000000000005E-2</v>
      </c>
      <c r="AH220" s="1">
        <v>9.5E-4</v>
      </c>
      <c r="AI220" s="1">
        <v>0.33435999999999999</v>
      </c>
      <c r="AJ220" s="1">
        <v>8.2500000000000004E-2</v>
      </c>
      <c r="AK220" s="1">
        <v>3.7000000000000002E-3</v>
      </c>
      <c r="AL220" s="1">
        <v>7.4969999999999999</v>
      </c>
      <c r="AM220" s="1">
        <v>5.2999999999999999E-2</v>
      </c>
      <c r="AN220" s="1">
        <v>1324</v>
      </c>
      <c r="AO220" s="1">
        <v>21</v>
      </c>
      <c r="AP220" s="1">
        <v>1330</v>
      </c>
      <c r="AQ220" s="1">
        <v>29</v>
      </c>
      <c r="AR220" s="1">
        <v>1601</v>
      </c>
      <c r="AS220" s="1">
        <v>68</v>
      </c>
      <c r="AT220" s="1">
        <v>1331</v>
      </c>
      <c r="AU220" s="1">
        <v>22</v>
      </c>
      <c r="AV220" s="1">
        <v>5.5</v>
      </c>
      <c r="AW220" s="1">
        <v>0.13999999999999999</v>
      </c>
      <c r="AX220" s="1">
        <v>0.76200000000000001</v>
      </c>
      <c r="AY220" s="1">
        <v>3.4999999999999996E-2</v>
      </c>
      <c r="AZ220" s="1">
        <v>5197.7699999999995</v>
      </c>
      <c r="BA220" s="1">
        <v>130.41</v>
      </c>
      <c r="BB220" s="1">
        <v>4079.97</v>
      </c>
      <c r="BC220" s="1">
        <v>74.52</v>
      </c>
      <c r="BD220" s="1">
        <v>48686.400000000001</v>
      </c>
      <c r="BE220" s="1">
        <v>1117.8000000000002</v>
      </c>
      <c r="BF220" s="1">
        <v>-6.3963000000000001</v>
      </c>
      <c r="BG220" s="1">
        <v>4.6574999999999998</v>
      </c>
      <c r="BH220" s="1">
        <f t="shared" si="70"/>
        <v>-7611.6504854368932</v>
      </c>
      <c r="BI220" s="1">
        <f t="shared" si="71"/>
        <v>-5545.2183633209715</v>
      </c>
    </row>
    <row r="221" spans="1:61" x14ac:dyDescent="0.2">
      <c r="A221" t="s">
        <v>329</v>
      </c>
      <c r="B221" t="s">
        <v>38</v>
      </c>
      <c r="C221" t="s">
        <v>330</v>
      </c>
      <c r="D221" t="s">
        <v>331</v>
      </c>
      <c r="E221">
        <v>76142</v>
      </c>
      <c r="F221">
        <v>53792</v>
      </c>
      <c r="G221" t="s">
        <v>331</v>
      </c>
      <c r="H221" s="1">
        <v>267.3</v>
      </c>
      <c r="I221" s="1">
        <v>72.8</v>
      </c>
      <c r="J221" s="11">
        <v>2.129</v>
      </c>
      <c r="K221" s="11">
        <f t="shared" ca="1" si="64"/>
        <v>6.876813506268728E-2</v>
      </c>
      <c r="L221" s="8">
        <v>0.18820000000000001</v>
      </c>
      <c r="M221" s="8">
        <f t="shared" ca="1" si="65"/>
        <v>6.2584100217227701E-3</v>
      </c>
      <c r="N221" s="8">
        <v>0.97892999999999997</v>
      </c>
      <c r="O221" s="9">
        <v>5.3134959999999998</v>
      </c>
      <c r="P221" s="9">
        <f t="shared" ca="1" si="66"/>
        <v>0.1766951949523427</v>
      </c>
      <c r="Q221" s="10">
        <v>8.1049999999999997E-2</v>
      </c>
      <c r="R221" s="10">
        <f t="shared" ca="1" si="67"/>
        <v>1.6796550241046523E-3</v>
      </c>
      <c r="S221" s="9">
        <f t="shared" si="68"/>
        <v>0.44346007678227001</v>
      </c>
      <c r="T221" s="12">
        <v>6.5699999999999995E-2</v>
      </c>
      <c r="U221" s="12">
        <f t="shared" ca="1" si="69"/>
        <v>1.9941404163197735E-3</v>
      </c>
      <c r="V221" s="6" t="e">
        <f ca="1">IF(agePb6U8(1/O221)&lt;1400,age7corr(1/O221,Q221,$W$2),agePb76(Q221))</f>
        <v>#NAME?</v>
      </c>
      <c r="W221" s="6" t="e">
        <f ca="1">IF(agePb6U8(1/O221)&lt;1400,ageer7corr(V221,1/O221,P221/O221*(1/O221),Q221,R221,$W$2,0.05),ageerPb76(Q221,R221))</f>
        <v>#NAME?</v>
      </c>
      <c r="X221" s="4" t="e">
        <f ca="1">agePb6U8(L221)/agePb7u5(J221)</f>
        <v>#NAME?</v>
      </c>
      <c r="Z221" s="1">
        <v>2.129</v>
      </c>
      <c r="AA221" s="1">
        <v>5.3999999999999999E-2</v>
      </c>
      <c r="AB221" s="1">
        <v>0.18820000000000001</v>
      </c>
      <c r="AC221" s="1">
        <v>5.0000000000000001E-3</v>
      </c>
      <c r="AD221" s="1">
        <v>0.97892999999999997</v>
      </c>
      <c r="AE221" s="1">
        <v>5.3134959999999998</v>
      </c>
      <c r="AF221" s="1">
        <v>0.14116619999999999</v>
      </c>
      <c r="AG221" s="1">
        <v>8.1049999999999997E-2</v>
      </c>
      <c r="AH221" s="1">
        <v>4.4000000000000002E-4</v>
      </c>
      <c r="AI221" s="1">
        <v>-8.4083000000000005E-2</v>
      </c>
      <c r="AJ221" s="1">
        <v>6.5699999999999995E-2</v>
      </c>
      <c r="AK221" s="1">
        <v>1.5E-3</v>
      </c>
      <c r="AL221" s="1">
        <v>11.33</v>
      </c>
      <c r="AM221" s="1">
        <v>0.53</v>
      </c>
      <c r="AN221" s="1">
        <v>1158</v>
      </c>
      <c r="AO221" s="1">
        <v>18</v>
      </c>
      <c r="AP221" s="1">
        <v>1111</v>
      </c>
      <c r="AQ221" s="1">
        <v>27</v>
      </c>
      <c r="AR221" s="1">
        <v>1287</v>
      </c>
      <c r="AS221" s="1">
        <v>28</v>
      </c>
      <c r="AT221" s="1">
        <v>1223</v>
      </c>
      <c r="AU221" s="1">
        <v>11</v>
      </c>
      <c r="AV221" s="1">
        <v>57.2</v>
      </c>
      <c r="AW221" s="1">
        <v>1.8</v>
      </c>
      <c r="AX221" s="1">
        <v>5.6</v>
      </c>
      <c r="AY221" s="1">
        <v>0.28999999999999998</v>
      </c>
      <c r="AZ221" s="1">
        <v>30304.799999999999</v>
      </c>
      <c r="BA221" s="1">
        <v>745.2</v>
      </c>
      <c r="BB221" s="1">
        <v>33968.699999999997</v>
      </c>
      <c r="BC221" s="1">
        <v>931.50000000000011</v>
      </c>
      <c r="BD221" s="1">
        <v>425385.00000000006</v>
      </c>
      <c r="BE221" s="1">
        <v>11178.000000000002</v>
      </c>
      <c r="BF221" s="1">
        <v>11.426399999999999</v>
      </c>
      <c r="BG221" s="1">
        <v>5.8373999999999997</v>
      </c>
      <c r="BH221" s="1">
        <f t="shared" si="70"/>
        <v>37228.260869565223</v>
      </c>
      <c r="BI221" s="1">
        <f t="shared" si="71"/>
        <v>19043.928011383188</v>
      </c>
    </row>
    <row r="222" spans="1:61" x14ac:dyDescent="0.2">
      <c r="A222" t="s">
        <v>395</v>
      </c>
      <c r="B222" t="s">
        <v>38</v>
      </c>
      <c r="C222" t="s">
        <v>396</v>
      </c>
      <c r="D222" t="s">
        <v>397</v>
      </c>
      <c r="E222">
        <v>75747</v>
      </c>
      <c r="F222">
        <v>54003</v>
      </c>
      <c r="G222" t="s">
        <v>397</v>
      </c>
      <c r="H222" s="1">
        <v>233</v>
      </c>
      <c r="I222" s="1">
        <v>89.4</v>
      </c>
      <c r="J222" s="11">
        <v>1.7450000000000001</v>
      </c>
      <c r="K222" s="11">
        <f t="shared" ca="1" si="64"/>
        <v>8.819869613548717E-2</v>
      </c>
      <c r="L222" s="8">
        <v>0.16669999999999999</v>
      </c>
      <c r="M222" s="8">
        <f t="shared" ca="1" si="65"/>
        <v>8.2076522830831465E-3</v>
      </c>
      <c r="N222" s="8">
        <v>0.99548999999999999</v>
      </c>
      <c r="O222" s="9">
        <v>5.9988000000000001</v>
      </c>
      <c r="P222" s="9">
        <f t="shared" ca="1" si="66"/>
        <v>0.29535729589769749</v>
      </c>
      <c r="Q222" s="10">
        <v>7.571E-2</v>
      </c>
      <c r="R222" s="10">
        <f t="shared" ca="1" si="67"/>
        <v>1.5456072075401303E-3</v>
      </c>
      <c r="S222" s="9">
        <f t="shared" si="68"/>
        <v>0.27762608440779124</v>
      </c>
      <c r="T222" s="12">
        <v>5.8999999999999997E-2</v>
      </c>
      <c r="U222" s="12">
        <f t="shared" ca="1" si="69"/>
        <v>2.4964775184247103E-3</v>
      </c>
      <c r="V222" s="6" t="e">
        <f ca="1">IF(agePb6U8(1/O222)&lt;1400,age7corr(1/O222,Q222,$W$2),agePb76(Q222))</f>
        <v>#NAME?</v>
      </c>
      <c r="W222" s="6" t="e">
        <f ca="1">IF(agePb6U8(1/O222)&lt;1400,ageer7corr(V222,1/O222,P222/O222*(1/O222),Q222,R222,$W$2,0.05),ageerPb76(Q222,R222))</f>
        <v>#NAME?</v>
      </c>
      <c r="X222" s="4" t="e">
        <f ca="1">agePb6U8(L222)/agePb7u5(J222)</f>
        <v>#NAME?</v>
      </c>
      <c r="Z222" s="1">
        <v>1.7450000000000001</v>
      </c>
      <c r="AA222" s="1">
        <v>8.1000000000000003E-2</v>
      </c>
      <c r="AB222" s="1">
        <v>0.16669999999999999</v>
      </c>
      <c r="AC222" s="1">
        <v>7.4999999999999997E-3</v>
      </c>
      <c r="AD222" s="1">
        <v>0.99548999999999999</v>
      </c>
      <c r="AE222" s="1">
        <v>5.9988000000000001</v>
      </c>
      <c r="AF222" s="1">
        <v>0.26989200000000002</v>
      </c>
      <c r="AG222" s="1">
        <v>7.571E-2</v>
      </c>
      <c r="AH222" s="1">
        <v>3.1E-4</v>
      </c>
      <c r="AI222" s="1">
        <v>-0.17757999999999999</v>
      </c>
      <c r="AJ222" s="1">
        <v>5.8999999999999997E-2</v>
      </c>
      <c r="AK222" s="1">
        <v>2.2000000000000001E-3</v>
      </c>
      <c r="AL222" s="1">
        <v>7.6139999999999999</v>
      </c>
      <c r="AM222" s="1">
        <v>6.4000000000000001E-2</v>
      </c>
      <c r="AN222" s="1">
        <v>1023</v>
      </c>
      <c r="AO222" s="1">
        <v>30</v>
      </c>
      <c r="AP222" s="1">
        <v>993</v>
      </c>
      <c r="AQ222" s="1">
        <v>42</v>
      </c>
      <c r="AR222" s="1">
        <v>1159</v>
      </c>
      <c r="AS222" s="1">
        <v>43</v>
      </c>
      <c r="AT222" s="1">
        <v>1087.4000000000001</v>
      </c>
      <c r="AU222" s="1">
        <v>8.1999999999999993</v>
      </c>
      <c r="AV222" s="1">
        <v>49.8</v>
      </c>
      <c r="AW222" s="1">
        <v>2.9</v>
      </c>
      <c r="AX222" s="1">
        <v>6.87</v>
      </c>
      <c r="AY222" s="1">
        <v>0.25999999999999995</v>
      </c>
      <c r="AZ222" s="1">
        <v>33844.5</v>
      </c>
      <c r="BA222" s="1">
        <v>1242</v>
      </c>
      <c r="BB222" s="1">
        <v>23846.400000000001</v>
      </c>
      <c r="BC222" s="1">
        <v>745.2</v>
      </c>
      <c r="BD222" s="1">
        <v>319815</v>
      </c>
      <c r="BE222" s="1">
        <v>8694</v>
      </c>
      <c r="BF222" s="1">
        <v>49.679999999999993</v>
      </c>
      <c r="BG222" s="1">
        <v>7.4519999999999991</v>
      </c>
      <c r="BH222" s="1">
        <f t="shared" si="70"/>
        <v>6437.5000000000009</v>
      </c>
      <c r="BI222" s="1">
        <f t="shared" si="71"/>
        <v>981.3544928439469</v>
      </c>
    </row>
    <row r="223" spans="1:61" x14ac:dyDescent="0.2">
      <c r="A223" t="s">
        <v>398</v>
      </c>
      <c r="B223" t="s">
        <v>38</v>
      </c>
      <c r="C223" t="s">
        <v>399</v>
      </c>
      <c r="D223" t="s">
        <v>400</v>
      </c>
      <c r="E223">
        <v>75799</v>
      </c>
      <c r="F223">
        <v>54139</v>
      </c>
      <c r="G223" t="s">
        <v>400</v>
      </c>
      <c r="H223" s="1">
        <v>204.5</v>
      </c>
      <c r="I223" s="1">
        <v>62.2</v>
      </c>
      <c r="J223" s="11">
        <v>1.9630000000000001</v>
      </c>
      <c r="K223" s="11">
        <f t="shared" ca="1" si="64"/>
        <v>7.5936470816070994E-2</v>
      </c>
      <c r="L223" s="8">
        <v>0.1837</v>
      </c>
      <c r="M223" s="8">
        <f t="shared" ca="1" si="65"/>
        <v>7.4664768130625033E-3</v>
      </c>
      <c r="N223" s="8">
        <v>0.98189000000000004</v>
      </c>
      <c r="O223" s="9">
        <v>5.4436580000000001</v>
      </c>
      <c r="P223" s="9">
        <f t="shared" ca="1" si="66"/>
        <v>0.22125720486398989</v>
      </c>
      <c r="Q223" s="10">
        <v>7.7200000000000005E-2</v>
      </c>
      <c r="R223" s="10">
        <f t="shared" ca="1" si="67"/>
        <v>1.6390350819918407E-3</v>
      </c>
      <c r="S223" s="9">
        <f t="shared" si="68"/>
        <v>0.38857517289142074</v>
      </c>
      <c r="T223" s="12">
        <v>6.4000000000000001E-2</v>
      </c>
      <c r="U223" s="12">
        <f t="shared" ca="1" si="69"/>
        <v>2.2909386722476882E-3</v>
      </c>
      <c r="V223" s="6" t="e">
        <f ca="1">IF(agePb6U8(1/O223)&lt;1400,age7corr(1/O223,Q223,$W$2),agePb76(Q223))</f>
        <v>#NAME?</v>
      </c>
      <c r="W223" s="6" t="e">
        <f ca="1">IF(agePb6U8(1/O223)&lt;1400,ageer7corr(V223,1/O223,P223/O223*(1/O223),Q223,R223,$W$2,0.05),ageerPb76(Q223,R223))</f>
        <v>#NAME?</v>
      </c>
      <c r="X223" s="4" t="e">
        <f ca="1">agePb6U8(L223)/agePb7u5(J223)</f>
        <v>#NAME?</v>
      </c>
      <c r="Z223" s="1">
        <v>1.9630000000000001</v>
      </c>
      <c r="AA223" s="1">
        <v>6.5000000000000002E-2</v>
      </c>
      <c r="AB223" s="1">
        <v>0.1837</v>
      </c>
      <c r="AC223" s="1">
        <v>6.4999999999999997E-3</v>
      </c>
      <c r="AD223" s="1">
        <v>0.98189000000000004</v>
      </c>
      <c r="AE223" s="1">
        <v>5.4436580000000001</v>
      </c>
      <c r="AF223" s="1">
        <v>0.19261719999999999</v>
      </c>
      <c r="AG223" s="1">
        <v>7.7200000000000005E-2</v>
      </c>
      <c r="AH223" s="1">
        <v>5.5000000000000003E-4</v>
      </c>
      <c r="AI223" s="1">
        <v>0.26257000000000003</v>
      </c>
      <c r="AJ223" s="1">
        <v>6.4000000000000001E-2</v>
      </c>
      <c r="AK223" s="1">
        <v>1.9E-3</v>
      </c>
      <c r="AL223" s="1">
        <v>9.85</v>
      </c>
      <c r="AM223" s="1">
        <v>0.37</v>
      </c>
      <c r="AN223" s="1">
        <v>1102</v>
      </c>
      <c r="AO223" s="1">
        <v>22</v>
      </c>
      <c r="AP223" s="1">
        <v>1087</v>
      </c>
      <c r="AQ223" s="1">
        <v>35</v>
      </c>
      <c r="AR223" s="1">
        <v>1253</v>
      </c>
      <c r="AS223" s="1">
        <v>35</v>
      </c>
      <c r="AT223" s="1">
        <v>1126</v>
      </c>
      <c r="AU223" s="1">
        <v>14</v>
      </c>
      <c r="AV223" s="1">
        <v>43.6</v>
      </c>
      <c r="AW223" s="1">
        <v>1.6</v>
      </c>
      <c r="AX223" s="1">
        <v>4.78</v>
      </c>
      <c r="AY223" s="1">
        <v>0.34</v>
      </c>
      <c r="AZ223" s="1">
        <v>25150.5</v>
      </c>
      <c r="BA223" s="1">
        <v>993.6</v>
      </c>
      <c r="BB223" s="1">
        <v>23535.9</v>
      </c>
      <c r="BC223" s="1">
        <v>683.09999999999991</v>
      </c>
      <c r="BD223" s="1">
        <v>308637</v>
      </c>
      <c r="BE223" s="1">
        <v>8072.9999999999982</v>
      </c>
      <c r="BF223" s="1">
        <v>-24.839999999999996</v>
      </c>
      <c r="BG223" s="1">
        <v>6.2099999999999991</v>
      </c>
      <c r="BH223" s="1">
        <f t="shared" si="70"/>
        <v>-12425.000000000002</v>
      </c>
      <c r="BI223" s="1">
        <f t="shared" si="71"/>
        <v>-3123.2057348980393</v>
      </c>
    </row>
    <row r="224" spans="1:61" x14ac:dyDescent="0.2">
      <c r="A224" t="s">
        <v>401</v>
      </c>
      <c r="B224" t="s">
        <v>38</v>
      </c>
      <c r="C224" t="s">
        <v>402</v>
      </c>
      <c r="D224" t="s">
        <v>403</v>
      </c>
      <c r="E224">
        <v>75678</v>
      </c>
      <c r="F224">
        <v>54561</v>
      </c>
      <c r="G224" t="s">
        <v>403</v>
      </c>
      <c r="H224" s="1">
        <v>89.7</v>
      </c>
      <c r="I224" s="1">
        <v>30.25</v>
      </c>
      <c r="J224" s="11">
        <v>2.1680000000000001</v>
      </c>
      <c r="K224" s="11">
        <f t="shared" ca="1" si="64"/>
        <v>8.234129947966573E-2</v>
      </c>
      <c r="L224" s="8">
        <v>0.19670000000000001</v>
      </c>
      <c r="M224" s="8">
        <f t="shared" ca="1" si="65"/>
        <v>7.5977862565355173E-3</v>
      </c>
      <c r="N224" s="8">
        <v>0.97833999999999999</v>
      </c>
      <c r="O224" s="9">
        <v>5.0838840000000003</v>
      </c>
      <c r="P224" s="9">
        <f t="shared" ca="1" si="66"/>
        <v>0.19637144856985295</v>
      </c>
      <c r="Q224" s="10">
        <v>7.9630000000000006E-2</v>
      </c>
      <c r="R224" s="10">
        <f t="shared" ca="1" si="67"/>
        <v>1.6983741519465021E-3</v>
      </c>
      <c r="S224" s="9">
        <f t="shared" si="68"/>
        <v>0.40873848571834548</v>
      </c>
      <c r="T224" s="12">
        <v>6.8599999999999994E-2</v>
      </c>
      <c r="U224" s="12">
        <f t="shared" ca="1" si="69"/>
        <v>2.8517335078860361E-3</v>
      </c>
      <c r="V224" s="6" t="e">
        <f ca="1">IF(agePb6U8(1/O224)&lt;1400,age7corr(1/O224,Q224,$W$2),agePb76(Q224))</f>
        <v>#NAME?</v>
      </c>
      <c r="W224" s="6" t="e">
        <f ca="1">IF(agePb6U8(1/O224)&lt;1400,ageer7corr(V224,1/O224,P224/O224*(1/O224),Q224,R224,$W$2,0.05),ageerPb76(Q224,R224))</f>
        <v>#NAME?</v>
      </c>
      <c r="X224" s="4" t="e">
        <f ca="1">agePb6U8(L224)/agePb7u5(J224)</f>
        <v>#NAME?</v>
      </c>
      <c r="Z224" s="1">
        <v>2.1680000000000001</v>
      </c>
      <c r="AA224" s="1">
        <v>7.0000000000000007E-2</v>
      </c>
      <c r="AB224" s="1">
        <v>0.19670000000000001</v>
      </c>
      <c r="AC224" s="1">
        <v>6.4999999999999997E-3</v>
      </c>
      <c r="AD224" s="1">
        <v>0.97833999999999999</v>
      </c>
      <c r="AE224" s="1">
        <v>5.0838840000000003</v>
      </c>
      <c r="AF224" s="1">
        <v>0.16799819999999999</v>
      </c>
      <c r="AG224" s="1">
        <v>7.9630000000000006E-2</v>
      </c>
      <c r="AH224" s="1">
        <v>5.9000000000000003E-4</v>
      </c>
      <c r="AI224" s="1">
        <v>0.11264</v>
      </c>
      <c r="AJ224" s="1">
        <v>6.8599999999999994E-2</v>
      </c>
      <c r="AK224" s="1">
        <v>2.5000000000000001E-3</v>
      </c>
      <c r="AL224" s="1">
        <v>8.9009999999999998</v>
      </c>
      <c r="AM224" s="1">
        <v>6.5000000000000002E-2</v>
      </c>
      <c r="AN224" s="1">
        <v>1170</v>
      </c>
      <c r="AO224" s="1">
        <v>22</v>
      </c>
      <c r="AP224" s="1">
        <v>1157</v>
      </c>
      <c r="AQ224" s="1">
        <v>35</v>
      </c>
      <c r="AR224" s="1">
        <v>1341</v>
      </c>
      <c r="AS224" s="1">
        <v>47</v>
      </c>
      <c r="AT224" s="1">
        <v>1187</v>
      </c>
      <c r="AU224" s="1">
        <v>14</v>
      </c>
      <c r="AV224" s="1">
        <v>19.14</v>
      </c>
      <c r="AW224" s="1">
        <v>0.5</v>
      </c>
      <c r="AX224" s="1">
        <v>2.323</v>
      </c>
      <c r="AY224" s="1">
        <v>6.8000000000000005E-2</v>
      </c>
      <c r="AZ224" s="1">
        <v>13190.04</v>
      </c>
      <c r="BA224" s="1">
        <v>254.60999999999996</v>
      </c>
      <c r="BB224" s="1">
        <v>11531.97</v>
      </c>
      <c r="BC224" s="1">
        <v>217.35</v>
      </c>
      <c r="BD224" s="1">
        <v>146493.9</v>
      </c>
      <c r="BE224" s="1">
        <v>2732.3999999999996</v>
      </c>
      <c r="BF224" s="1">
        <v>8.0729999999999986</v>
      </c>
      <c r="BG224" s="1">
        <v>6.8310000000000004</v>
      </c>
      <c r="BH224" s="1">
        <f t="shared" si="70"/>
        <v>18146.153846153848</v>
      </c>
      <c r="BI224" s="1">
        <f t="shared" si="71"/>
        <v>15358.167811013682</v>
      </c>
    </row>
    <row r="225" spans="1:61" x14ac:dyDescent="0.2">
      <c r="A225" t="s">
        <v>404</v>
      </c>
      <c r="B225" t="s">
        <v>38</v>
      </c>
      <c r="C225" t="s">
        <v>405</v>
      </c>
      <c r="D225" t="s">
        <v>406</v>
      </c>
      <c r="E225">
        <v>75809</v>
      </c>
      <c r="F225">
        <v>54893</v>
      </c>
      <c r="G225" t="s">
        <v>406</v>
      </c>
      <c r="H225" s="1">
        <v>69.5</v>
      </c>
      <c r="I225" s="1">
        <v>150.80000000000001</v>
      </c>
      <c r="J225" s="11">
        <v>2.3380000000000001</v>
      </c>
      <c r="K225" s="11">
        <f t="shared" ca="1" si="64"/>
        <v>9.2663356295787175E-2</v>
      </c>
      <c r="L225" s="8">
        <v>0.2114</v>
      </c>
      <c r="M225" s="8">
        <f t="shared" ca="1" si="65"/>
        <v>8.4359933617802231E-3</v>
      </c>
      <c r="N225" s="8">
        <v>0.97809999999999997</v>
      </c>
      <c r="O225" s="9">
        <v>4.7303689999999996</v>
      </c>
      <c r="P225" s="9">
        <f t="shared" ca="1" si="66"/>
        <v>0.18876712490726341</v>
      </c>
      <c r="Q225" s="10">
        <v>8.1350000000000006E-2</v>
      </c>
      <c r="R225" s="10">
        <f t="shared" ca="1" si="67"/>
        <v>1.72067690168724E-3</v>
      </c>
      <c r="S225" s="9">
        <f t="shared" si="68"/>
        <v>0.48677496634096606</v>
      </c>
      <c r="T225" s="12">
        <v>7.0699999999999999E-2</v>
      </c>
      <c r="U225" s="12">
        <f t="shared" ca="1" si="69"/>
        <v>2.615223890989068E-3</v>
      </c>
      <c r="V225" s="6" t="e">
        <f ca="1">IF(agePb6U8(1/O225)&lt;1400,age7corr(1/O225,Q225,$W$2),agePb76(Q225))</f>
        <v>#NAME?</v>
      </c>
      <c r="W225" s="6" t="e">
        <f ca="1">IF(agePb6U8(1/O225)&lt;1400,ageer7corr(V225,1/O225,P225/O225*(1/O225),Q225,R225,$W$2,0.05),ageerPb76(Q225,R225))</f>
        <v>#NAME?</v>
      </c>
      <c r="X225" s="4" t="e">
        <f ca="1">agePb6U8(L225)/agePb7u5(J225)</f>
        <v>#NAME?</v>
      </c>
      <c r="Z225" s="1">
        <v>2.3380000000000001</v>
      </c>
      <c r="AA225" s="1">
        <v>0.08</v>
      </c>
      <c r="AB225" s="1">
        <v>0.2114</v>
      </c>
      <c r="AC225" s="1">
        <v>7.3000000000000001E-3</v>
      </c>
      <c r="AD225" s="1">
        <v>0.97809999999999997</v>
      </c>
      <c r="AE225" s="1">
        <v>4.7303689999999996</v>
      </c>
      <c r="AF225" s="1">
        <v>0.16334770000000001</v>
      </c>
      <c r="AG225" s="1">
        <v>8.1350000000000006E-2</v>
      </c>
      <c r="AH225" s="1">
        <v>5.5999999999999995E-4</v>
      </c>
      <c r="AI225" s="1">
        <v>5.0404999999999998E-2</v>
      </c>
      <c r="AJ225" s="1">
        <v>7.0699999999999999E-2</v>
      </c>
      <c r="AK225" s="1">
        <v>2.2000000000000001E-3</v>
      </c>
      <c r="AL225" s="1">
        <v>1.4319</v>
      </c>
      <c r="AM225" s="1">
        <v>6.4999999999999997E-3</v>
      </c>
      <c r="AN225" s="1">
        <v>1223</v>
      </c>
      <c r="AO225" s="1">
        <v>25</v>
      </c>
      <c r="AP225" s="1">
        <v>1236</v>
      </c>
      <c r="AQ225" s="1">
        <v>39</v>
      </c>
      <c r="AR225" s="1">
        <v>1381</v>
      </c>
      <c r="AS225" s="1">
        <v>41</v>
      </c>
      <c r="AT225" s="1">
        <v>1233</v>
      </c>
      <c r="AU225" s="1">
        <v>14</v>
      </c>
      <c r="AV225" s="1">
        <v>14.83</v>
      </c>
      <c r="AW225" s="1">
        <v>0.34</v>
      </c>
      <c r="AX225" s="1">
        <v>11.58</v>
      </c>
      <c r="AY225" s="1">
        <v>0.25999999999999995</v>
      </c>
      <c r="AZ225" s="1">
        <v>67502.7</v>
      </c>
      <c r="BA225" s="1">
        <v>1552.5</v>
      </c>
      <c r="BB225" s="1">
        <v>9668.9699999999993</v>
      </c>
      <c r="BC225" s="1">
        <v>186.3</v>
      </c>
      <c r="BD225" s="1">
        <v>120908.7</v>
      </c>
      <c r="BE225" s="1">
        <v>2484</v>
      </c>
      <c r="BF225" s="1">
        <v>31.05</v>
      </c>
      <c r="BG225" s="1">
        <v>6.8310000000000004</v>
      </c>
      <c r="BH225" s="1">
        <f t="shared" si="70"/>
        <v>3894</v>
      </c>
      <c r="BI225" s="1">
        <f t="shared" si="71"/>
        <v>860.40724218244475</v>
      </c>
    </row>
    <row r="226" spans="1:61" x14ac:dyDescent="0.2">
      <c r="A226" t="s">
        <v>407</v>
      </c>
      <c r="B226" t="s">
        <v>38</v>
      </c>
      <c r="C226" t="s">
        <v>408</v>
      </c>
      <c r="D226" t="s">
        <v>409</v>
      </c>
      <c r="E226">
        <v>75783</v>
      </c>
      <c r="F226">
        <v>55040</v>
      </c>
      <c r="G226" t="s">
        <v>409</v>
      </c>
      <c r="H226" s="1">
        <v>15.58</v>
      </c>
      <c r="I226" s="1">
        <v>29.4</v>
      </c>
      <c r="J226" s="11">
        <v>1.7130000000000001</v>
      </c>
      <c r="K226" s="11">
        <f t="shared" ca="1" si="64"/>
        <v>7.2593027213362582E-2</v>
      </c>
      <c r="L226" s="8">
        <v>0.17050000000000001</v>
      </c>
      <c r="M226" s="8">
        <f t="shared" ca="1" si="65"/>
        <v>7.3401702977519533E-3</v>
      </c>
      <c r="N226" s="8">
        <v>0.89719000000000004</v>
      </c>
      <c r="O226" s="9">
        <v>5.8651030000000004</v>
      </c>
      <c r="P226" s="9">
        <f t="shared" ca="1" si="66"/>
        <v>0.25249768049218513</v>
      </c>
      <c r="Q226" s="10">
        <v>7.22E-2</v>
      </c>
      <c r="R226" s="10">
        <f t="shared" ca="1" si="67"/>
        <v>2.0112523461763817E-3</v>
      </c>
      <c r="S226" s="9">
        <f t="shared" si="68"/>
        <v>0.52113633861655495</v>
      </c>
      <c r="T226" s="12">
        <v>5.8400000000000001E-2</v>
      </c>
      <c r="U226" s="12">
        <f t="shared" ca="1" si="69"/>
        <v>2.3160794459603493E-3</v>
      </c>
      <c r="V226" s="6" t="e">
        <f ca="1">IF(agePb6U8(1/O226)&lt;1400,age7corr(1/O226,Q226,$W$2),agePb76(Q226))</f>
        <v>#NAME?</v>
      </c>
      <c r="W226" s="6" t="e">
        <f ca="1">IF(agePb6U8(1/O226)&lt;1400,ageer7corr(V226,1/O226,P226/O226*(1/O226),Q226,R226,$W$2,0.05),ageerPb76(Q226,R226))</f>
        <v>#NAME?</v>
      </c>
      <c r="X226" s="4" t="e">
        <f ca="1">agePb6U8(L226)/agePb7u5(J226)</f>
        <v>#NAME?</v>
      </c>
      <c r="Z226" s="1">
        <v>1.7130000000000001</v>
      </c>
      <c r="AA226" s="1">
        <v>6.4000000000000001E-2</v>
      </c>
      <c r="AB226" s="1">
        <v>0.17050000000000001</v>
      </c>
      <c r="AC226" s="1">
        <v>6.4999999999999997E-3</v>
      </c>
      <c r="AD226" s="1">
        <v>0.89719000000000004</v>
      </c>
      <c r="AE226" s="1">
        <v>5.8651030000000004</v>
      </c>
      <c r="AF226" s="1">
        <v>0.2235963</v>
      </c>
      <c r="AG226" s="1">
        <v>7.22E-2</v>
      </c>
      <c r="AH226" s="1">
        <v>1.4E-3</v>
      </c>
      <c r="AI226" s="1">
        <v>4.1024999999999999E-2</v>
      </c>
      <c r="AJ226" s="1">
        <v>5.8400000000000001E-2</v>
      </c>
      <c r="AK226" s="1">
        <v>2E-3</v>
      </c>
      <c r="AL226" s="1">
        <v>1.5920000000000001</v>
      </c>
      <c r="AM226" s="1">
        <v>8.6E-3</v>
      </c>
      <c r="AN226" s="1">
        <v>1012</v>
      </c>
      <c r="AO226" s="1">
        <v>24</v>
      </c>
      <c r="AP226" s="1">
        <v>1014</v>
      </c>
      <c r="AQ226" s="1">
        <v>36</v>
      </c>
      <c r="AR226" s="1">
        <v>1147</v>
      </c>
      <c r="AS226" s="1">
        <v>39</v>
      </c>
      <c r="AT226" s="1">
        <v>990</v>
      </c>
      <c r="AU226" s="1">
        <v>38</v>
      </c>
      <c r="AV226" s="1">
        <v>3.3240000000000003</v>
      </c>
      <c r="AW226" s="1">
        <v>8.1000000000000003E-2</v>
      </c>
      <c r="AX226" s="1">
        <v>2.2590000000000003</v>
      </c>
      <c r="AY226" s="1">
        <v>8.6000000000000007E-2</v>
      </c>
      <c r="AZ226" s="1">
        <v>10960.650000000001</v>
      </c>
      <c r="BA226" s="1">
        <v>279.45000000000005</v>
      </c>
      <c r="BB226" s="1">
        <v>1570.509</v>
      </c>
      <c r="BC226" s="1">
        <v>46.575000000000003</v>
      </c>
      <c r="BD226" s="1">
        <v>21592.170000000002</v>
      </c>
      <c r="BE226" s="1">
        <v>608.57999999999993</v>
      </c>
      <c r="BF226" s="1">
        <v>49.679999999999993</v>
      </c>
      <c r="BG226" s="1">
        <v>6.2099999999999991</v>
      </c>
      <c r="BH226" s="1">
        <f t="shared" si="70"/>
        <v>434.62500000000011</v>
      </c>
      <c r="BI226" s="1">
        <f t="shared" si="71"/>
        <v>55.692079024001494</v>
      </c>
    </row>
    <row r="227" spans="1:61" x14ac:dyDescent="0.2">
      <c r="A227" t="s">
        <v>416</v>
      </c>
      <c r="B227" t="s">
        <v>38</v>
      </c>
      <c r="C227" t="s">
        <v>417</v>
      </c>
      <c r="D227" t="s">
        <v>418</v>
      </c>
      <c r="E227">
        <v>75920</v>
      </c>
      <c r="F227">
        <v>55181</v>
      </c>
      <c r="G227" t="s">
        <v>418</v>
      </c>
      <c r="H227" s="1">
        <v>210.3</v>
      </c>
      <c r="I227" s="1">
        <v>49</v>
      </c>
      <c r="J227" s="11">
        <v>4.7300000000000004</v>
      </c>
      <c r="K227" s="11">
        <f t="shared" ca="1" si="64"/>
        <v>0.2122478739587278</v>
      </c>
      <c r="L227" s="8">
        <v>0.30599999999999999</v>
      </c>
      <c r="M227" s="8">
        <f t="shared" ca="1" si="65"/>
        <v>1.2587867174386612E-2</v>
      </c>
      <c r="N227" s="8">
        <v>0.99441000000000002</v>
      </c>
      <c r="O227" s="9">
        <v>3.2679740000000002</v>
      </c>
      <c r="P227" s="9">
        <f t="shared" ca="1" si="66"/>
        <v>0.13443407005781829</v>
      </c>
      <c r="Q227" s="10">
        <v>0.11142000000000001</v>
      </c>
      <c r="R227" s="10">
        <f t="shared" ca="1" si="67"/>
        <v>2.2905603157306297E-3</v>
      </c>
      <c r="S227" s="9">
        <f t="shared" si="68"/>
        <v>0.43041129126261207</v>
      </c>
      <c r="T227" s="12">
        <v>0.1031</v>
      </c>
      <c r="U227" s="12">
        <f t="shared" ca="1" si="69"/>
        <v>4.1487159459283303E-3</v>
      </c>
      <c r="V227" s="6" t="e">
        <f ca="1">IF(agePb6U8(1/O227)&lt;1400,age7corr(1/O227,Q227,$W$2),agePb76(Q227))</f>
        <v>#NAME?</v>
      </c>
      <c r="W227" s="6" t="e">
        <f ca="1">IF(agePb6U8(1/O227)&lt;1400,ageer7corr(V227,1/O227,P227/O227*(1/O227),Q227,R227,$W$2,0.05),ageerPb76(Q227,R227))</f>
        <v>#NAME?</v>
      </c>
      <c r="X227" s="4" t="e">
        <f ca="1">agePb6U8(L227)/agePb7u5(J227)</f>
        <v>#NAME?</v>
      </c>
      <c r="Z227" s="1">
        <v>4.7300000000000004</v>
      </c>
      <c r="AA227" s="1">
        <v>0.19</v>
      </c>
      <c r="AB227" s="1">
        <v>0.30599999999999999</v>
      </c>
      <c r="AC227" s="1">
        <v>1.0999999999999999E-2</v>
      </c>
      <c r="AD227" s="1">
        <v>0.99441000000000002</v>
      </c>
      <c r="AE227" s="1">
        <v>3.2679740000000002</v>
      </c>
      <c r="AF227" s="1">
        <v>0.1174762</v>
      </c>
      <c r="AG227" s="1">
        <v>0.11142000000000001</v>
      </c>
      <c r="AH227" s="1">
        <v>5.2999999999999998E-4</v>
      </c>
      <c r="AI227" s="1">
        <v>-0.52176999999999996</v>
      </c>
      <c r="AJ227" s="1">
        <v>0.1031</v>
      </c>
      <c r="AK227" s="1">
        <v>3.5999999999999999E-3</v>
      </c>
      <c r="AL227" s="1">
        <v>13.31</v>
      </c>
      <c r="AM227" s="1">
        <v>0.1</v>
      </c>
      <c r="AN227" s="1">
        <v>1769</v>
      </c>
      <c r="AO227" s="1">
        <v>34</v>
      </c>
      <c r="AP227" s="1">
        <v>1718</v>
      </c>
      <c r="AQ227" s="1">
        <v>56</v>
      </c>
      <c r="AR227" s="1">
        <v>1982</v>
      </c>
      <c r="AS227" s="1">
        <v>65</v>
      </c>
      <c r="AT227" s="1">
        <v>1825.4</v>
      </c>
      <c r="AU227" s="1">
        <v>9.9</v>
      </c>
      <c r="AV227" s="1">
        <v>44.85</v>
      </c>
      <c r="AW227" s="1">
        <v>0.93</v>
      </c>
      <c r="AX227" s="1">
        <v>3.76</v>
      </c>
      <c r="AY227" s="1">
        <v>0.12000000000000001</v>
      </c>
      <c r="AZ227" s="1">
        <v>31981.5</v>
      </c>
      <c r="BA227" s="1">
        <v>745.2</v>
      </c>
      <c r="BB227" s="1">
        <v>58684.5</v>
      </c>
      <c r="BC227" s="1">
        <v>1304.0999999999999</v>
      </c>
      <c r="BD227" s="1">
        <v>532197</v>
      </c>
      <c r="BE227" s="1">
        <v>9936</v>
      </c>
      <c r="BF227" s="1">
        <v>55.89</v>
      </c>
      <c r="BG227" s="1">
        <v>6.8310000000000004</v>
      </c>
      <c r="BH227" s="1">
        <f t="shared" si="70"/>
        <v>9522.2222222222226</v>
      </c>
      <c r="BI227" s="1">
        <f t="shared" si="71"/>
        <v>1177.3268865420214</v>
      </c>
    </row>
    <row r="228" spans="1:61" x14ac:dyDescent="0.2">
      <c r="A228" t="s">
        <v>419</v>
      </c>
      <c r="B228" t="s">
        <v>38</v>
      </c>
      <c r="C228" t="s">
        <v>420</v>
      </c>
      <c r="D228" t="s">
        <v>421</v>
      </c>
      <c r="E228">
        <v>75794</v>
      </c>
      <c r="F228">
        <v>55319</v>
      </c>
      <c r="G228" t="s">
        <v>421</v>
      </c>
      <c r="H228" s="1">
        <v>176</v>
      </c>
      <c r="I228" s="1">
        <v>97.3</v>
      </c>
      <c r="J228" s="11">
        <v>2.1059999999999999</v>
      </c>
      <c r="K228" s="11">
        <f t="shared" ca="1" si="64"/>
        <v>9.8463670457687086E-2</v>
      </c>
      <c r="L228" s="8">
        <v>0.18260000000000001</v>
      </c>
      <c r="M228" s="8">
        <f t="shared" ca="1" si="65"/>
        <v>6.1112276998979507E-3</v>
      </c>
      <c r="N228" s="8">
        <v>0.74153000000000002</v>
      </c>
      <c r="O228" s="9">
        <v>5.476451</v>
      </c>
      <c r="P228" s="9">
        <f t="shared" ca="1" si="66"/>
        <v>0.18328496270212785</v>
      </c>
      <c r="Q228" s="10">
        <v>8.2900000000000001E-2</v>
      </c>
      <c r="R228" s="10">
        <f t="shared" ca="1" si="67"/>
        <v>2.5216986338577416E-3</v>
      </c>
      <c r="S228" s="9">
        <f t="shared" si="68"/>
        <v>0.55820588200515975</v>
      </c>
      <c r="T228" s="12">
        <v>6.6000000000000003E-2</v>
      </c>
      <c r="U228" s="12">
        <f t="shared" ca="1" si="69"/>
        <v>3.2775600680994398E-3</v>
      </c>
      <c r="V228" s="6" t="e">
        <f ca="1">IF(agePb6U8(1/O228)&lt;1400,age7corr(1/O228,Q228,$W$2),agePb76(Q228))</f>
        <v>#NAME?</v>
      </c>
      <c r="W228" s="6" t="e">
        <f ca="1">IF(agePb6U8(1/O228)&lt;1400,ageer7corr(V228,1/O228,P228/O228*(1/O228),Q228,R228,$W$2,0.05),ageerPb76(Q228,R228))</f>
        <v>#NAME?</v>
      </c>
      <c r="X228" s="4" t="e">
        <f ca="1">agePb6U8(L228)/agePb7u5(J228)</f>
        <v>#NAME?</v>
      </c>
      <c r="Z228" s="1">
        <v>2.1059999999999999</v>
      </c>
      <c r="AA228" s="1">
        <v>8.8999999999999996E-2</v>
      </c>
      <c r="AB228" s="1">
        <v>0.18260000000000001</v>
      </c>
      <c r="AC228" s="1">
        <v>4.8999999999999998E-3</v>
      </c>
      <c r="AD228" s="1">
        <v>0.74153000000000002</v>
      </c>
      <c r="AE228" s="1">
        <v>5.476451</v>
      </c>
      <c r="AF228" s="1">
        <v>0.14695839999999999</v>
      </c>
      <c r="AG228" s="1">
        <v>8.2900000000000001E-2</v>
      </c>
      <c r="AH228" s="1">
        <v>1.9E-3</v>
      </c>
      <c r="AI228" s="1">
        <v>-0.27400000000000002</v>
      </c>
      <c r="AJ228" s="1">
        <v>6.6000000000000003E-2</v>
      </c>
      <c r="AK228" s="1">
        <v>3.0000000000000001E-3</v>
      </c>
      <c r="AL228" s="1">
        <v>5.2</v>
      </c>
      <c r="AM228" s="1">
        <v>0.19</v>
      </c>
      <c r="AN228" s="1">
        <v>1149</v>
      </c>
      <c r="AO228" s="1">
        <v>29</v>
      </c>
      <c r="AP228" s="1">
        <v>1081</v>
      </c>
      <c r="AQ228" s="1">
        <v>27</v>
      </c>
      <c r="AR228" s="1">
        <v>1292</v>
      </c>
      <c r="AS228" s="1">
        <v>57</v>
      </c>
      <c r="AT228" s="1">
        <v>1263</v>
      </c>
      <c r="AU228" s="1">
        <v>44</v>
      </c>
      <c r="AV228" s="1">
        <v>37.6</v>
      </c>
      <c r="AW228" s="1">
        <v>2.2000000000000002</v>
      </c>
      <c r="AX228" s="1">
        <v>7.47</v>
      </c>
      <c r="AY228" s="1">
        <v>0.38</v>
      </c>
      <c r="AZ228" s="1">
        <v>41110.200000000004</v>
      </c>
      <c r="BA228" s="1">
        <v>3539.7000000000003</v>
      </c>
      <c r="BB228" s="1">
        <v>21921.300000000003</v>
      </c>
      <c r="BC228" s="1">
        <v>1366.1999999999998</v>
      </c>
      <c r="BD228" s="1">
        <v>265167</v>
      </c>
      <c r="BE228" s="1">
        <v>18009</v>
      </c>
      <c r="BF228" s="1">
        <v>63.342000000000006</v>
      </c>
      <c r="BG228" s="1">
        <v>26.082000000000001</v>
      </c>
      <c r="BH228" s="1">
        <f t="shared" si="70"/>
        <v>4186.2745098039213</v>
      </c>
      <c r="BI228" s="1">
        <f t="shared" si="71"/>
        <v>1747.0498419370831</v>
      </c>
    </row>
    <row r="229" spans="1:61" x14ac:dyDescent="0.2">
      <c r="A229" t="s">
        <v>422</v>
      </c>
      <c r="B229" t="s">
        <v>38</v>
      </c>
      <c r="C229" t="s">
        <v>423</v>
      </c>
      <c r="D229" t="s">
        <v>424</v>
      </c>
      <c r="E229">
        <v>75879</v>
      </c>
      <c r="F229">
        <v>55551</v>
      </c>
      <c r="G229" t="s">
        <v>424</v>
      </c>
      <c r="H229" s="1">
        <v>65.5</v>
      </c>
      <c r="I229" s="1">
        <v>18.600000000000001</v>
      </c>
      <c r="J229" s="11">
        <v>2.3319999999999999</v>
      </c>
      <c r="K229" s="11">
        <f t="shared" ca="1" si="64"/>
        <v>8.8319248185205909E-2</v>
      </c>
      <c r="L229" s="8">
        <v>0.20619999999999999</v>
      </c>
      <c r="M229" s="8">
        <f t="shared" ca="1" si="65"/>
        <v>7.6136309340550518E-3</v>
      </c>
      <c r="N229" s="8">
        <v>0.96699000000000002</v>
      </c>
      <c r="O229" s="9">
        <v>4.8496610000000002</v>
      </c>
      <c r="P229" s="9">
        <f t="shared" ca="1" si="66"/>
        <v>0.17906654670925667</v>
      </c>
      <c r="Q229" s="10">
        <v>8.1629999999999994E-2</v>
      </c>
      <c r="R229" s="10">
        <f t="shared" ca="1" si="67"/>
        <v>1.8406202106898641E-3</v>
      </c>
      <c r="S229" s="9">
        <f t="shared" si="68"/>
        <v>0.43295365289525772</v>
      </c>
      <c r="T229" s="12">
        <v>7.6300000000000007E-2</v>
      </c>
      <c r="U229" s="12">
        <f t="shared" ca="1" si="69"/>
        <v>3.3658098579688071E-3</v>
      </c>
      <c r="V229" s="6" t="e">
        <f ca="1">IF(agePb6U8(1/O229)&lt;1400,age7corr(1/O229,Q229,$W$2),agePb76(Q229))</f>
        <v>#NAME?</v>
      </c>
      <c r="W229" s="6" t="e">
        <f ca="1">IF(agePb6U8(1/O229)&lt;1400,ageer7corr(V229,1/O229,P229/O229*(1/O229),Q229,R229,$W$2,0.05),ageerPb76(Q229,R229))</f>
        <v>#NAME?</v>
      </c>
      <c r="X229" s="4" t="e">
        <f ca="1">agePb6U8(L229)/agePb7u5(J229)</f>
        <v>#NAME?</v>
      </c>
      <c r="Z229" s="1">
        <v>2.3319999999999999</v>
      </c>
      <c r="AA229" s="1">
        <v>7.4999999999999997E-2</v>
      </c>
      <c r="AB229" s="1">
        <v>0.20619999999999999</v>
      </c>
      <c r="AC229" s="1">
        <v>6.4000000000000003E-3</v>
      </c>
      <c r="AD229" s="1">
        <v>0.96699000000000002</v>
      </c>
      <c r="AE229" s="1">
        <v>4.8496610000000002</v>
      </c>
      <c r="AF229" s="1">
        <v>0.15052289999999999</v>
      </c>
      <c r="AG229" s="1">
        <v>8.1629999999999994E-2</v>
      </c>
      <c r="AH229" s="1">
        <v>8.4999999999999995E-4</v>
      </c>
      <c r="AI229" s="1">
        <v>-0.13664000000000001</v>
      </c>
      <c r="AJ229" s="1">
        <v>7.6300000000000007E-2</v>
      </c>
      <c r="AK229" s="1">
        <v>3.0000000000000001E-3</v>
      </c>
      <c r="AL229" s="1">
        <v>9.8179999999999996</v>
      </c>
      <c r="AM229" s="1">
        <v>7.5999999999999998E-2</v>
      </c>
      <c r="AN229" s="1">
        <v>1221</v>
      </c>
      <c r="AO229" s="1">
        <v>23</v>
      </c>
      <c r="AP229" s="1">
        <v>1208</v>
      </c>
      <c r="AQ229" s="1">
        <v>34</v>
      </c>
      <c r="AR229" s="1">
        <v>1486</v>
      </c>
      <c r="AS229" s="1">
        <v>57</v>
      </c>
      <c r="AT229" s="1">
        <v>1236</v>
      </c>
      <c r="AU229" s="1">
        <v>20</v>
      </c>
      <c r="AV229" s="1">
        <v>13.97</v>
      </c>
      <c r="AW229" s="1">
        <v>0.36000000000000004</v>
      </c>
      <c r="AX229" s="1">
        <v>1.427</v>
      </c>
      <c r="AY229" s="1">
        <v>6.6000000000000003E-2</v>
      </c>
      <c r="AZ229" s="1">
        <v>9159.7500000000018</v>
      </c>
      <c r="BA229" s="1">
        <v>204.93</v>
      </c>
      <c r="BB229" s="1">
        <v>9079.02</v>
      </c>
      <c r="BC229" s="1">
        <v>235.98</v>
      </c>
      <c r="BD229" s="1">
        <v>112587.3</v>
      </c>
      <c r="BE229" s="1">
        <v>2546.1</v>
      </c>
      <c r="BF229" s="1">
        <v>1.9872000000000003</v>
      </c>
      <c r="BG229" s="1">
        <v>5.9615999999999998</v>
      </c>
      <c r="BH229" s="1">
        <f t="shared" si="70"/>
        <v>56656.249999999993</v>
      </c>
      <c r="BI229" s="1">
        <f t="shared" si="71"/>
        <v>169973.57905899666</v>
      </c>
    </row>
    <row r="230" spans="1:61" x14ac:dyDescent="0.2">
      <c r="A230" t="s">
        <v>425</v>
      </c>
      <c r="B230" t="s">
        <v>38</v>
      </c>
      <c r="C230" t="s">
        <v>426</v>
      </c>
      <c r="D230" t="s">
        <v>427</v>
      </c>
      <c r="E230">
        <v>75918</v>
      </c>
      <c r="F230">
        <v>55661</v>
      </c>
      <c r="G230" t="s">
        <v>427</v>
      </c>
      <c r="H230" s="1">
        <v>43.98</v>
      </c>
      <c r="I230" s="1">
        <v>27.5</v>
      </c>
      <c r="J230" s="11">
        <v>2.2120000000000002</v>
      </c>
      <c r="K230" s="11">
        <f t="shared" ca="1" si="64"/>
        <v>7.7802169635557084E-2</v>
      </c>
      <c r="L230" s="8">
        <v>0.2029</v>
      </c>
      <c r="M230" s="8">
        <f t="shared" ca="1" si="65"/>
        <v>7.1608214612570806E-3</v>
      </c>
      <c r="N230" s="8">
        <v>0.97796000000000005</v>
      </c>
      <c r="O230" s="9">
        <v>4.9285360000000003</v>
      </c>
      <c r="P230" s="9">
        <f t="shared" ca="1" si="66"/>
        <v>0.17393973701186971</v>
      </c>
      <c r="Q230" s="10">
        <v>7.843E-2</v>
      </c>
      <c r="R230" s="10">
        <f t="shared" ca="1" si="67"/>
        <v>1.621297616108776E-3</v>
      </c>
      <c r="S230" s="9">
        <f t="shared" si="68"/>
        <v>0.44013571856848832</v>
      </c>
      <c r="T230" s="12">
        <v>7.0099999999999996E-2</v>
      </c>
      <c r="U230" s="12">
        <f t="shared" ca="1" si="69"/>
        <v>3.3114353383389508E-3</v>
      </c>
      <c r="V230" s="6" t="e">
        <f ca="1">IF(agePb6U8(1/O230)&lt;1400,age7corr(1/O230,Q230,$W$2),agePb76(Q230))</f>
        <v>#NAME?</v>
      </c>
      <c r="W230" s="6" t="e">
        <f ca="1">IF(agePb6U8(1/O230)&lt;1400,ageer7corr(V230,1/O230,P230/O230*(1/O230),Q230,R230,$W$2,0.05),ageerPb76(Q230,R230))</f>
        <v>#NAME?</v>
      </c>
      <c r="X230" s="4" t="e">
        <f ca="1">agePb6U8(L230)/agePb7u5(J230)</f>
        <v>#NAME?</v>
      </c>
      <c r="Z230" s="1">
        <v>2.2120000000000002</v>
      </c>
      <c r="AA230" s="1">
        <v>6.4000000000000001E-2</v>
      </c>
      <c r="AB230" s="1">
        <v>0.2029</v>
      </c>
      <c r="AC230" s="1">
        <v>5.8999999999999999E-3</v>
      </c>
      <c r="AD230" s="1">
        <v>0.97796000000000005</v>
      </c>
      <c r="AE230" s="1">
        <v>4.9285360000000003</v>
      </c>
      <c r="AF230" s="1">
        <v>0.14331379999999999</v>
      </c>
      <c r="AG230" s="1">
        <v>7.843E-2</v>
      </c>
      <c r="AH230" s="1">
        <v>4.0999999999999999E-4</v>
      </c>
      <c r="AI230" s="1">
        <v>-0.12189999999999999</v>
      </c>
      <c r="AJ230" s="1">
        <v>7.0099999999999996E-2</v>
      </c>
      <c r="AK230" s="1">
        <v>3.0000000000000001E-3</v>
      </c>
      <c r="AL230" s="1">
        <v>4.84</v>
      </c>
      <c r="AM230" s="1">
        <v>0.13</v>
      </c>
      <c r="AN230" s="1">
        <v>1184</v>
      </c>
      <c r="AO230" s="1">
        <v>20</v>
      </c>
      <c r="AP230" s="1">
        <v>1191</v>
      </c>
      <c r="AQ230" s="1">
        <v>32</v>
      </c>
      <c r="AR230" s="1">
        <v>1369</v>
      </c>
      <c r="AS230" s="1">
        <v>57</v>
      </c>
      <c r="AT230" s="1">
        <v>1158</v>
      </c>
      <c r="AU230" s="1">
        <v>10</v>
      </c>
      <c r="AV230" s="1">
        <v>9.379999999999999</v>
      </c>
      <c r="AW230" s="1">
        <v>0.21000000000000002</v>
      </c>
      <c r="AX230" s="1">
        <v>2.11</v>
      </c>
      <c r="AY230" s="1">
        <v>0.18000000000000002</v>
      </c>
      <c r="AZ230" s="1">
        <v>12066.03</v>
      </c>
      <c r="BA230" s="1">
        <v>583.74</v>
      </c>
      <c r="BB230" s="1">
        <v>5762.88</v>
      </c>
      <c r="BC230" s="1">
        <v>111.78</v>
      </c>
      <c r="BD230" s="1">
        <v>73774.8</v>
      </c>
      <c r="BE230" s="1">
        <v>1366.1999999999998</v>
      </c>
      <c r="BF230" s="1">
        <v>-0.74519999999999997</v>
      </c>
      <c r="BG230" s="1">
        <v>5.9615999999999998</v>
      </c>
      <c r="BH230" s="1">
        <f t="shared" si="70"/>
        <v>-99000.000000000015</v>
      </c>
      <c r="BI230" s="1">
        <f t="shared" si="71"/>
        <v>-792002.12191073794</v>
      </c>
    </row>
    <row r="231" spans="1:61" x14ac:dyDescent="0.2">
      <c r="A231" t="s">
        <v>428</v>
      </c>
      <c r="B231" t="s">
        <v>38</v>
      </c>
      <c r="C231" t="s">
        <v>429</v>
      </c>
      <c r="D231" t="s">
        <v>430</v>
      </c>
      <c r="E231">
        <v>75932</v>
      </c>
      <c r="F231">
        <v>55881</v>
      </c>
      <c r="G231" t="s">
        <v>430</v>
      </c>
      <c r="H231" s="1">
        <v>80.2</v>
      </c>
      <c r="I231" s="1">
        <v>22.65</v>
      </c>
      <c r="J231" s="11">
        <v>13.94</v>
      </c>
      <c r="K231" s="11">
        <f t="shared" ca="1" si="64"/>
        <v>0.52936701823970855</v>
      </c>
      <c r="L231" s="8">
        <v>0.51900000000000002</v>
      </c>
      <c r="M231" s="8">
        <f t="shared" ca="1" si="65"/>
        <v>1.9072084311894177E-2</v>
      </c>
      <c r="N231" s="8">
        <v>0.99209999999999998</v>
      </c>
      <c r="O231" s="9">
        <v>1.926782</v>
      </c>
      <c r="P231" s="9">
        <f t="shared" ca="1" si="66"/>
        <v>7.0804918912708306E-2</v>
      </c>
      <c r="Q231" s="10">
        <v>0.19384000000000001</v>
      </c>
      <c r="R231" s="10">
        <f t="shared" ca="1" si="67"/>
        <v>4.0012095971093545E-3</v>
      </c>
      <c r="S231" s="9">
        <f t="shared" si="68"/>
        <v>0.44223967086514998</v>
      </c>
      <c r="T231" s="12">
        <v>0.1583</v>
      </c>
      <c r="U231" s="12">
        <f t="shared" ca="1" si="69"/>
        <v>8.1408572030222965E-3</v>
      </c>
      <c r="V231" s="6" t="e">
        <f ca="1">IF(agePb6U8(1/O231)&lt;1400,age7corr(1/O231,Q231,$W$2),agePb76(Q231))</f>
        <v>#NAME?</v>
      </c>
      <c r="W231" s="6" t="e">
        <f ca="1">IF(agePb6U8(1/O231)&lt;1400,ageer7corr(V231,1/O231,P231/O231*(1/O231),Q231,R231,$W$2,0.05),ageerPb76(Q231,R231))</f>
        <v>#NAME?</v>
      </c>
      <c r="X231" s="4" t="e">
        <f ca="1">agePb6U8(L231)/agePb7u5(J231)</f>
        <v>#NAME?</v>
      </c>
      <c r="Z231" s="1">
        <v>13.94</v>
      </c>
      <c r="AA231" s="1">
        <v>0.45</v>
      </c>
      <c r="AB231" s="1">
        <v>0.51900000000000002</v>
      </c>
      <c r="AC231" s="1">
        <v>1.6E-2</v>
      </c>
      <c r="AD231" s="1">
        <v>0.99209999999999998</v>
      </c>
      <c r="AE231" s="1">
        <v>1.926782</v>
      </c>
      <c r="AF231" s="1">
        <v>5.9399840000000002E-2</v>
      </c>
      <c r="AG231" s="1">
        <v>0.19384000000000001</v>
      </c>
      <c r="AH231" s="1">
        <v>9.8999999999999999E-4</v>
      </c>
      <c r="AI231" s="1">
        <v>-0.16183</v>
      </c>
      <c r="AJ231" s="1">
        <v>0.1583</v>
      </c>
      <c r="AK231" s="1">
        <v>7.4999999999999997E-3</v>
      </c>
      <c r="AL231" s="1">
        <v>11.99</v>
      </c>
      <c r="AM231" s="1">
        <v>5.8999999999999997E-2</v>
      </c>
      <c r="AN231" s="1">
        <v>2743</v>
      </c>
      <c r="AO231" s="1">
        <v>30</v>
      </c>
      <c r="AP231" s="1">
        <v>2694</v>
      </c>
      <c r="AQ231" s="1">
        <v>66</v>
      </c>
      <c r="AR231" s="1">
        <v>2970</v>
      </c>
      <c r="AS231" s="1">
        <v>130</v>
      </c>
      <c r="AT231" s="1">
        <v>2774.9</v>
      </c>
      <c r="AU231" s="1">
        <v>8.4</v>
      </c>
      <c r="AV231" s="1">
        <v>17.11</v>
      </c>
      <c r="AW231" s="1">
        <v>0.36000000000000004</v>
      </c>
      <c r="AX231" s="1">
        <v>1.738</v>
      </c>
      <c r="AY231" s="1">
        <v>6.8000000000000005E-2</v>
      </c>
      <c r="AZ231" s="1">
        <v>22697.55</v>
      </c>
      <c r="BA231" s="1">
        <v>571.31999999999994</v>
      </c>
      <c r="BB231" s="1">
        <v>65205</v>
      </c>
      <c r="BC231" s="1">
        <v>1552.5</v>
      </c>
      <c r="BD231" s="1">
        <v>342171</v>
      </c>
      <c r="BE231" s="1">
        <v>6831</v>
      </c>
      <c r="BF231" s="1">
        <v>-1.7387999999999999</v>
      </c>
      <c r="BG231" s="1">
        <v>3.2913000000000001</v>
      </c>
      <c r="BH231" s="1">
        <f t="shared" si="70"/>
        <v>-196785.71428571429</v>
      </c>
      <c r="BI231" s="1">
        <f t="shared" si="71"/>
        <v>-372507.96137148753</v>
      </c>
    </row>
    <row r="232" spans="1:61" x14ac:dyDescent="0.2">
      <c r="A232" t="s">
        <v>332</v>
      </c>
      <c r="B232" t="s">
        <v>38</v>
      </c>
      <c r="C232" t="s">
        <v>333</v>
      </c>
      <c r="D232" t="s">
        <v>334</v>
      </c>
      <c r="E232">
        <v>76048</v>
      </c>
      <c r="F232">
        <v>54231</v>
      </c>
      <c r="G232" t="s">
        <v>334</v>
      </c>
      <c r="H232" s="1">
        <v>180.2</v>
      </c>
      <c r="I232" s="1">
        <v>76.900000000000006</v>
      </c>
      <c r="J232" s="11">
        <v>2.089</v>
      </c>
      <c r="K232" s="11">
        <f t="shared" ca="1" si="64"/>
        <v>6.6705085263419006E-2</v>
      </c>
      <c r="L232" s="8">
        <v>0.189</v>
      </c>
      <c r="M232" s="8">
        <f t="shared" ca="1" si="65"/>
        <v>6.031450903389665E-3</v>
      </c>
      <c r="N232" s="8">
        <v>0.98226000000000002</v>
      </c>
      <c r="O232" s="9">
        <v>5.2910050000000002</v>
      </c>
      <c r="P232" s="9">
        <f t="shared" ca="1" si="66"/>
        <v>0.16884890622713553</v>
      </c>
      <c r="Q232" s="10">
        <v>7.9759999999999998E-2</v>
      </c>
      <c r="R232" s="10">
        <f t="shared" ca="1" si="67"/>
        <v>1.6310312811224682E-3</v>
      </c>
      <c r="S232" s="9">
        <f t="shared" si="68"/>
        <v>0.57680019687775119</v>
      </c>
      <c r="T232" s="12">
        <v>6.2300000000000001E-2</v>
      </c>
      <c r="U232" s="12">
        <f t="shared" ca="1" si="69"/>
        <v>1.8006987532621884E-3</v>
      </c>
      <c r="V232" s="6" t="e">
        <f ca="1">IF(agePb6U8(1/O232)&lt;1400,age7corr(1/O232,Q232,$W$2),agePb76(Q232))</f>
        <v>#NAME?</v>
      </c>
      <c r="W232" s="6" t="e">
        <f ca="1">IF(agePb6U8(1/O232)&lt;1400,ageer7corr(V232,1/O232,P232/O232*(1/O232),Q232,R232,$W$2,0.05),ageerPb76(Q232,R232))</f>
        <v>#NAME?</v>
      </c>
      <c r="X232" s="4" t="e">
        <f ca="1">agePb6U8(L232)/agePb7u5(J232)</f>
        <v>#NAME?</v>
      </c>
      <c r="Z232" s="1">
        <v>2.089</v>
      </c>
      <c r="AA232" s="1">
        <v>5.1999999999999998E-2</v>
      </c>
      <c r="AB232" s="1">
        <v>0.189</v>
      </c>
      <c r="AC232" s="1">
        <v>4.7000000000000002E-3</v>
      </c>
      <c r="AD232" s="1">
        <v>0.98226000000000002</v>
      </c>
      <c r="AE232" s="1">
        <v>5.2910050000000002</v>
      </c>
      <c r="AF232" s="1">
        <v>0.13157530000000001</v>
      </c>
      <c r="AG232" s="1">
        <v>7.9759999999999998E-2</v>
      </c>
      <c r="AH232" s="1">
        <v>3.4000000000000002E-4</v>
      </c>
      <c r="AI232" s="1">
        <v>-3.0522000000000001E-2</v>
      </c>
      <c r="AJ232" s="1">
        <v>6.2300000000000001E-2</v>
      </c>
      <c r="AK232" s="1">
        <v>1.2999999999999999E-3</v>
      </c>
      <c r="AL232" s="1">
        <v>7.3940000000000001</v>
      </c>
      <c r="AM232" s="1">
        <v>2.7E-2</v>
      </c>
      <c r="AN232" s="1">
        <v>1145</v>
      </c>
      <c r="AO232" s="1">
        <v>17</v>
      </c>
      <c r="AP232" s="1">
        <v>1116</v>
      </c>
      <c r="AQ232" s="1">
        <v>25</v>
      </c>
      <c r="AR232" s="1">
        <v>1221</v>
      </c>
      <c r="AS232" s="1">
        <v>24</v>
      </c>
      <c r="AT232" s="1">
        <v>1190.9000000000001</v>
      </c>
      <c r="AU232" s="1">
        <v>8.5</v>
      </c>
      <c r="AV232" s="1">
        <v>38.54</v>
      </c>
      <c r="AW232" s="1">
        <v>0.41</v>
      </c>
      <c r="AX232" s="1">
        <v>5.92</v>
      </c>
      <c r="AY232" s="1">
        <v>0.13999999999999999</v>
      </c>
      <c r="AZ232" s="1">
        <v>30789.18</v>
      </c>
      <c r="BA232" s="1">
        <v>540.27</v>
      </c>
      <c r="BB232" s="1">
        <v>22393.26</v>
      </c>
      <c r="BC232" s="1">
        <v>434.7</v>
      </c>
      <c r="BD232" s="1">
        <v>284604.3</v>
      </c>
      <c r="BE232" s="1">
        <v>5030.1000000000004</v>
      </c>
      <c r="BF232" s="1">
        <v>1.7387999999999999</v>
      </c>
      <c r="BG232" s="1">
        <v>5.9615999999999998</v>
      </c>
      <c r="BH232" s="1">
        <f t="shared" si="70"/>
        <v>163678.57142857142</v>
      </c>
      <c r="BI232" s="1">
        <f t="shared" si="71"/>
        <v>561191.12964394351</v>
      </c>
    </row>
    <row r="233" spans="1:61" x14ac:dyDescent="0.2">
      <c r="A233" t="s">
        <v>431</v>
      </c>
      <c r="B233" t="s">
        <v>38</v>
      </c>
      <c r="C233" t="s">
        <v>432</v>
      </c>
      <c r="D233" t="s">
        <v>433</v>
      </c>
      <c r="E233">
        <v>75848</v>
      </c>
      <c r="F233">
        <v>56049</v>
      </c>
      <c r="G233" t="s">
        <v>433</v>
      </c>
      <c r="H233" s="1">
        <v>219.8</v>
      </c>
      <c r="I233" s="1">
        <v>73.099999999999994</v>
      </c>
      <c r="J233" s="11">
        <v>3.92</v>
      </c>
      <c r="K233" s="11">
        <f t="shared" ca="1" si="64"/>
        <v>0.13507982824981679</v>
      </c>
      <c r="L233" s="8">
        <v>0.27410000000000001</v>
      </c>
      <c r="M233" s="8">
        <f t="shared" ca="1" si="65"/>
        <v>8.7345477272724303E-3</v>
      </c>
      <c r="N233" s="8">
        <v>0.98951</v>
      </c>
      <c r="O233" s="9">
        <v>3.648304</v>
      </c>
      <c r="P233" s="9">
        <f t="shared" ca="1" si="66"/>
        <v>0.11625787508028219</v>
      </c>
      <c r="Q233" s="10">
        <v>0.10308</v>
      </c>
      <c r="R233" s="10">
        <f t="shared" ca="1" si="67"/>
        <v>2.1528108509574176E-3</v>
      </c>
      <c r="S233" s="9">
        <f t="shared" si="68"/>
        <v>0.32917516319327733</v>
      </c>
      <c r="T233" s="12">
        <v>0.1061</v>
      </c>
      <c r="U233" s="12">
        <f t="shared" ca="1" si="69"/>
        <v>5.52384684798556E-3</v>
      </c>
      <c r="V233" s="6" t="e">
        <f ca="1">IF(agePb6U8(1/O233)&lt;1400,age7corr(1/O233,Q233,$W$2),agePb76(Q233))</f>
        <v>#NAME?</v>
      </c>
      <c r="W233" s="6" t="e">
        <f ca="1">IF(agePb6U8(1/O233)&lt;1400,ageer7corr(V233,1/O233,P233/O233*(1/O233),Q233,R233,$W$2,0.05),ageerPb76(Q233,R233))</f>
        <v>#NAME?</v>
      </c>
      <c r="X233" s="4" t="e">
        <f ca="1">agePb6U8(L233)/agePb7u5(J233)</f>
        <v>#NAME?</v>
      </c>
      <c r="Z233" s="1">
        <v>3.92</v>
      </c>
      <c r="AA233" s="1">
        <v>0.11</v>
      </c>
      <c r="AB233" s="1">
        <v>0.27410000000000001</v>
      </c>
      <c r="AC233" s="1">
        <v>6.7999999999999996E-3</v>
      </c>
      <c r="AD233" s="1">
        <v>0.98951</v>
      </c>
      <c r="AE233" s="1">
        <v>3.648304</v>
      </c>
      <c r="AF233" s="1">
        <v>9.0508809999999995E-2</v>
      </c>
      <c r="AG233" s="1">
        <v>0.10308</v>
      </c>
      <c r="AH233" s="1">
        <v>6.2E-4</v>
      </c>
      <c r="AI233" s="1">
        <v>-0.31735000000000002</v>
      </c>
      <c r="AJ233" s="1">
        <v>0.1061</v>
      </c>
      <c r="AK233" s="1">
        <v>5.1000000000000004E-3</v>
      </c>
      <c r="AL233" s="1">
        <v>8.1199999999999992</v>
      </c>
      <c r="AM233" s="1">
        <v>0.51</v>
      </c>
      <c r="AN233" s="1">
        <v>1616</v>
      </c>
      <c r="AO233" s="1">
        <v>22</v>
      </c>
      <c r="AP233" s="1">
        <v>1561</v>
      </c>
      <c r="AQ233" s="1">
        <v>34</v>
      </c>
      <c r="AR233" s="1">
        <v>2038</v>
      </c>
      <c r="AS233" s="1">
        <v>94</v>
      </c>
      <c r="AT233" s="1">
        <v>1680</v>
      </c>
      <c r="AU233" s="1">
        <v>11</v>
      </c>
      <c r="AV233" s="1">
        <v>46.9</v>
      </c>
      <c r="AW233" s="1">
        <v>1.5</v>
      </c>
      <c r="AX233" s="1">
        <v>5.61</v>
      </c>
      <c r="AY233" s="1">
        <v>0.59000000000000008</v>
      </c>
      <c r="AZ233" s="1">
        <v>48189.599999999999</v>
      </c>
      <c r="BA233" s="1">
        <v>2670.3</v>
      </c>
      <c r="BB233" s="1">
        <v>50238.9</v>
      </c>
      <c r="BC233" s="1">
        <v>1117.8000000000002</v>
      </c>
      <c r="BD233" s="1">
        <v>493073.99999999994</v>
      </c>
      <c r="BE233" s="1">
        <v>9315</v>
      </c>
      <c r="BF233" s="1">
        <v>-1.0557000000000001</v>
      </c>
      <c r="BG233" s="1">
        <v>3.6638999999999999</v>
      </c>
      <c r="BH233" s="1">
        <f t="shared" si="70"/>
        <v>-467058.82352941169</v>
      </c>
      <c r="BI233" s="1">
        <f t="shared" si="71"/>
        <v>-1620992.8728107901</v>
      </c>
    </row>
    <row r="234" spans="1:61" x14ac:dyDescent="0.2">
      <c r="A234" t="s">
        <v>434</v>
      </c>
      <c r="B234" t="s">
        <v>38</v>
      </c>
      <c r="C234" t="s">
        <v>435</v>
      </c>
      <c r="D234" t="s">
        <v>436</v>
      </c>
      <c r="E234">
        <v>75369</v>
      </c>
      <c r="F234">
        <v>51354</v>
      </c>
      <c r="G234" t="s">
        <v>436</v>
      </c>
      <c r="H234" s="1">
        <v>237.7</v>
      </c>
      <c r="I234" s="1">
        <v>83.3</v>
      </c>
      <c r="J234" s="11">
        <v>1.722</v>
      </c>
      <c r="K234" s="11">
        <f t="shared" ca="1" si="64"/>
        <v>6.0713372497333731E-2</v>
      </c>
      <c r="L234" s="8">
        <v>0.16719999999999999</v>
      </c>
      <c r="M234" s="8">
        <f t="shared" ca="1" si="65"/>
        <v>5.6064548513298489E-3</v>
      </c>
      <c r="N234" s="8">
        <v>0.98040000000000005</v>
      </c>
      <c r="O234" s="9">
        <v>5.980861</v>
      </c>
      <c r="P234" s="9">
        <f t="shared" ca="1" si="66"/>
        <v>0.20054685420561552</v>
      </c>
      <c r="Q234" s="10">
        <v>7.4700000000000003E-2</v>
      </c>
      <c r="R234" s="10">
        <f t="shared" ca="1" si="67"/>
        <v>1.569215090419411E-3</v>
      </c>
      <c r="S234" s="9">
        <f t="shared" si="68"/>
        <v>0.50392965744331519</v>
      </c>
      <c r="T234" s="12">
        <v>5.8799999999999998E-2</v>
      </c>
      <c r="U234" s="12">
        <f t="shared" ca="1" si="69"/>
        <v>1.9060367257741912E-3</v>
      </c>
      <c r="V234" s="6" t="e">
        <f ca="1">IF(agePb6U8(1/O234)&lt;1400,age7corr(1/O234,Q234,$W$2),agePb76(Q234))</f>
        <v>#NAME?</v>
      </c>
      <c r="W234" s="6" t="e">
        <f ca="1">IF(agePb6U8(1/O234)&lt;1400,ageer7corr(V234,1/O234,P234/O234*(1/O234),Q234,R234,$W$2,0.05),ageerPb76(Q234,R234))</f>
        <v>#NAME?</v>
      </c>
      <c r="X234" s="4" t="e">
        <f ca="1">agePb6U8(L234)/agePb7u5(J234)</f>
        <v>#NAME?</v>
      </c>
      <c r="Z234" s="1">
        <v>1.722</v>
      </c>
      <c r="AA234" s="1">
        <v>0.05</v>
      </c>
      <c r="AB234" s="1">
        <v>0.16719999999999999</v>
      </c>
      <c r="AC234" s="1">
        <v>4.4999999999999997E-3</v>
      </c>
      <c r="AD234" s="1">
        <v>0.98040000000000005</v>
      </c>
      <c r="AE234" s="1">
        <v>5.980861</v>
      </c>
      <c r="AF234" s="1">
        <v>0.16096820000000001</v>
      </c>
      <c r="AG234" s="1">
        <v>7.4700000000000003E-2</v>
      </c>
      <c r="AH234" s="1">
        <v>4.8000000000000001E-4</v>
      </c>
      <c r="AI234" s="1">
        <v>-0.15118999999999999</v>
      </c>
      <c r="AJ234" s="1">
        <v>5.8799999999999998E-2</v>
      </c>
      <c r="AK234" s="1">
        <v>1.5E-3</v>
      </c>
      <c r="AL234" s="1">
        <v>8.5079999999999991</v>
      </c>
      <c r="AM234" s="1">
        <v>5.7000000000000002E-2</v>
      </c>
      <c r="AN234" s="1">
        <v>1016</v>
      </c>
      <c r="AO234" s="1">
        <v>19</v>
      </c>
      <c r="AP234" s="1">
        <v>996</v>
      </c>
      <c r="AQ234" s="1">
        <v>25</v>
      </c>
      <c r="AR234" s="1">
        <v>1154</v>
      </c>
      <c r="AS234" s="1">
        <v>28</v>
      </c>
      <c r="AT234" s="1">
        <v>1060</v>
      </c>
      <c r="AU234" s="1">
        <v>13</v>
      </c>
      <c r="AV234" s="1">
        <v>50.7</v>
      </c>
      <c r="AW234" s="1">
        <v>1</v>
      </c>
      <c r="AX234" s="1">
        <v>6.39</v>
      </c>
      <c r="AY234" s="1">
        <v>0.17</v>
      </c>
      <c r="AZ234" s="1">
        <v>31422.6</v>
      </c>
      <c r="BA234" s="1">
        <v>745.2</v>
      </c>
      <c r="BB234" s="1">
        <v>24635.07</v>
      </c>
      <c r="BC234" s="1">
        <v>602.37</v>
      </c>
      <c r="BD234" s="1">
        <v>334719</v>
      </c>
      <c r="BE234" s="1">
        <v>7452.0000000000009</v>
      </c>
      <c r="BF234" s="1">
        <v>-3.7259999999999995</v>
      </c>
      <c r="BG234" s="1">
        <v>5.0301</v>
      </c>
      <c r="BH234" s="1">
        <f t="shared" si="70"/>
        <v>-89833.333333333343</v>
      </c>
      <c r="BI234" s="1">
        <f t="shared" si="71"/>
        <v>-121291.49032393</v>
      </c>
    </row>
    <row r="235" spans="1:61" x14ac:dyDescent="0.2">
      <c r="A235" t="s">
        <v>437</v>
      </c>
      <c r="B235" t="s">
        <v>38</v>
      </c>
      <c r="C235" t="s">
        <v>438</v>
      </c>
      <c r="D235" t="s">
        <v>439</v>
      </c>
      <c r="E235">
        <v>75340</v>
      </c>
      <c r="F235">
        <v>51547</v>
      </c>
      <c r="G235" t="s">
        <v>439</v>
      </c>
      <c r="H235" s="1">
        <v>497</v>
      </c>
      <c r="I235" s="1">
        <v>2.56</v>
      </c>
      <c r="J235" s="11">
        <v>1.7849999999999999</v>
      </c>
      <c r="K235" s="11">
        <f t="shared" ca="1" si="64"/>
        <v>8.5781641392549721E-2</v>
      </c>
      <c r="L235" s="8">
        <v>0.16639999999999999</v>
      </c>
      <c r="M235" s="8">
        <f t="shared" ca="1" si="65"/>
        <v>7.7508440830660504E-3</v>
      </c>
      <c r="N235" s="8">
        <v>0.99446000000000001</v>
      </c>
      <c r="O235" s="9">
        <v>6.0096150000000002</v>
      </c>
      <c r="P235" s="9">
        <f t="shared" ca="1" si="66"/>
        <v>0.27992539278918588</v>
      </c>
      <c r="Q235" s="10">
        <v>7.7640000000000001E-2</v>
      </c>
      <c r="R235" s="10">
        <f t="shared" ca="1" si="67"/>
        <v>1.5874784533970847E-3</v>
      </c>
      <c r="S235" s="9">
        <f t="shared" si="68"/>
        <v>0.39010667145318845</v>
      </c>
      <c r="T235" s="12">
        <v>7.9000000000000001E-2</v>
      </c>
      <c r="U235" s="12">
        <f t="shared" ca="1" si="69"/>
        <v>2.2056663392272184E-2</v>
      </c>
      <c r="V235" s="6" t="e">
        <f ca="1">IF(agePb6U8(1/O235)&lt;1400,age7corr(1/O235,Q235,$W$2),agePb76(Q235))</f>
        <v>#NAME?</v>
      </c>
      <c r="W235" s="6" t="e">
        <f ca="1">IF(agePb6U8(1/O235)&lt;1400,ageer7corr(V235,1/O235,P235/O235*(1/O235),Q235,R235,$W$2,0.05),ageerPb76(Q235,R235))</f>
        <v>#NAME?</v>
      </c>
      <c r="X235" s="4" t="e">
        <f ca="1">agePb6U8(L235)/agePb7u5(J235)</f>
        <v>#NAME?</v>
      </c>
      <c r="Z235" s="1">
        <v>1.7849999999999999</v>
      </c>
      <c r="AA235" s="1">
        <v>7.8E-2</v>
      </c>
      <c r="AB235" s="1">
        <v>0.16639999999999999</v>
      </c>
      <c r="AC235" s="1">
        <v>7.0000000000000001E-3</v>
      </c>
      <c r="AD235" s="1">
        <v>0.99446000000000001</v>
      </c>
      <c r="AE235" s="1">
        <v>6.0096150000000002</v>
      </c>
      <c r="AF235" s="1">
        <v>0.25280829999999999</v>
      </c>
      <c r="AG235" s="1">
        <v>7.7640000000000001E-2</v>
      </c>
      <c r="AH235" s="1">
        <v>3.3E-4</v>
      </c>
      <c r="AI235" s="1">
        <v>-0.21065999999999999</v>
      </c>
      <c r="AJ235" s="1">
        <v>7.9000000000000001E-2</v>
      </c>
      <c r="AK235" s="1">
        <v>2.1999999999999999E-2</v>
      </c>
      <c r="AL235" s="1">
        <v>555</v>
      </c>
      <c r="AM235" s="1">
        <v>86</v>
      </c>
      <c r="AN235" s="1">
        <v>1038</v>
      </c>
      <c r="AO235" s="1">
        <v>28</v>
      </c>
      <c r="AP235" s="1">
        <v>991</v>
      </c>
      <c r="AQ235" s="1">
        <v>39</v>
      </c>
      <c r="AR235" s="1">
        <v>1520</v>
      </c>
      <c r="AS235" s="1">
        <v>390</v>
      </c>
      <c r="AT235" s="1">
        <v>1137.5</v>
      </c>
      <c r="AU235" s="1">
        <v>8.4</v>
      </c>
      <c r="AV235" s="1">
        <v>106</v>
      </c>
      <c r="AW235" s="1">
        <v>11</v>
      </c>
      <c r="AX235" s="1">
        <v>0.19699999999999998</v>
      </c>
      <c r="AY235" s="1">
        <v>4.7E-2</v>
      </c>
      <c r="AZ235" s="1">
        <v>1037.07</v>
      </c>
      <c r="BA235" s="1">
        <v>186.3</v>
      </c>
      <c r="BB235" s="1">
        <v>51605.100000000006</v>
      </c>
      <c r="BC235" s="1">
        <v>3601.8</v>
      </c>
      <c r="BD235" s="1">
        <v>673785</v>
      </c>
      <c r="BE235" s="1">
        <v>46575</v>
      </c>
      <c r="BF235" s="1">
        <v>2.6703000000000001</v>
      </c>
      <c r="BG235" s="1">
        <v>5.7752999999999997</v>
      </c>
      <c r="BH235" s="1">
        <f t="shared" si="70"/>
        <v>252325.58139534883</v>
      </c>
      <c r="BI235" s="1">
        <f t="shared" si="71"/>
        <v>546006.07660012785</v>
      </c>
    </row>
    <row r="236" spans="1:61" x14ac:dyDescent="0.2">
      <c r="A236" t="s">
        <v>440</v>
      </c>
      <c r="B236" t="s">
        <v>38</v>
      </c>
      <c r="C236" t="s">
        <v>441</v>
      </c>
      <c r="D236" t="s">
        <v>442</v>
      </c>
      <c r="E236">
        <v>75405</v>
      </c>
      <c r="F236">
        <v>51673</v>
      </c>
      <c r="G236" t="s">
        <v>442</v>
      </c>
      <c r="H236" s="1">
        <v>114.4</v>
      </c>
      <c r="I236" s="1">
        <v>24.23</v>
      </c>
      <c r="J236" s="11">
        <v>1.8939999999999999</v>
      </c>
      <c r="K236" s="11">
        <f t="shared" ca="1" si="64"/>
        <v>7.3511185543425978E-2</v>
      </c>
      <c r="L236" s="8">
        <v>0.17949999999999999</v>
      </c>
      <c r="M236" s="8">
        <f t="shared" ca="1" si="65"/>
        <v>6.9920025743702352E-3</v>
      </c>
      <c r="N236" s="8">
        <v>0.98843000000000003</v>
      </c>
      <c r="O236" s="9">
        <v>5.5710309999999996</v>
      </c>
      <c r="P236" s="9">
        <f t="shared" ca="1" si="66"/>
        <v>0.21700647413400923</v>
      </c>
      <c r="Q236" s="10">
        <v>7.6380000000000003E-2</v>
      </c>
      <c r="R236" s="10">
        <f t="shared" ca="1" si="67"/>
        <v>1.5463381777606089E-3</v>
      </c>
      <c r="S236" s="9">
        <f t="shared" si="68"/>
        <v>0.53258460055421719</v>
      </c>
      <c r="T236" s="12">
        <v>5.9400000000000001E-2</v>
      </c>
      <c r="U236" s="12">
        <f t="shared" ca="1" si="69"/>
        <v>2.5002687855508652E-3</v>
      </c>
      <c r="V236" s="6" t="e">
        <f ca="1">IF(agePb6U8(1/O236)&lt;1400,age7corr(1/O236,Q236,$W$2),agePb76(Q236))</f>
        <v>#NAME?</v>
      </c>
      <c r="W236" s="6" t="e">
        <f ca="1">IF(agePb6U8(1/O236)&lt;1400,ageer7corr(V236,1/O236,P236/O236*(1/O236),Q236,R236,$W$2,0.05),ageerPb76(Q236,R236))</f>
        <v>#NAME?</v>
      </c>
      <c r="X236" s="4" t="e">
        <f ca="1">agePb6U8(L236)/agePb7u5(J236)</f>
        <v>#NAME?</v>
      </c>
      <c r="Z236" s="1">
        <v>1.8939999999999999</v>
      </c>
      <c r="AA236" s="1">
        <v>6.3E-2</v>
      </c>
      <c r="AB236" s="1">
        <v>0.17949999999999999</v>
      </c>
      <c r="AC236" s="1">
        <v>6.0000000000000001E-3</v>
      </c>
      <c r="AD236" s="1">
        <v>0.98843000000000003</v>
      </c>
      <c r="AE236" s="1">
        <v>5.5710309999999996</v>
      </c>
      <c r="AF236" s="1">
        <v>0.1862183</v>
      </c>
      <c r="AG236" s="1">
        <v>7.6380000000000003E-2</v>
      </c>
      <c r="AH236" s="1">
        <v>2.4000000000000001E-4</v>
      </c>
      <c r="AI236" s="1">
        <v>2.7052E-2</v>
      </c>
      <c r="AJ236" s="1">
        <v>5.9400000000000001E-2</v>
      </c>
      <c r="AK236" s="1">
        <v>2.2000000000000001E-3</v>
      </c>
      <c r="AL236" s="1">
        <v>14.96</v>
      </c>
      <c r="AM236" s="1">
        <v>0.16</v>
      </c>
      <c r="AN236" s="1">
        <v>1078</v>
      </c>
      <c r="AO236" s="1">
        <v>22</v>
      </c>
      <c r="AP236" s="1">
        <v>1064</v>
      </c>
      <c r="AQ236" s="1">
        <v>33</v>
      </c>
      <c r="AR236" s="1">
        <v>1167</v>
      </c>
      <c r="AS236" s="1">
        <v>43</v>
      </c>
      <c r="AT236" s="1">
        <v>1104.9000000000001</v>
      </c>
      <c r="AU236" s="1">
        <v>6.2</v>
      </c>
      <c r="AV236" s="1">
        <v>24.37</v>
      </c>
      <c r="AW236" s="1">
        <v>0.42000000000000004</v>
      </c>
      <c r="AX236" s="1">
        <v>1.859</v>
      </c>
      <c r="AY236" s="1">
        <v>7.2999999999999995E-2</v>
      </c>
      <c r="AZ236" s="1">
        <v>9159.7500000000018</v>
      </c>
      <c r="BA236" s="1">
        <v>217.35</v>
      </c>
      <c r="BB236" s="1">
        <v>13028.580000000002</v>
      </c>
      <c r="BC236" s="1">
        <v>248.4</v>
      </c>
      <c r="BD236" s="1">
        <v>173072.69999999998</v>
      </c>
      <c r="BE236" s="1">
        <v>3353.4</v>
      </c>
      <c r="BF236" s="1">
        <v>-24.839999999999996</v>
      </c>
      <c r="BG236" s="1">
        <v>6.2099999999999991</v>
      </c>
      <c r="BH236" s="1">
        <f t="shared" si="70"/>
        <v>-6967.5</v>
      </c>
      <c r="BI236" s="1">
        <f t="shared" si="71"/>
        <v>-1747.0985992853982</v>
      </c>
    </row>
    <row r="237" spans="1:61" x14ac:dyDescent="0.2">
      <c r="A237" t="s">
        <v>443</v>
      </c>
      <c r="B237" t="s">
        <v>38</v>
      </c>
      <c r="C237" t="s">
        <v>444</v>
      </c>
      <c r="D237" t="s">
        <v>445</v>
      </c>
      <c r="E237">
        <v>75302</v>
      </c>
      <c r="F237">
        <v>52142</v>
      </c>
      <c r="G237" t="s">
        <v>445</v>
      </c>
      <c r="H237" s="1">
        <v>84.5</v>
      </c>
      <c r="I237" s="1">
        <v>56.7</v>
      </c>
      <c r="J237" s="11">
        <v>5.1100000000000003</v>
      </c>
      <c r="K237" s="11">
        <f t="shared" ca="1" si="64"/>
        <v>0.18150713484598893</v>
      </c>
      <c r="L237" s="8">
        <v>0.32590000000000002</v>
      </c>
      <c r="M237" s="8">
        <f t="shared" ca="1" si="65"/>
        <v>1.1356686312476893E-2</v>
      </c>
      <c r="N237" s="8">
        <v>0.98616999999999999</v>
      </c>
      <c r="O237" s="9">
        <v>3.0684260000000001</v>
      </c>
      <c r="P237" s="9">
        <f t="shared" ca="1" si="66"/>
        <v>0.10692590100211689</v>
      </c>
      <c r="Q237" s="10">
        <v>0.11323999999999999</v>
      </c>
      <c r="R237" s="10">
        <f t="shared" ca="1" si="67"/>
        <v>2.3215122312837378E-3</v>
      </c>
      <c r="S237" s="9">
        <f t="shared" si="68"/>
        <v>0.5217097246183775</v>
      </c>
      <c r="T237" s="12">
        <v>0.1045</v>
      </c>
      <c r="U237" s="12">
        <f t="shared" ca="1" si="69"/>
        <v>3.8220544213812555E-3</v>
      </c>
      <c r="V237" s="6" t="e">
        <f ca="1">IF(agePb6U8(1/O237)&lt;1400,age7corr(1/O237,Q237,$W$2),agePb76(Q237))</f>
        <v>#NAME?</v>
      </c>
      <c r="W237" s="6" t="e">
        <f ca="1">IF(agePb6U8(1/O237)&lt;1400,ageer7corr(V237,1/O237,P237/O237*(1/O237),Q237,R237,$W$2,0.05),ageerPb76(Q237,R237))</f>
        <v>#NAME?</v>
      </c>
      <c r="X237" s="4" t="e">
        <f ca="1">agePb6U8(L237)/agePb7u5(J237)</f>
        <v>#NAME?</v>
      </c>
      <c r="Z237" s="1">
        <v>5.1100000000000003</v>
      </c>
      <c r="AA237" s="1">
        <v>0.15</v>
      </c>
      <c r="AB237" s="1">
        <v>0.32590000000000002</v>
      </c>
      <c r="AC237" s="1">
        <v>9.2999999999999992E-3</v>
      </c>
      <c r="AD237" s="1">
        <v>0.98616999999999999</v>
      </c>
      <c r="AE237" s="1">
        <v>3.0684260000000001</v>
      </c>
      <c r="AF237" s="1">
        <v>8.7561710000000001E-2</v>
      </c>
      <c r="AG237" s="1">
        <v>0.11323999999999999</v>
      </c>
      <c r="AH237" s="1">
        <v>5.1000000000000004E-4</v>
      </c>
      <c r="AI237" s="1">
        <v>0.11840000000000001</v>
      </c>
      <c r="AJ237" s="1">
        <v>0.1045</v>
      </c>
      <c r="AK237" s="1">
        <v>3.2000000000000002E-3</v>
      </c>
      <c r="AL237" s="1">
        <v>4.82</v>
      </c>
      <c r="AM237" s="1">
        <v>2.5999999999999999E-2</v>
      </c>
      <c r="AN237" s="1">
        <v>1837</v>
      </c>
      <c r="AO237" s="1">
        <v>25</v>
      </c>
      <c r="AP237" s="1">
        <v>1818</v>
      </c>
      <c r="AQ237" s="1">
        <v>45</v>
      </c>
      <c r="AR237" s="1">
        <v>2009</v>
      </c>
      <c r="AS237" s="1">
        <v>59</v>
      </c>
      <c r="AT237" s="1">
        <v>1852</v>
      </c>
      <c r="AU237" s="1">
        <v>8.1</v>
      </c>
      <c r="AV237" s="1">
        <v>18.010000000000002</v>
      </c>
      <c r="AW237" s="1">
        <v>0.36000000000000004</v>
      </c>
      <c r="AX237" s="1">
        <v>4.3499999999999996</v>
      </c>
      <c r="AY237" s="1">
        <v>0.16</v>
      </c>
      <c r="AZ237" s="1">
        <v>37694.699999999997</v>
      </c>
      <c r="BA237" s="1">
        <v>683.09999999999991</v>
      </c>
      <c r="BB237" s="1">
        <v>25380.27</v>
      </c>
      <c r="BC237" s="1">
        <v>503.01</v>
      </c>
      <c r="BD237" s="1">
        <v>227037.6</v>
      </c>
      <c r="BE237" s="1">
        <v>4719.5999999999995</v>
      </c>
      <c r="BF237" s="1">
        <v>31.05</v>
      </c>
      <c r="BG237" s="1">
        <v>6.8310000000000004</v>
      </c>
      <c r="BH237" s="1">
        <f t="shared" si="70"/>
        <v>7312</v>
      </c>
      <c r="BI237" s="1">
        <f t="shared" si="71"/>
        <v>1615.8052635141403</v>
      </c>
    </row>
    <row r="238" spans="1:61" x14ac:dyDescent="0.2">
      <c r="A238" t="s">
        <v>452</v>
      </c>
      <c r="B238" t="s">
        <v>38</v>
      </c>
      <c r="C238" t="s">
        <v>453</v>
      </c>
      <c r="D238" t="s">
        <v>454</v>
      </c>
      <c r="E238">
        <v>75415</v>
      </c>
      <c r="F238">
        <v>52369</v>
      </c>
      <c r="G238" t="s">
        <v>454</v>
      </c>
      <c r="H238" s="1">
        <v>85.6</v>
      </c>
      <c r="I238" s="1">
        <v>53.21</v>
      </c>
      <c r="J238" s="11">
        <v>2.8639999999999999</v>
      </c>
      <c r="K238" s="11">
        <f t="shared" ca="1" si="64"/>
        <v>0.10752673342011276</v>
      </c>
      <c r="L238" s="8">
        <v>0.2298</v>
      </c>
      <c r="M238" s="8">
        <f t="shared" ca="1" si="65"/>
        <v>8.8816223743187813E-3</v>
      </c>
      <c r="N238" s="8">
        <v>0.99268000000000001</v>
      </c>
      <c r="O238" s="9">
        <v>4.35161</v>
      </c>
      <c r="P238" s="9">
        <f t="shared" ca="1" si="66"/>
        <v>0.16818695146499921</v>
      </c>
      <c r="Q238" s="10">
        <v>9.0090000000000003E-2</v>
      </c>
      <c r="R238" s="10">
        <f t="shared" ca="1" si="67"/>
        <v>1.8478590963598928E-3</v>
      </c>
      <c r="S238" s="9">
        <f t="shared" si="68"/>
        <v>0.55304589080494848</v>
      </c>
      <c r="T238" s="12">
        <v>7.22E-2</v>
      </c>
      <c r="U238" s="12">
        <f t="shared" ca="1" si="69"/>
        <v>3.0618843871054314E-3</v>
      </c>
      <c r="V238" s="6" t="e">
        <f ca="1">IF(agePb6U8(1/O238)&lt;1400,age7corr(1/O238,Q238,$W$2),agePb76(Q238))</f>
        <v>#NAME?</v>
      </c>
      <c r="W238" s="6" t="e">
        <f ca="1">IF(agePb6U8(1/O238)&lt;1400,ageer7corr(V238,1/O238,P238/O238*(1/O238),Q238,R238,$W$2,0.05),ageerPb76(Q238,R238))</f>
        <v>#NAME?</v>
      </c>
      <c r="X238" s="4" t="e">
        <f ca="1">agePb6U8(L238)/agePb7u5(J238)</f>
        <v>#NAME?</v>
      </c>
      <c r="Z238" s="1">
        <v>2.8639999999999999</v>
      </c>
      <c r="AA238" s="1">
        <v>9.0999999999999998E-2</v>
      </c>
      <c r="AB238" s="1">
        <v>0.2298</v>
      </c>
      <c r="AC238" s="1">
        <v>7.6E-3</v>
      </c>
      <c r="AD238" s="1">
        <v>0.99268000000000001</v>
      </c>
      <c r="AE238" s="1">
        <v>4.35161</v>
      </c>
      <c r="AF238" s="1">
        <v>0.1439175</v>
      </c>
      <c r="AG238" s="1">
        <v>9.0090000000000003E-2</v>
      </c>
      <c r="AH238" s="1">
        <v>4.0999999999999999E-4</v>
      </c>
      <c r="AI238" s="1">
        <v>0.35256999999999999</v>
      </c>
      <c r="AJ238" s="1">
        <v>7.22E-2</v>
      </c>
      <c r="AK238" s="1">
        <v>2.7000000000000001E-3</v>
      </c>
      <c r="AL238" s="1">
        <v>5.2370000000000001</v>
      </c>
      <c r="AM238" s="1">
        <v>6.7000000000000004E-2</v>
      </c>
      <c r="AN238" s="1">
        <v>1371</v>
      </c>
      <c r="AO238" s="1">
        <v>24</v>
      </c>
      <c r="AP238" s="1">
        <v>1333</v>
      </c>
      <c r="AQ238" s="1">
        <v>39</v>
      </c>
      <c r="AR238" s="1">
        <v>1409</v>
      </c>
      <c r="AS238" s="1">
        <v>51</v>
      </c>
      <c r="AT238" s="1">
        <v>1427.3</v>
      </c>
      <c r="AU238" s="1">
        <v>8.8000000000000007</v>
      </c>
      <c r="AV238" s="1">
        <v>18.2</v>
      </c>
      <c r="AW238" s="1">
        <v>1</v>
      </c>
      <c r="AX238" s="1">
        <v>4.08</v>
      </c>
      <c r="AY238" s="1">
        <v>6.4999999999999988E-2</v>
      </c>
      <c r="AZ238" s="1">
        <v>24902.1</v>
      </c>
      <c r="BA238" s="1">
        <v>1304.0999999999999</v>
      </c>
      <c r="BB238" s="1">
        <v>14407.2</v>
      </c>
      <c r="BC238" s="1">
        <v>993.6</v>
      </c>
      <c r="BD238" s="1">
        <v>162081</v>
      </c>
      <c r="BE238" s="1">
        <v>11178.000000000002</v>
      </c>
      <c r="BF238" s="1">
        <v>-18.63</v>
      </c>
      <c r="BG238" s="1">
        <v>7.4519999999999991</v>
      </c>
      <c r="BH238" s="1">
        <f t="shared" si="70"/>
        <v>-8700</v>
      </c>
      <c r="BI238" s="1">
        <f t="shared" si="71"/>
        <v>-3531.3453526949183</v>
      </c>
    </row>
    <row r="239" spans="1:61" x14ac:dyDescent="0.2">
      <c r="A239" t="s">
        <v>455</v>
      </c>
      <c r="B239" t="s">
        <v>38</v>
      </c>
      <c r="C239" t="s">
        <v>456</v>
      </c>
      <c r="D239" t="s">
        <v>457</v>
      </c>
      <c r="E239">
        <v>75421</v>
      </c>
      <c r="F239">
        <v>52506</v>
      </c>
      <c r="G239" t="s">
        <v>457</v>
      </c>
      <c r="H239" s="1">
        <v>174.8</v>
      </c>
      <c r="I239" s="1">
        <v>42.43</v>
      </c>
      <c r="J239" s="11">
        <v>2.6259999999999999</v>
      </c>
      <c r="K239" s="11">
        <f t="shared" ca="1" si="64"/>
        <v>8.2020426724078929E-2</v>
      </c>
      <c r="L239" s="8">
        <v>0.22020000000000001</v>
      </c>
      <c r="M239" s="8">
        <f t="shared" ca="1" si="65"/>
        <v>6.1550967498488606E-3</v>
      </c>
      <c r="N239" s="8">
        <v>0.98695999999999995</v>
      </c>
      <c r="O239" s="9">
        <v>4.5413259999999998</v>
      </c>
      <c r="P239" s="9">
        <f t="shared" ca="1" si="66"/>
        <v>0.12694051187728053</v>
      </c>
      <c r="Q239" s="10">
        <v>8.5949999999999999E-2</v>
      </c>
      <c r="R239" s="10">
        <f t="shared" ca="1" si="67"/>
        <v>1.7626857348943402E-3</v>
      </c>
      <c r="S239" s="9">
        <f t="shared" si="68"/>
        <v>0.35053682083103882</v>
      </c>
      <c r="T239" s="12">
        <v>7.0000000000000007E-2</v>
      </c>
      <c r="U239" s="12">
        <f t="shared" ca="1" si="69"/>
        <v>1.7804493814764857E-3</v>
      </c>
      <c r="V239" s="6" t="e">
        <f ca="1">IF(agePb6U8(1/O239)&lt;1400,age7corr(1/O239,Q239,$W$2),agePb76(Q239))</f>
        <v>#NAME?</v>
      </c>
      <c r="W239" s="6" t="e">
        <f ca="1">IF(agePb6U8(1/O239)&lt;1400,ageer7corr(V239,1/O239,P239/O239*(1/O239),Q239,R239,$W$2,0.05),ageerPb76(Q239,R239))</f>
        <v>#NAME?</v>
      </c>
      <c r="X239" s="4" t="e">
        <f ca="1">agePb6U8(L239)/agePb7u5(J239)</f>
        <v>#NAME?</v>
      </c>
      <c r="Z239" s="1">
        <v>2.6259999999999999</v>
      </c>
      <c r="AA239" s="1">
        <v>6.3E-2</v>
      </c>
      <c r="AB239" s="1">
        <v>0.22020000000000001</v>
      </c>
      <c r="AC239" s="1">
        <v>4.3E-3</v>
      </c>
      <c r="AD239" s="1">
        <v>0.98695999999999995</v>
      </c>
      <c r="AE239" s="1">
        <v>4.5413259999999998</v>
      </c>
      <c r="AF239" s="1">
        <v>8.8681659999999995E-2</v>
      </c>
      <c r="AG239" s="1">
        <v>8.5949999999999999E-2</v>
      </c>
      <c r="AH239" s="1">
        <v>3.8999999999999999E-4</v>
      </c>
      <c r="AI239" s="1">
        <v>-0.36631999999999998</v>
      </c>
      <c r="AJ239" s="1">
        <v>7.0000000000000007E-2</v>
      </c>
      <c r="AK239" s="1">
        <v>1.1000000000000001E-3</v>
      </c>
      <c r="AL239" s="1">
        <v>13.42</v>
      </c>
      <c r="AM239" s="1">
        <v>0.13</v>
      </c>
      <c r="AN239" s="1">
        <v>1307</v>
      </c>
      <c r="AO239" s="1">
        <v>18</v>
      </c>
      <c r="AP239" s="1">
        <v>1283</v>
      </c>
      <c r="AQ239" s="1">
        <v>23</v>
      </c>
      <c r="AR239" s="1">
        <v>1367</v>
      </c>
      <c r="AS239" s="1">
        <v>21</v>
      </c>
      <c r="AT239" s="1">
        <v>1336.9</v>
      </c>
      <c r="AU239" s="1">
        <v>8.8000000000000007</v>
      </c>
      <c r="AV239" s="1">
        <v>37.24</v>
      </c>
      <c r="AW239" s="1">
        <v>0.75</v>
      </c>
      <c r="AX239" s="1">
        <v>3.2529999999999997</v>
      </c>
      <c r="AY239" s="1">
        <v>4.3999999999999997E-2</v>
      </c>
      <c r="AZ239" s="1">
        <v>19300.68</v>
      </c>
      <c r="BA239" s="1">
        <v>397.43999999999994</v>
      </c>
      <c r="BB239" s="1">
        <v>27199.8</v>
      </c>
      <c r="BC239" s="1">
        <v>621</v>
      </c>
      <c r="BD239" s="1">
        <v>322795.80000000005</v>
      </c>
      <c r="BE239" s="1">
        <v>5092.2</v>
      </c>
      <c r="BF239" s="1">
        <v>-3.6638999999999999</v>
      </c>
      <c r="BG239" s="1">
        <v>5.5889999999999995</v>
      </c>
      <c r="BH239" s="1">
        <f t="shared" si="70"/>
        <v>-88101.694915254251</v>
      </c>
      <c r="BI239" s="1">
        <f t="shared" si="71"/>
        <v>-134399.60230501698</v>
      </c>
    </row>
    <row r="240" spans="1:61" x14ac:dyDescent="0.2">
      <c r="A240" t="s">
        <v>458</v>
      </c>
      <c r="B240" t="s">
        <v>38</v>
      </c>
      <c r="C240" t="s">
        <v>459</v>
      </c>
      <c r="D240" t="s">
        <v>460</v>
      </c>
      <c r="E240">
        <v>75418</v>
      </c>
      <c r="F240">
        <v>52669</v>
      </c>
      <c r="G240" t="s">
        <v>460</v>
      </c>
      <c r="H240" s="1">
        <v>37.47</v>
      </c>
      <c r="I240" s="1">
        <v>24.4</v>
      </c>
      <c r="J240" s="11">
        <v>1.746</v>
      </c>
      <c r="K240" s="11">
        <f t="shared" ca="1" si="64"/>
        <v>5.9358288385026735E-2</v>
      </c>
      <c r="L240" s="8">
        <v>0.16950000000000001</v>
      </c>
      <c r="M240" s="8">
        <f t="shared" ca="1" si="65"/>
        <v>5.8764019603835815E-3</v>
      </c>
      <c r="N240" s="8">
        <v>0.92078000000000004</v>
      </c>
      <c r="O240" s="9">
        <v>5.899705</v>
      </c>
      <c r="P240" s="9">
        <f t="shared" ca="1" si="66"/>
        <v>0.2045371040141617</v>
      </c>
      <c r="Q240" s="10">
        <v>7.4829999999999994E-2</v>
      </c>
      <c r="R240" s="10">
        <f t="shared" ca="1" si="67"/>
        <v>1.7620191712918449E-3</v>
      </c>
      <c r="S240" s="9">
        <f t="shared" si="68"/>
        <v>0.45738366841606504</v>
      </c>
      <c r="T240" s="12">
        <v>5.62E-2</v>
      </c>
      <c r="U240" s="12">
        <f t="shared" ca="1" si="69"/>
        <v>1.87440017072129E-3</v>
      </c>
      <c r="V240" s="6" t="e">
        <f ca="1">IF(agePb6U8(1/O240)&lt;1400,age7corr(1/O240,Q240,$W$2),agePb76(Q240))</f>
        <v>#NAME?</v>
      </c>
      <c r="W240" s="6" t="e">
        <f ca="1">IF(agePb6U8(1/O240)&lt;1400,ageer7corr(V240,1/O240,P240/O240*(1/O240),Q240,R240,$W$2,0.05),ageerPb76(Q240,R240))</f>
        <v>#NAME?</v>
      </c>
      <c r="X240" s="4" t="e">
        <f ca="1">agePb6U8(L240)/agePb7u5(J240)</f>
        <v>#NAME?</v>
      </c>
      <c r="Z240" s="1">
        <v>1.746</v>
      </c>
      <c r="AA240" s="1">
        <v>4.8000000000000001E-2</v>
      </c>
      <c r="AB240" s="1">
        <v>0.16950000000000001</v>
      </c>
      <c r="AC240" s="1">
        <v>4.7999999999999996E-3</v>
      </c>
      <c r="AD240" s="1">
        <v>0.92078000000000004</v>
      </c>
      <c r="AE240" s="1">
        <v>5.899705</v>
      </c>
      <c r="AF240" s="1">
        <v>0.16707130000000001</v>
      </c>
      <c r="AG240" s="1">
        <v>7.4829999999999994E-2</v>
      </c>
      <c r="AH240" s="1">
        <v>9.3000000000000005E-4</v>
      </c>
      <c r="AI240" s="1">
        <v>0.25905</v>
      </c>
      <c r="AJ240" s="1">
        <v>5.62E-2</v>
      </c>
      <c r="AK240" s="1">
        <v>1.5E-3</v>
      </c>
      <c r="AL240" s="1">
        <v>4.758</v>
      </c>
      <c r="AM240" s="1">
        <v>0.03</v>
      </c>
      <c r="AN240" s="1">
        <v>1025</v>
      </c>
      <c r="AO240" s="1">
        <v>18</v>
      </c>
      <c r="AP240" s="1">
        <v>1016</v>
      </c>
      <c r="AQ240" s="1">
        <v>24</v>
      </c>
      <c r="AR240" s="1">
        <v>1106</v>
      </c>
      <c r="AS240" s="1">
        <v>29</v>
      </c>
      <c r="AT240" s="1">
        <v>1063</v>
      </c>
      <c r="AU240" s="1">
        <v>25</v>
      </c>
      <c r="AV240" s="1">
        <v>7.9799999999999995</v>
      </c>
      <c r="AW240" s="1">
        <v>0.17</v>
      </c>
      <c r="AX240" s="1">
        <v>1.871</v>
      </c>
      <c r="AY240" s="1">
        <v>7.5999999999999998E-2</v>
      </c>
      <c r="AZ240" s="1">
        <v>8793.36</v>
      </c>
      <c r="BA240" s="1">
        <v>173.88</v>
      </c>
      <c r="BB240" s="1">
        <v>3868.8299999999995</v>
      </c>
      <c r="BC240" s="1">
        <v>86.94</v>
      </c>
      <c r="BD240" s="1">
        <v>52536.6</v>
      </c>
      <c r="BE240" s="1">
        <v>1055.7</v>
      </c>
      <c r="BF240" s="1">
        <v>12.419999999999998</v>
      </c>
      <c r="BG240" s="1">
        <v>6.8310000000000004</v>
      </c>
      <c r="BH240" s="1">
        <f t="shared" si="70"/>
        <v>4230.0000000000009</v>
      </c>
      <c r="BI240" s="1">
        <f t="shared" si="71"/>
        <v>2328.0522438295934</v>
      </c>
    </row>
    <row r="241" spans="1:61" x14ac:dyDescent="0.2">
      <c r="A241" t="s">
        <v>461</v>
      </c>
      <c r="B241" t="s">
        <v>38</v>
      </c>
      <c r="C241" t="s">
        <v>462</v>
      </c>
      <c r="D241" t="s">
        <v>463</v>
      </c>
      <c r="E241">
        <v>75405</v>
      </c>
      <c r="F241">
        <v>52801</v>
      </c>
      <c r="G241" t="s">
        <v>463</v>
      </c>
      <c r="H241" s="1">
        <v>95.6</v>
      </c>
      <c r="I241" s="1">
        <v>41.76</v>
      </c>
      <c r="J241" s="11">
        <v>1.7869999999999999</v>
      </c>
      <c r="K241" s="11">
        <f t="shared" ca="1" si="64"/>
        <v>7.0698992920691581E-2</v>
      </c>
      <c r="L241" s="8">
        <v>0.17080000000000001</v>
      </c>
      <c r="M241" s="8">
        <f t="shared" ca="1" si="65"/>
        <v>6.0554979976877215E-3</v>
      </c>
      <c r="N241" s="8">
        <v>0.95048999999999995</v>
      </c>
      <c r="O241" s="9">
        <v>5.8548010000000001</v>
      </c>
      <c r="P241" s="9">
        <f t="shared" ca="1" si="66"/>
        <v>0.20757458838232198</v>
      </c>
      <c r="Q241" s="10">
        <v>7.4779999999999999E-2</v>
      </c>
      <c r="R241" s="10">
        <f t="shared" ca="1" si="67"/>
        <v>1.6642473854568615E-3</v>
      </c>
      <c r="S241" s="9">
        <f t="shared" si="68"/>
        <v>0.42131637244493436</v>
      </c>
      <c r="T241" s="12">
        <v>5.8200000000000002E-2</v>
      </c>
      <c r="U241" s="12">
        <f t="shared" ca="1" si="69"/>
        <v>2.1435708525728743E-3</v>
      </c>
      <c r="V241" s="6" t="e">
        <f ca="1">IF(agePb6U8(1/O241)&lt;1400,age7corr(1/O241,Q241,$W$2),agePb76(Q241))</f>
        <v>#NAME?</v>
      </c>
      <c r="W241" s="6" t="e">
        <f ca="1">IF(agePb6U8(1/O241)&lt;1400,ageer7corr(V241,1/O241,P241/O241*(1/O241),Q241,R241,$W$2,0.05),ageerPb76(Q241,R241))</f>
        <v>#NAME?</v>
      </c>
      <c r="X241" s="4" t="e">
        <f ca="1">agePb6U8(L241)/agePb7u5(J241)</f>
        <v>#NAME?</v>
      </c>
      <c r="Z241" s="1">
        <v>1.7869999999999999</v>
      </c>
      <c r="AA241" s="1">
        <v>6.0999999999999999E-2</v>
      </c>
      <c r="AB241" s="1">
        <v>0.17080000000000001</v>
      </c>
      <c r="AC241" s="1">
        <v>5.0000000000000001E-3</v>
      </c>
      <c r="AD241" s="1">
        <v>0.95048999999999995</v>
      </c>
      <c r="AE241" s="1">
        <v>5.8548010000000001</v>
      </c>
      <c r="AF241" s="1">
        <v>0.1713935</v>
      </c>
      <c r="AG241" s="1">
        <v>7.4779999999999999E-2</v>
      </c>
      <c r="AH241" s="1">
        <v>7.2999999999999996E-4</v>
      </c>
      <c r="AI241" s="1">
        <v>0.10632999999999999</v>
      </c>
      <c r="AJ241" s="1">
        <v>5.8200000000000002E-2</v>
      </c>
      <c r="AK241" s="1">
        <v>1.8E-3</v>
      </c>
      <c r="AL241" s="1">
        <v>7.0279999999999996</v>
      </c>
      <c r="AM241" s="1">
        <v>3.2000000000000001E-2</v>
      </c>
      <c r="AN241" s="1">
        <v>1040</v>
      </c>
      <c r="AO241" s="1">
        <v>22</v>
      </c>
      <c r="AP241" s="1">
        <v>1016</v>
      </c>
      <c r="AQ241" s="1">
        <v>27</v>
      </c>
      <c r="AR241" s="1">
        <v>1143</v>
      </c>
      <c r="AS241" s="1">
        <v>34</v>
      </c>
      <c r="AT241" s="1">
        <v>1062</v>
      </c>
      <c r="AU241" s="1">
        <v>20</v>
      </c>
      <c r="AV241" s="1">
        <v>20.369999999999997</v>
      </c>
      <c r="AW241" s="1">
        <v>0.82</v>
      </c>
      <c r="AX241" s="1">
        <v>3.202</v>
      </c>
      <c r="AY241" s="1">
        <v>5.0999999999999997E-2</v>
      </c>
      <c r="AZ241" s="1">
        <v>15487.74</v>
      </c>
      <c r="BA241" s="1">
        <v>490.59000000000003</v>
      </c>
      <c r="BB241" s="1">
        <v>10091.25</v>
      </c>
      <c r="BC241" s="1">
        <v>347.76</v>
      </c>
      <c r="BD241" s="1">
        <v>136433.70000000001</v>
      </c>
      <c r="BE241" s="1">
        <v>4347</v>
      </c>
      <c r="BF241" s="1">
        <v>-1.8629999999999998</v>
      </c>
      <c r="BG241" s="1">
        <v>5.9615999999999998</v>
      </c>
      <c r="BH241" s="1">
        <f t="shared" si="70"/>
        <v>-73233.333333333343</v>
      </c>
      <c r="BI241" s="1">
        <f t="shared" si="71"/>
        <v>-234358.28259786821</v>
      </c>
    </row>
    <row r="242" spans="1:61" x14ac:dyDescent="0.2">
      <c r="A242" t="s">
        <v>464</v>
      </c>
      <c r="B242" t="s">
        <v>38</v>
      </c>
      <c r="C242" t="s">
        <v>465</v>
      </c>
      <c r="D242" t="s">
        <v>466</v>
      </c>
      <c r="E242">
        <v>75406</v>
      </c>
      <c r="F242">
        <v>52989</v>
      </c>
      <c r="G242" t="s">
        <v>466</v>
      </c>
      <c r="H242" s="1">
        <v>326</v>
      </c>
      <c r="I242" s="1">
        <v>23.17</v>
      </c>
      <c r="J242" s="11">
        <v>1.8919999999999999</v>
      </c>
      <c r="K242" s="11">
        <f t="shared" ref="K242:K273" ca="1" si="72">SQRT(K$2^2+(AA242/Z242)^2)*J242</f>
        <v>5.8795115443376761E-2</v>
      </c>
      <c r="L242" s="8">
        <v>0.17299999999999999</v>
      </c>
      <c r="M242" s="8">
        <f t="shared" ref="M242:M273" ca="1" si="73">SQRT(M$2^2+(AC242/AB242)^2)*L242</f>
        <v>4.7813805537731463E-3</v>
      </c>
      <c r="N242" s="8">
        <v>0.97428999999999999</v>
      </c>
      <c r="O242" s="9">
        <v>5.7803469999999999</v>
      </c>
      <c r="P242" s="9">
        <f t="shared" ref="P242:P273" ca="1" si="74">SQRT(P$2^2+(AF242/AE242)^2)*O242</f>
        <v>0.15975748088012531</v>
      </c>
      <c r="Q242" s="10">
        <v>7.9420000000000004E-2</v>
      </c>
      <c r="R242" s="10">
        <f t="shared" ref="R242:R273" ca="1" si="75">SQRT(R$2^2+(AH242/AG242)^2)*Q242</f>
        <v>1.7278352236252163E-3</v>
      </c>
      <c r="S242" s="9">
        <f t="shared" ref="S242:S274" si="76">(((BE242/BD242)^2+(AW242/AV242)^2)+((BE242/BD242)^2+(BC242/BB242)^2)-((BC242/BB242)^2+(AW242/AV242)^2))/(2*SQRT((BE242/BD242)^2+(AW242/AV242)^2)*SQRT((BE242/BD242)^2+(BC242/BB242)^2))</f>
        <v>0.49359606514057947</v>
      </c>
      <c r="T242" s="12">
        <v>6.4100000000000004E-2</v>
      </c>
      <c r="U242" s="12">
        <f t="shared" ref="U242:U273" ca="1" si="77">SQRT(U$2^2+(AK242/AJ242)^2)*T242</f>
        <v>2.8988832332468998E-3</v>
      </c>
      <c r="V242" s="6" t="e">
        <f ca="1">IF(agePb6U8(1/O242)&lt;1400,age7corr(1/O242,Q242,$W$2),agePb76(Q242))</f>
        <v>#NAME?</v>
      </c>
      <c r="W242" s="6" t="e">
        <f ca="1">IF(agePb6U8(1/O242)&lt;1400,ageer7corr(V242,1/O242,P242/O242*(1/O242),Q242,R242,$W$2,0.05),ageerPb76(Q242,R242))</f>
        <v>#NAME?</v>
      </c>
      <c r="X242" s="4" t="e">
        <f ca="1">agePb6U8(L242)/agePb7u5(J242)</f>
        <v>#NAME?</v>
      </c>
      <c r="Z242" s="1">
        <v>1.8919999999999999</v>
      </c>
      <c r="AA242" s="1">
        <v>4.4999999999999998E-2</v>
      </c>
      <c r="AB242" s="1">
        <v>0.17299999999999999</v>
      </c>
      <c r="AC242" s="1">
        <v>3.3E-3</v>
      </c>
      <c r="AD242" s="1">
        <v>0.97428999999999999</v>
      </c>
      <c r="AE242" s="1">
        <v>5.7803469999999999</v>
      </c>
      <c r="AF242" s="1">
        <v>0.110261</v>
      </c>
      <c r="AG242" s="1">
        <v>7.9420000000000004E-2</v>
      </c>
      <c r="AH242" s="1">
        <v>6.8000000000000005E-4</v>
      </c>
      <c r="AI242" s="1">
        <v>-0.40218999999999999</v>
      </c>
      <c r="AJ242" s="1">
        <v>6.4100000000000004E-2</v>
      </c>
      <c r="AK242" s="1">
        <v>2.5999999999999999E-3</v>
      </c>
      <c r="AL242" s="1">
        <v>38.700000000000003</v>
      </c>
      <c r="AM242" s="1">
        <v>5.5</v>
      </c>
      <c r="AN242" s="1">
        <v>1078</v>
      </c>
      <c r="AO242" s="1">
        <v>16</v>
      </c>
      <c r="AP242" s="1">
        <v>1028</v>
      </c>
      <c r="AQ242" s="1">
        <v>18</v>
      </c>
      <c r="AR242" s="1">
        <v>1256</v>
      </c>
      <c r="AS242" s="1">
        <v>50</v>
      </c>
      <c r="AT242" s="1">
        <v>1182</v>
      </c>
      <c r="AU242" s="1">
        <v>17</v>
      </c>
      <c r="AV242" s="1">
        <v>69.3</v>
      </c>
      <c r="AW242" s="1">
        <v>8.6</v>
      </c>
      <c r="AX242" s="1">
        <v>1.776</v>
      </c>
      <c r="AY242" s="1">
        <v>6.0999999999999999E-2</v>
      </c>
      <c r="AZ242" s="1">
        <v>9836.6400000000012</v>
      </c>
      <c r="BA242" s="1">
        <v>403.65</v>
      </c>
      <c r="BB242" s="1">
        <v>37135.799999999996</v>
      </c>
      <c r="BC242" s="1">
        <v>4968</v>
      </c>
      <c r="BD242" s="1">
        <v>473202</v>
      </c>
      <c r="BE242" s="1">
        <v>60237.000000000007</v>
      </c>
      <c r="BF242" s="1">
        <v>0.18629999999999999</v>
      </c>
      <c r="BG242" s="1">
        <v>7.4519999999999991</v>
      </c>
      <c r="BH242" s="1">
        <f t="shared" ref="BH242:BH274" si="78">BD242/BF242</f>
        <v>2540000</v>
      </c>
      <c r="BI242" s="1">
        <f t="shared" ref="BI242:BI273" si="79">SQRT((BG242/BF242)^2+(BE242/BD242)^2)*BH242</f>
        <v>101600514.48907353</v>
      </c>
    </row>
    <row r="243" spans="1:61" x14ac:dyDescent="0.2">
      <c r="A243" t="s">
        <v>335</v>
      </c>
      <c r="B243" t="s">
        <v>38</v>
      </c>
      <c r="C243" t="s">
        <v>336</v>
      </c>
      <c r="D243" t="s">
        <v>337</v>
      </c>
      <c r="E243">
        <v>76070</v>
      </c>
      <c r="F243">
        <v>54506</v>
      </c>
      <c r="G243" t="s">
        <v>337</v>
      </c>
      <c r="H243" s="1">
        <v>68.7</v>
      </c>
      <c r="I243" s="1">
        <v>22.09</v>
      </c>
      <c r="J243" s="11">
        <v>2.65</v>
      </c>
      <c r="K243" s="11">
        <f t="shared" ca="1" si="72"/>
        <v>0.11317685275708987</v>
      </c>
      <c r="L243" s="8">
        <v>0.2145</v>
      </c>
      <c r="M243" s="8">
        <f t="shared" ca="1" si="73"/>
        <v>8.8144256761288758E-3</v>
      </c>
      <c r="N243" s="8">
        <v>0.97824</v>
      </c>
      <c r="O243" s="9">
        <v>4.6620049999999997</v>
      </c>
      <c r="P243" s="9">
        <f t="shared" ca="1" si="74"/>
        <v>0.19157525300520944</v>
      </c>
      <c r="Q243" s="10">
        <v>8.8660000000000003E-2</v>
      </c>
      <c r="R243" s="10">
        <f t="shared" ca="1" si="75"/>
        <v>1.9252891315332356E-3</v>
      </c>
      <c r="S243" s="9">
        <f t="shared" si="76"/>
        <v>0.36996000749482821</v>
      </c>
      <c r="T243" s="12">
        <v>7.6700000000000004E-2</v>
      </c>
      <c r="U243" s="12">
        <f t="shared" ca="1" si="77"/>
        <v>3.105343137239426E-3</v>
      </c>
      <c r="V243" s="6" t="e">
        <f ca="1">IF(agePb6U8(1/O243)&lt;1400,age7corr(1/O243,Q243,$W$2),agePb76(Q243))</f>
        <v>#NAME?</v>
      </c>
      <c r="W243" s="6" t="e">
        <f ca="1">IF(agePb6U8(1/O243)&lt;1400,ageer7corr(V243,1/O243,P243/O243*(1/O243),Q243,R243,$W$2,0.05),ageerPb76(Q243,R243))</f>
        <v>#NAME?</v>
      </c>
      <c r="X243" s="4" t="e">
        <f ca="1">agePb6U8(L243)/agePb7u5(J243)</f>
        <v>#NAME?</v>
      </c>
      <c r="Z243" s="1">
        <v>2.65</v>
      </c>
      <c r="AA243" s="1">
        <v>0.1</v>
      </c>
      <c r="AB243" s="1">
        <v>0.2145</v>
      </c>
      <c r="AC243" s="1">
        <v>7.7000000000000002E-3</v>
      </c>
      <c r="AD243" s="1">
        <v>0.97824</v>
      </c>
      <c r="AE243" s="1">
        <v>4.6620049999999997</v>
      </c>
      <c r="AF243" s="1">
        <v>0.167354</v>
      </c>
      <c r="AG243" s="1">
        <v>8.8660000000000003E-2</v>
      </c>
      <c r="AH243" s="1">
        <v>7.5000000000000002E-4</v>
      </c>
      <c r="AI243" s="1">
        <v>-0.16767000000000001</v>
      </c>
      <c r="AJ243" s="1">
        <v>7.6700000000000004E-2</v>
      </c>
      <c r="AK243" s="1">
        <v>2.7000000000000001E-3</v>
      </c>
      <c r="AL243" s="1">
        <v>8.9969999999999999</v>
      </c>
      <c r="AM243" s="1">
        <v>7.3999999999999996E-2</v>
      </c>
      <c r="AN243" s="1">
        <v>1312</v>
      </c>
      <c r="AO243" s="1">
        <v>29</v>
      </c>
      <c r="AP243" s="1">
        <v>1252</v>
      </c>
      <c r="AQ243" s="1">
        <v>41</v>
      </c>
      <c r="AR243" s="1">
        <v>1494</v>
      </c>
      <c r="AS243" s="1">
        <v>51</v>
      </c>
      <c r="AT243" s="1">
        <v>1401</v>
      </c>
      <c r="AU243" s="1">
        <v>14</v>
      </c>
      <c r="AV243" s="1">
        <v>14.69</v>
      </c>
      <c r="AW243" s="1">
        <v>0.66</v>
      </c>
      <c r="AX243" s="1">
        <v>1.7</v>
      </c>
      <c r="AY243" s="1">
        <v>4.1000000000000002E-2</v>
      </c>
      <c r="AZ243" s="1">
        <v>10985.49</v>
      </c>
      <c r="BA243" s="1">
        <v>273.24</v>
      </c>
      <c r="BB243" s="1">
        <v>10879.92</v>
      </c>
      <c r="BC243" s="1">
        <v>285.65999999999997</v>
      </c>
      <c r="BD243" s="1">
        <v>124013.70000000001</v>
      </c>
      <c r="BE243" s="1">
        <v>3353.4</v>
      </c>
      <c r="BF243" s="1">
        <v>43.47</v>
      </c>
      <c r="BG243" s="1">
        <v>6.8310000000000004</v>
      </c>
      <c r="BH243" s="1">
        <f t="shared" si="78"/>
        <v>2852.8571428571431</v>
      </c>
      <c r="BI243" s="1">
        <f t="shared" si="79"/>
        <v>454.89493274096043</v>
      </c>
    </row>
    <row r="244" spans="1:61" x14ac:dyDescent="0.2">
      <c r="A244" t="s">
        <v>467</v>
      </c>
      <c r="B244" t="s">
        <v>38</v>
      </c>
      <c r="C244" t="s">
        <v>468</v>
      </c>
      <c r="D244" t="s">
        <v>469</v>
      </c>
      <c r="E244">
        <v>75451</v>
      </c>
      <c r="F244">
        <v>53092</v>
      </c>
      <c r="G244" t="s">
        <v>469</v>
      </c>
      <c r="H244" s="1">
        <v>91.8</v>
      </c>
      <c r="I244" s="1">
        <v>60</v>
      </c>
      <c r="J244" s="11">
        <v>1.8160000000000001</v>
      </c>
      <c r="K244" s="11">
        <f t="shared" ca="1" si="72"/>
        <v>7.0136598149610888E-2</v>
      </c>
      <c r="L244" s="8">
        <v>0.17710000000000001</v>
      </c>
      <c r="M244" s="8">
        <f t="shared" ca="1" si="73"/>
        <v>6.2093287882024738E-3</v>
      </c>
      <c r="N244" s="8">
        <v>0.96408000000000005</v>
      </c>
      <c r="O244" s="9">
        <v>5.6465269999999999</v>
      </c>
      <c r="P244" s="9">
        <f t="shared" ca="1" si="74"/>
        <v>0.19797372382915263</v>
      </c>
      <c r="Q244" s="10">
        <v>7.4840000000000004E-2</v>
      </c>
      <c r="R244" s="10">
        <f t="shared" ca="1" si="75"/>
        <v>1.6358515336056631E-3</v>
      </c>
      <c r="S244" s="9">
        <f t="shared" si="76"/>
        <v>0.47319239264092372</v>
      </c>
      <c r="T244" s="12">
        <v>0.06</v>
      </c>
      <c r="U244" s="12">
        <f t="shared" ca="1" si="77"/>
        <v>2.0000000000000005E-3</v>
      </c>
      <c r="V244" s="6" t="e">
        <f ca="1">IF(agePb6U8(1/O244)&lt;1400,age7corr(1/O244,Q244,$W$2),agePb76(Q244))</f>
        <v>#NAME?</v>
      </c>
      <c r="W244" s="6" t="e">
        <f ca="1">IF(agePb6U8(1/O244)&lt;1400,ageer7corr(V244,1/O244,P244/O244*(1/O244),Q244,R244,$W$2,0.05),ageerPb76(Q244,R244))</f>
        <v>#NAME?</v>
      </c>
      <c r="X244" s="4" t="e">
        <f ca="1">agePb6U8(L244)/agePb7u5(J244)</f>
        <v>#NAME?</v>
      </c>
      <c r="Z244" s="1">
        <v>1.8160000000000001</v>
      </c>
      <c r="AA244" s="1">
        <v>0.06</v>
      </c>
      <c r="AB244" s="1">
        <v>0.17710000000000001</v>
      </c>
      <c r="AC244" s="1">
        <v>5.1000000000000004E-3</v>
      </c>
      <c r="AD244" s="1">
        <v>0.96408000000000005</v>
      </c>
      <c r="AE244" s="1">
        <v>5.6465269999999999</v>
      </c>
      <c r="AF244" s="1">
        <v>0.16260469999999999</v>
      </c>
      <c r="AG244" s="1">
        <v>7.4840000000000004E-2</v>
      </c>
      <c r="AH244" s="1">
        <v>6.6E-4</v>
      </c>
      <c r="AI244" s="1">
        <v>-8.2171999999999995E-2</v>
      </c>
      <c r="AJ244" s="1">
        <v>0.06</v>
      </c>
      <c r="AK244" s="1">
        <v>1.6000000000000001E-3</v>
      </c>
      <c r="AL244" s="1">
        <v>4.6440000000000001</v>
      </c>
      <c r="AM244" s="1">
        <v>7.1999999999999995E-2</v>
      </c>
      <c r="AN244" s="1">
        <v>1050</v>
      </c>
      <c r="AO244" s="1">
        <v>22</v>
      </c>
      <c r="AP244" s="1">
        <v>1051</v>
      </c>
      <c r="AQ244" s="1">
        <v>28</v>
      </c>
      <c r="AR244" s="1">
        <v>1177</v>
      </c>
      <c r="AS244" s="1">
        <v>31</v>
      </c>
      <c r="AT244" s="1">
        <v>1064</v>
      </c>
      <c r="AU244" s="1">
        <v>18</v>
      </c>
      <c r="AV244" s="1">
        <v>19.560000000000002</v>
      </c>
      <c r="AW244" s="1">
        <v>0.84000000000000008</v>
      </c>
      <c r="AX244" s="1">
        <v>4.5960000000000001</v>
      </c>
      <c r="AY244" s="1">
        <v>8.7999999999999995E-2</v>
      </c>
      <c r="AZ244" s="1">
        <v>22977</v>
      </c>
      <c r="BA244" s="1">
        <v>683.09999999999991</v>
      </c>
      <c r="BB244" s="1">
        <v>9867.69</v>
      </c>
      <c r="BC244" s="1">
        <v>447.12</v>
      </c>
      <c r="BD244" s="1">
        <v>133639.19999999998</v>
      </c>
      <c r="BE244" s="1">
        <v>5589.0000000000009</v>
      </c>
      <c r="BF244" s="1">
        <v>6.2099999999999991</v>
      </c>
      <c r="BG244" s="1">
        <v>6.8310000000000004</v>
      </c>
      <c r="BH244" s="1">
        <f t="shared" si="78"/>
        <v>21520</v>
      </c>
      <c r="BI244" s="1">
        <f t="shared" si="79"/>
        <v>23689.102642354363</v>
      </c>
    </row>
    <row r="245" spans="1:61" x14ac:dyDescent="0.2">
      <c r="A245" t="s">
        <v>470</v>
      </c>
      <c r="B245" t="s">
        <v>38</v>
      </c>
      <c r="C245" t="s">
        <v>471</v>
      </c>
      <c r="D245" t="s">
        <v>472</v>
      </c>
      <c r="E245">
        <v>75406</v>
      </c>
      <c r="F245">
        <v>53244</v>
      </c>
      <c r="G245" t="s">
        <v>472</v>
      </c>
      <c r="H245" s="1">
        <v>102.9</v>
      </c>
      <c r="I245" s="1">
        <v>46.66</v>
      </c>
      <c r="J245" s="11">
        <v>1.7609999999999999</v>
      </c>
      <c r="K245" s="11">
        <f t="shared" ca="1" si="72"/>
        <v>6.8712796479258501E-2</v>
      </c>
      <c r="L245" s="8">
        <v>0.1711</v>
      </c>
      <c r="M245" s="8">
        <f t="shared" ca="1" si="73"/>
        <v>6.2249565460330732E-3</v>
      </c>
      <c r="N245" s="8">
        <v>0.98365000000000002</v>
      </c>
      <c r="O245" s="9">
        <v>5.8445349999999996</v>
      </c>
      <c r="P245" s="9">
        <f t="shared" ca="1" si="74"/>
        <v>0.21263576791447858</v>
      </c>
      <c r="Q245" s="10">
        <v>7.4719999999999995E-2</v>
      </c>
      <c r="R245" s="10">
        <f t="shared" ca="1" si="75"/>
        <v>1.5695959225227366E-3</v>
      </c>
      <c r="S245" s="9">
        <f t="shared" si="76"/>
        <v>0.44433438966963745</v>
      </c>
      <c r="T245" s="12">
        <v>5.5100000000000003E-2</v>
      </c>
      <c r="U245" s="12">
        <f t="shared" ca="1" si="77"/>
        <v>1.7816857186383911E-3</v>
      </c>
      <c r="V245" s="6" t="e">
        <f ca="1">IF(agePb6U8(1/O245)&lt;1400,age7corr(1/O245,Q245,$W$2),agePb76(Q245))</f>
        <v>#NAME?</v>
      </c>
      <c r="W245" s="6" t="e">
        <f ca="1">IF(agePb6U8(1/O245)&lt;1400,ageer7corr(V245,1/O245,P245/O245*(1/O245),Q245,R245,$W$2,0.05),ageerPb76(Q245,R245))</f>
        <v>#NAME?</v>
      </c>
      <c r="X245" s="4" t="e">
        <f ca="1">agePb6U8(L245)/agePb7u5(J245)</f>
        <v>#NAME?</v>
      </c>
      <c r="Z245" s="1">
        <v>1.7609999999999999</v>
      </c>
      <c r="AA245" s="1">
        <v>5.8999999999999997E-2</v>
      </c>
      <c r="AB245" s="1">
        <v>0.1711</v>
      </c>
      <c r="AC245" s="1">
        <v>5.1999999999999998E-3</v>
      </c>
      <c r="AD245" s="1">
        <v>0.98365000000000002</v>
      </c>
      <c r="AE245" s="1">
        <v>5.8445349999999996</v>
      </c>
      <c r="AF245" s="1">
        <v>0.1776247</v>
      </c>
      <c r="AG245" s="1">
        <v>7.4719999999999995E-2</v>
      </c>
      <c r="AH245" s="1">
        <v>4.8000000000000001E-4</v>
      </c>
      <c r="AI245" s="1">
        <v>-0.37730999999999998</v>
      </c>
      <c r="AJ245" s="1">
        <v>5.5100000000000003E-2</v>
      </c>
      <c r="AK245" s="1">
        <v>1.4E-3</v>
      </c>
      <c r="AL245" s="1">
        <v>7.1609999999999996</v>
      </c>
      <c r="AM245" s="1">
        <v>4.8000000000000001E-2</v>
      </c>
      <c r="AN245" s="1">
        <v>1030</v>
      </c>
      <c r="AO245" s="1">
        <v>22</v>
      </c>
      <c r="AP245" s="1">
        <v>1018</v>
      </c>
      <c r="AQ245" s="1">
        <v>28</v>
      </c>
      <c r="AR245" s="1">
        <v>1084</v>
      </c>
      <c r="AS245" s="1">
        <v>26</v>
      </c>
      <c r="AT245" s="1">
        <v>1061</v>
      </c>
      <c r="AU245" s="1">
        <v>13</v>
      </c>
      <c r="AV245" s="1">
        <v>21.91</v>
      </c>
      <c r="AW245" s="1">
        <v>0.5</v>
      </c>
      <c r="AX245" s="1">
        <v>3.5760000000000001</v>
      </c>
      <c r="AY245" s="1">
        <v>7.3999999999999996E-2</v>
      </c>
      <c r="AZ245" s="1">
        <v>16313.67</v>
      </c>
      <c r="BA245" s="1">
        <v>353.96999999999997</v>
      </c>
      <c r="BB245" s="1">
        <v>10755.720000000001</v>
      </c>
      <c r="BC245" s="1">
        <v>285.65999999999997</v>
      </c>
      <c r="BD245" s="1">
        <v>146307.6</v>
      </c>
      <c r="BE245" s="1">
        <v>3229.2</v>
      </c>
      <c r="BF245" s="1">
        <v>12.419999999999998</v>
      </c>
      <c r="BG245" s="1">
        <v>6.2099999999999991</v>
      </c>
      <c r="BH245" s="1">
        <f t="shared" si="78"/>
        <v>11780.000000000002</v>
      </c>
      <c r="BI245" s="1">
        <f t="shared" si="79"/>
        <v>5895.7357471311425</v>
      </c>
    </row>
    <row r="246" spans="1:61" x14ac:dyDescent="0.2">
      <c r="A246" t="s">
        <v>473</v>
      </c>
      <c r="B246" t="s">
        <v>38</v>
      </c>
      <c r="C246" t="s">
        <v>474</v>
      </c>
      <c r="D246" t="s">
        <v>475</v>
      </c>
      <c r="E246">
        <v>75400</v>
      </c>
      <c r="F246">
        <v>53604</v>
      </c>
      <c r="G246" t="s">
        <v>475</v>
      </c>
      <c r="H246" s="1">
        <v>53.98</v>
      </c>
      <c r="I246" s="1">
        <v>33.65</v>
      </c>
      <c r="J246" s="11">
        <v>2.0640000000000001</v>
      </c>
      <c r="K246" s="11">
        <f t="shared" ca="1" si="72"/>
        <v>7.8695860119830957E-2</v>
      </c>
      <c r="L246" s="8">
        <v>0.193</v>
      </c>
      <c r="M246" s="8">
        <f t="shared" ca="1" si="73"/>
        <v>7.0505035281176907E-3</v>
      </c>
      <c r="N246" s="8">
        <v>0.97955999999999999</v>
      </c>
      <c r="O246" s="9">
        <v>5.1813469999999997</v>
      </c>
      <c r="P246" s="9">
        <f t="shared" ca="1" si="74"/>
        <v>0.18928033055765089</v>
      </c>
      <c r="Q246" s="10">
        <v>7.732E-2</v>
      </c>
      <c r="R246" s="10">
        <f t="shared" ca="1" si="75"/>
        <v>1.6623636665904365E-3</v>
      </c>
      <c r="S246" s="9">
        <f t="shared" si="76"/>
        <v>0.49550947815170088</v>
      </c>
      <c r="T246" s="12">
        <v>6.3799999999999996E-2</v>
      </c>
      <c r="U246" s="12">
        <f t="shared" ca="1" si="77"/>
        <v>2.372377710230814E-3</v>
      </c>
      <c r="V246" s="6" t="e">
        <f ca="1">IF(agePb6U8(1/O246)&lt;1400,age7corr(1/O246,Q246,$W$2),agePb76(Q246))</f>
        <v>#NAME?</v>
      </c>
      <c r="W246" s="6" t="e">
        <f ca="1">IF(agePb6U8(1/O246)&lt;1400,ageer7corr(V246,1/O246,P246/O246*(1/O246),Q246,R246,$W$2,0.05),ageerPb76(Q246,R246))</f>
        <v>#NAME?</v>
      </c>
      <c r="X246" s="4" t="e">
        <f ca="1">agePb6U8(L246)/agePb7u5(J246)</f>
        <v>#NAME?</v>
      </c>
      <c r="Z246" s="1">
        <v>2.0640000000000001</v>
      </c>
      <c r="AA246" s="1">
        <v>6.7000000000000004E-2</v>
      </c>
      <c r="AB246" s="1">
        <v>0.193</v>
      </c>
      <c r="AC246" s="1">
        <v>5.8999999999999999E-3</v>
      </c>
      <c r="AD246" s="1">
        <v>0.97955999999999999</v>
      </c>
      <c r="AE246" s="1">
        <v>5.1813469999999997</v>
      </c>
      <c r="AF246" s="1">
        <v>0.15839349999999999</v>
      </c>
      <c r="AG246" s="1">
        <v>7.732E-2</v>
      </c>
      <c r="AH246" s="1">
        <v>6.0999999999999997E-4</v>
      </c>
      <c r="AI246" s="1">
        <v>-0.3831</v>
      </c>
      <c r="AJ246" s="1">
        <v>6.3799999999999996E-2</v>
      </c>
      <c r="AK246" s="1">
        <v>2E-3</v>
      </c>
      <c r="AL246" s="1">
        <v>5.1180000000000003</v>
      </c>
      <c r="AM246" s="1">
        <v>3.2000000000000001E-2</v>
      </c>
      <c r="AN246" s="1">
        <v>1136</v>
      </c>
      <c r="AO246" s="1">
        <v>22</v>
      </c>
      <c r="AP246" s="1">
        <v>1138</v>
      </c>
      <c r="AQ246" s="1">
        <v>32</v>
      </c>
      <c r="AR246" s="1">
        <v>1249</v>
      </c>
      <c r="AS246" s="1">
        <v>38</v>
      </c>
      <c r="AT246" s="1">
        <v>1129</v>
      </c>
      <c r="AU246" s="1">
        <v>16</v>
      </c>
      <c r="AV246" s="1">
        <v>11.49</v>
      </c>
      <c r="AW246" s="1">
        <v>0.2</v>
      </c>
      <c r="AX246" s="1">
        <v>2.5790000000000002</v>
      </c>
      <c r="AY246" s="1">
        <v>7.1000000000000008E-2</v>
      </c>
      <c r="AZ246" s="1">
        <v>13320.449999999999</v>
      </c>
      <c r="BA246" s="1">
        <v>298.08</v>
      </c>
      <c r="BB246" s="1">
        <v>6508.08</v>
      </c>
      <c r="BC246" s="1">
        <v>192.51</v>
      </c>
      <c r="BD246" s="1">
        <v>85325.400000000009</v>
      </c>
      <c r="BE246" s="1">
        <v>1987.2</v>
      </c>
      <c r="BF246" s="1">
        <v>43.47</v>
      </c>
      <c r="BG246" s="1">
        <v>7.4519999999999991</v>
      </c>
      <c r="BH246" s="1">
        <f t="shared" si="78"/>
        <v>1962.8571428571431</v>
      </c>
      <c r="BI246" s="1">
        <f t="shared" si="79"/>
        <v>339.58088679363544</v>
      </c>
    </row>
    <row r="247" spans="1:61" x14ac:dyDescent="0.2">
      <c r="A247" t="s">
        <v>476</v>
      </c>
      <c r="B247" t="s">
        <v>38</v>
      </c>
      <c r="C247" t="s">
        <v>477</v>
      </c>
      <c r="D247" t="s">
        <v>478</v>
      </c>
      <c r="E247">
        <v>75450</v>
      </c>
      <c r="F247">
        <v>53717</v>
      </c>
      <c r="G247" t="s">
        <v>478</v>
      </c>
      <c r="H247" s="1">
        <v>45.8</v>
      </c>
      <c r="I247" s="1">
        <v>21.98</v>
      </c>
      <c r="J247" s="11">
        <v>1.8460000000000001</v>
      </c>
      <c r="K247" s="11">
        <f t="shared" ca="1" si="72"/>
        <v>8.3594774956333245E-2</v>
      </c>
      <c r="L247" s="8">
        <v>0.1792</v>
      </c>
      <c r="M247" s="8">
        <f t="shared" ca="1" si="73"/>
        <v>8.2222293813782651E-3</v>
      </c>
      <c r="N247" s="8">
        <v>0.97455000000000003</v>
      </c>
      <c r="O247" s="9">
        <v>5.5803570000000002</v>
      </c>
      <c r="P247" s="9">
        <f t="shared" ca="1" si="74"/>
        <v>0.25604343446413463</v>
      </c>
      <c r="Q247" s="10">
        <v>7.3609999999999995E-2</v>
      </c>
      <c r="R247" s="10">
        <f t="shared" ca="1" si="75"/>
        <v>1.7151597126798424E-3</v>
      </c>
      <c r="S247" s="9">
        <f t="shared" si="76"/>
        <v>0.39644359616678243</v>
      </c>
      <c r="T247" s="12">
        <v>6.0600000000000001E-2</v>
      </c>
      <c r="U247" s="12">
        <f t="shared" ca="1" si="77"/>
        <v>2.7782987600328372E-3</v>
      </c>
      <c r="V247" s="6" t="e">
        <f ca="1">IF(agePb6U8(1/O247)&lt;1400,age7corr(1/O247,Q247,$W$2),agePb76(Q247))</f>
        <v>#NAME?</v>
      </c>
      <c r="W247" s="6" t="e">
        <f ca="1">IF(agePb6U8(1/O247)&lt;1400,ageer7corr(V247,1/O247,P247/O247*(1/O247),Q247,R247,$W$2,0.05),ageerPb76(Q247,R247))</f>
        <v>#NAME?</v>
      </c>
      <c r="X247" s="4" t="e">
        <f ca="1">agePb6U8(L247)/agePb7u5(J247)</f>
        <v>#NAME?</v>
      </c>
      <c r="Z247" s="1">
        <v>1.8460000000000001</v>
      </c>
      <c r="AA247" s="1">
        <v>7.4999999999999997E-2</v>
      </c>
      <c r="AB247" s="1">
        <v>0.1792</v>
      </c>
      <c r="AC247" s="1">
        <v>7.4000000000000003E-3</v>
      </c>
      <c r="AD247" s="1">
        <v>0.97455000000000003</v>
      </c>
      <c r="AE247" s="1">
        <v>5.5803570000000002</v>
      </c>
      <c r="AF247" s="1">
        <v>0.2304389</v>
      </c>
      <c r="AG247" s="1">
        <v>7.3609999999999995E-2</v>
      </c>
      <c r="AH247" s="1">
        <v>8.8000000000000003E-4</v>
      </c>
      <c r="AI247" s="1">
        <v>-0.216</v>
      </c>
      <c r="AJ247" s="1">
        <v>6.0600000000000001E-2</v>
      </c>
      <c r="AK247" s="1">
        <v>2.5000000000000001E-3</v>
      </c>
      <c r="AL247" s="1">
        <v>6.2859999999999996</v>
      </c>
      <c r="AM247" s="1">
        <v>4.8000000000000001E-2</v>
      </c>
      <c r="AN247" s="1">
        <v>1061</v>
      </c>
      <c r="AO247" s="1">
        <v>26</v>
      </c>
      <c r="AP247" s="1">
        <v>1062</v>
      </c>
      <c r="AQ247" s="1">
        <v>40</v>
      </c>
      <c r="AR247" s="1">
        <v>1189</v>
      </c>
      <c r="AS247" s="1">
        <v>47</v>
      </c>
      <c r="AT247" s="1">
        <v>1043</v>
      </c>
      <c r="AU247" s="1">
        <v>24</v>
      </c>
      <c r="AV247" s="1">
        <v>9.74</v>
      </c>
      <c r="AW247" s="1">
        <v>0.28999999999999998</v>
      </c>
      <c r="AX247" s="1">
        <v>1.6839999999999999</v>
      </c>
      <c r="AY247" s="1">
        <v>0.05</v>
      </c>
      <c r="AZ247" s="1">
        <v>8656.74</v>
      </c>
      <c r="BA247" s="1">
        <v>192.51</v>
      </c>
      <c r="BB247" s="1">
        <v>4955.58</v>
      </c>
      <c r="BC247" s="1">
        <v>142.82999999999998</v>
      </c>
      <c r="BD247" s="1">
        <v>67999.5</v>
      </c>
      <c r="BE247" s="1">
        <v>1614.6</v>
      </c>
      <c r="BF247" s="1">
        <v>31.05</v>
      </c>
      <c r="BG247" s="1">
        <v>6.8310000000000004</v>
      </c>
      <c r="BH247" s="1">
        <f t="shared" si="78"/>
        <v>2190</v>
      </c>
      <c r="BI247" s="1">
        <f t="shared" si="79"/>
        <v>484.59801898068054</v>
      </c>
    </row>
    <row r="248" spans="1:61" x14ac:dyDescent="0.2">
      <c r="A248" t="s">
        <v>479</v>
      </c>
      <c r="B248" t="s">
        <v>38</v>
      </c>
      <c r="C248" t="s">
        <v>480</v>
      </c>
      <c r="D248" t="s">
        <v>481</v>
      </c>
      <c r="E248">
        <v>75431</v>
      </c>
      <c r="F248">
        <v>54051</v>
      </c>
      <c r="G248" t="s">
        <v>481</v>
      </c>
      <c r="H248" s="1">
        <v>199.4</v>
      </c>
      <c r="I248" s="1">
        <v>111.7</v>
      </c>
      <c r="J248" s="11">
        <v>1.66</v>
      </c>
      <c r="K248" s="11">
        <f t="shared" ca="1" si="72"/>
        <v>4.4082195952561166E-2</v>
      </c>
      <c r="L248" s="8">
        <v>0.16450000000000001</v>
      </c>
      <c r="M248" s="8">
        <f t="shared" ca="1" si="73"/>
        <v>4.5204092735061062E-3</v>
      </c>
      <c r="N248" s="8">
        <v>0.97982000000000002</v>
      </c>
      <c r="O248" s="9">
        <v>6.079027</v>
      </c>
      <c r="P248" s="9">
        <f t="shared" ca="1" si="74"/>
        <v>0.167049806977834</v>
      </c>
      <c r="Q248" s="10">
        <v>7.3200000000000001E-2</v>
      </c>
      <c r="R248" s="10">
        <f t="shared" ca="1" si="75"/>
        <v>1.5052561243854815E-3</v>
      </c>
      <c r="S248" s="9">
        <f t="shared" si="76"/>
        <v>0.41012717219231526</v>
      </c>
      <c r="T248" s="12">
        <v>5.6000000000000001E-2</v>
      </c>
      <c r="U248" s="12">
        <f t="shared" ca="1" si="77"/>
        <v>1.6414627622946551E-3</v>
      </c>
      <c r="V248" s="6" t="e">
        <f ca="1">IF(agePb6U8(1/O248)&lt;1400,age7corr(1/O248,Q248,$W$2),agePb76(Q248))</f>
        <v>#NAME?</v>
      </c>
      <c r="W248" s="6" t="e">
        <f ca="1">IF(agePb6U8(1/O248)&lt;1400,ageer7corr(V248,1/O248,P248/O248*(1/O248),Q248,R248,$W$2,0.05),ageerPb76(Q248,R248))</f>
        <v>#NAME?</v>
      </c>
      <c r="X248" s="4" t="e">
        <f ca="1">agePb6U8(L248)/agePb7u5(J248)</f>
        <v>#NAME?</v>
      </c>
      <c r="Z248" s="1">
        <v>1.66</v>
      </c>
      <c r="AA248" s="1">
        <v>2.9000000000000001E-2</v>
      </c>
      <c r="AB248" s="1">
        <v>0.16450000000000001</v>
      </c>
      <c r="AC248" s="1">
        <v>3.0999999999999999E-3</v>
      </c>
      <c r="AD248" s="1">
        <v>0.97982000000000002</v>
      </c>
      <c r="AE248" s="1">
        <v>6.079027</v>
      </c>
      <c r="AF248" s="1">
        <v>0.1145592</v>
      </c>
      <c r="AG248" s="1">
        <v>7.3200000000000001E-2</v>
      </c>
      <c r="AH248" s="1">
        <v>3.5E-4</v>
      </c>
      <c r="AI248" s="1">
        <v>0.20011999999999999</v>
      </c>
      <c r="AJ248" s="1">
        <v>5.6000000000000001E-2</v>
      </c>
      <c r="AK248" s="1">
        <v>1.1999999999999999E-3</v>
      </c>
      <c r="AL248" s="1">
        <v>5.4349999999999996</v>
      </c>
      <c r="AM248" s="1">
        <v>0.02</v>
      </c>
      <c r="AN248" s="1">
        <v>993</v>
      </c>
      <c r="AO248" s="1">
        <v>11</v>
      </c>
      <c r="AP248" s="1">
        <v>982</v>
      </c>
      <c r="AQ248" s="1">
        <v>17</v>
      </c>
      <c r="AR248" s="1">
        <v>1101</v>
      </c>
      <c r="AS248" s="1">
        <v>23</v>
      </c>
      <c r="AT248" s="1">
        <v>1019.4</v>
      </c>
      <c r="AU248" s="1">
        <v>9.5</v>
      </c>
      <c r="AV248" s="1">
        <v>42.45</v>
      </c>
      <c r="AW248" s="1">
        <v>0.62</v>
      </c>
      <c r="AX248" s="1">
        <v>8.56</v>
      </c>
      <c r="AY248" s="1">
        <v>0.16</v>
      </c>
      <c r="AZ248" s="1">
        <v>40166.280000000006</v>
      </c>
      <c r="BA248" s="1">
        <v>558.90000000000009</v>
      </c>
      <c r="BB248" s="1">
        <v>19704.330000000002</v>
      </c>
      <c r="BC248" s="1">
        <v>279.45000000000005</v>
      </c>
      <c r="BD248" s="1">
        <v>274233.59999999998</v>
      </c>
      <c r="BE248" s="1">
        <v>3291.2999999999997</v>
      </c>
      <c r="BF248" s="1">
        <v>-0.3105</v>
      </c>
      <c r="BG248" s="1">
        <v>7.4519999999999991</v>
      </c>
      <c r="BH248" s="1">
        <f t="shared" si="78"/>
        <v>-883199.99999999988</v>
      </c>
      <c r="BI248" s="1">
        <f t="shared" si="79"/>
        <v>-21196802.65039989</v>
      </c>
    </row>
    <row r="249" spans="1:61" x14ac:dyDescent="0.2">
      <c r="A249" t="s">
        <v>488</v>
      </c>
      <c r="B249" t="s">
        <v>38</v>
      </c>
      <c r="C249" t="s">
        <v>489</v>
      </c>
      <c r="D249" t="s">
        <v>490</v>
      </c>
      <c r="E249">
        <v>75399</v>
      </c>
      <c r="F249">
        <v>54283</v>
      </c>
      <c r="G249" t="s">
        <v>490</v>
      </c>
      <c r="H249" s="1">
        <v>236.8</v>
      </c>
      <c r="I249" s="1">
        <v>110.2</v>
      </c>
      <c r="J249" s="11">
        <v>1.7589999999999999</v>
      </c>
      <c r="K249" s="11">
        <f t="shared" ca="1" si="72"/>
        <v>8.2841006753901783E-2</v>
      </c>
      <c r="L249" s="8">
        <v>0.1694</v>
      </c>
      <c r="M249" s="8">
        <f t="shared" ca="1" si="73"/>
        <v>8.1387065311387171E-3</v>
      </c>
      <c r="N249" s="8">
        <v>0.98870999999999998</v>
      </c>
      <c r="O249" s="9">
        <v>5.9031880000000001</v>
      </c>
      <c r="P249" s="9">
        <f t="shared" ca="1" si="74"/>
        <v>0.28361457315712391</v>
      </c>
      <c r="Q249" s="10">
        <v>7.5160000000000005E-2</v>
      </c>
      <c r="R249" s="10">
        <f t="shared" ca="1" si="75"/>
        <v>1.5720083460338246E-3</v>
      </c>
      <c r="S249" s="9">
        <f t="shared" si="76"/>
        <v>0.57296678408775747</v>
      </c>
      <c r="T249" s="12">
        <v>5.9400000000000001E-2</v>
      </c>
      <c r="U249" s="12">
        <f t="shared" ca="1" si="77"/>
        <v>2.7679132934396631E-3</v>
      </c>
      <c r="V249" s="6" t="e">
        <f ca="1">IF(agePb6U8(1/O249)&lt;1400,age7corr(1/O249,Q249,$W$2),agePb76(Q249))</f>
        <v>#NAME?</v>
      </c>
      <c r="W249" s="6" t="e">
        <f ca="1">IF(agePb6U8(1/O249)&lt;1400,ageer7corr(V249,1/O249,P249/O249*(1/O249),Q249,R249,$W$2,0.05),ageerPb76(Q249,R249))</f>
        <v>#NAME?</v>
      </c>
      <c r="X249" s="4" t="e">
        <f ca="1">agePb6U8(L249)/agePb7u5(J249)</f>
        <v>#NAME?</v>
      </c>
      <c r="Z249" s="1">
        <v>1.7589999999999999</v>
      </c>
      <c r="AA249" s="1">
        <v>7.4999999999999997E-2</v>
      </c>
      <c r="AB249" s="1">
        <v>0.1694</v>
      </c>
      <c r="AC249" s="1">
        <v>7.4000000000000003E-3</v>
      </c>
      <c r="AD249" s="1">
        <v>0.98870999999999998</v>
      </c>
      <c r="AE249" s="1">
        <v>5.9031880000000001</v>
      </c>
      <c r="AF249" s="1">
        <v>0.2578724</v>
      </c>
      <c r="AG249" s="1">
        <v>7.5160000000000005E-2</v>
      </c>
      <c r="AH249" s="1">
        <v>4.6000000000000001E-4</v>
      </c>
      <c r="AI249" s="1">
        <v>8.5189000000000001E-2</v>
      </c>
      <c r="AJ249" s="1">
        <v>5.9400000000000001E-2</v>
      </c>
      <c r="AK249" s="1">
        <v>2.5000000000000001E-3</v>
      </c>
      <c r="AL249" s="1">
        <v>6.3360000000000003</v>
      </c>
      <c r="AM249" s="1">
        <v>4.2000000000000003E-2</v>
      </c>
      <c r="AN249" s="1">
        <v>1029</v>
      </c>
      <c r="AO249" s="1">
        <v>28</v>
      </c>
      <c r="AP249" s="1">
        <v>1008</v>
      </c>
      <c r="AQ249" s="1">
        <v>41</v>
      </c>
      <c r="AR249" s="1">
        <v>1167</v>
      </c>
      <c r="AS249" s="1">
        <v>47</v>
      </c>
      <c r="AT249" s="1">
        <v>1072</v>
      </c>
      <c r="AU249" s="1">
        <v>12</v>
      </c>
      <c r="AV249" s="1">
        <v>50.4</v>
      </c>
      <c r="AW249" s="1">
        <v>1</v>
      </c>
      <c r="AX249" s="1">
        <v>8.44</v>
      </c>
      <c r="AY249" s="1">
        <v>0.3</v>
      </c>
      <c r="AZ249" s="1">
        <v>41793.300000000003</v>
      </c>
      <c r="BA249" s="1">
        <v>993.6</v>
      </c>
      <c r="BB249" s="1">
        <v>24566.760000000002</v>
      </c>
      <c r="BC249" s="1">
        <v>552.68999999999994</v>
      </c>
      <c r="BD249" s="1">
        <v>329130</v>
      </c>
      <c r="BE249" s="1">
        <v>8072.9999999999982</v>
      </c>
      <c r="BF249" s="1">
        <v>-12.419999999999998</v>
      </c>
      <c r="BG249" s="1">
        <v>6.8310000000000004</v>
      </c>
      <c r="BH249" s="1">
        <f t="shared" si="78"/>
        <v>-26500.000000000004</v>
      </c>
      <c r="BI249" s="1">
        <f t="shared" si="79"/>
        <v>-14589.48679700558</v>
      </c>
    </row>
    <row r="250" spans="1:61" x14ac:dyDescent="0.2">
      <c r="A250" t="s">
        <v>491</v>
      </c>
      <c r="B250" t="s">
        <v>38</v>
      </c>
      <c r="C250" t="s">
        <v>492</v>
      </c>
      <c r="D250" t="s">
        <v>493</v>
      </c>
      <c r="E250">
        <v>75399</v>
      </c>
      <c r="F250">
        <v>54398</v>
      </c>
      <c r="G250" t="s">
        <v>493</v>
      </c>
      <c r="H250" s="1">
        <v>35.21</v>
      </c>
      <c r="I250" s="1">
        <v>12.87</v>
      </c>
      <c r="J250" s="11">
        <v>2.62</v>
      </c>
      <c r="K250" s="11">
        <f t="shared" ca="1" si="72"/>
        <v>9.0673921278391828E-2</v>
      </c>
      <c r="L250" s="8">
        <v>0.22339999999999999</v>
      </c>
      <c r="M250" s="8">
        <f t="shared" ca="1" si="73"/>
        <v>7.7235370135709195E-3</v>
      </c>
      <c r="N250" s="8">
        <v>0.90736000000000006</v>
      </c>
      <c r="O250" s="9">
        <v>4.4762760000000004</v>
      </c>
      <c r="P250" s="9">
        <f t="shared" ca="1" si="74"/>
        <v>0.15475687385971068</v>
      </c>
      <c r="Q250" s="10">
        <v>8.5099999999999995E-2</v>
      </c>
      <c r="R250" s="10">
        <f t="shared" ca="1" si="75"/>
        <v>2.0265251047050957E-3</v>
      </c>
      <c r="S250" s="9">
        <f t="shared" si="76"/>
        <v>0.48130995129210796</v>
      </c>
      <c r="T250" s="12">
        <v>7.7799999999999994E-2</v>
      </c>
      <c r="U250" s="12">
        <f t="shared" ca="1" si="77"/>
        <v>3.2910691271986372E-3</v>
      </c>
      <c r="V250" s="6" t="e">
        <f ca="1">IF(agePb6U8(1/O250)&lt;1400,age7corr(1/O250,Q250,$W$2),agePb76(Q250))</f>
        <v>#NAME?</v>
      </c>
      <c r="W250" s="6" t="e">
        <f ca="1">IF(agePb6U8(1/O250)&lt;1400,ageer7corr(V250,1/O250,P250/O250*(1/O250),Q250,R250,$W$2,0.05),ageerPb76(Q250,R250))</f>
        <v>#NAME?</v>
      </c>
      <c r="X250" s="4" t="e">
        <f ca="1">agePb6U8(L250)/agePb7u5(J250)</f>
        <v>#NAME?</v>
      </c>
      <c r="Z250" s="1">
        <v>2.62</v>
      </c>
      <c r="AA250" s="1">
        <v>7.3999999999999996E-2</v>
      </c>
      <c r="AB250" s="1">
        <v>0.22339999999999999</v>
      </c>
      <c r="AC250" s="1">
        <v>6.3E-3</v>
      </c>
      <c r="AD250" s="1">
        <v>0.90736000000000006</v>
      </c>
      <c r="AE250" s="1">
        <v>4.4762760000000004</v>
      </c>
      <c r="AF250" s="1">
        <v>0.1262334</v>
      </c>
      <c r="AG250" s="1">
        <v>8.5099999999999995E-2</v>
      </c>
      <c r="AH250" s="1">
        <v>1.1000000000000001E-3</v>
      </c>
      <c r="AI250" s="1">
        <v>0.23760999999999999</v>
      </c>
      <c r="AJ250" s="1">
        <v>7.7799999999999994E-2</v>
      </c>
      <c r="AK250" s="1">
        <v>2.8999999999999998E-3</v>
      </c>
      <c r="AL250" s="1">
        <v>7.8490000000000002</v>
      </c>
      <c r="AM250" s="1">
        <v>4.8000000000000001E-2</v>
      </c>
      <c r="AN250" s="1">
        <v>1305</v>
      </c>
      <c r="AO250" s="1">
        <v>20</v>
      </c>
      <c r="AP250" s="1">
        <v>1299</v>
      </c>
      <c r="AQ250" s="1">
        <v>33</v>
      </c>
      <c r="AR250" s="1">
        <v>1514</v>
      </c>
      <c r="AS250" s="1">
        <v>54</v>
      </c>
      <c r="AT250" s="1">
        <v>1317</v>
      </c>
      <c r="AU250" s="1">
        <v>25</v>
      </c>
      <c r="AV250" s="1">
        <v>7.49</v>
      </c>
      <c r="AW250" s="1">
        <v>0.17</v>
      </c>
      <c r="AX250" s="1">
        <v>0.98599999999999988</v>
      </c>
      <c r="AY250" s="1">
        <v>3.7999999999999999E-2</v>
      </c>
      <c r="AZ250" s="1">
        <v>6539.13</v>
      </c>
      <c r="BA250" s="1">
        <v>223.56</v>
      </c>
      <c r="BB250" s="1">
        <v>5396.4900000000007</v>
      </c>
      <c r="BC250" s="1">
        <v>167.67000000000002</v>
      </c>
      <c r="BD250" s="1">
        <v>64770.30000000001</v>
      </c>
      <c r="BE250" s="1">
        <v>1676.7</v>
      </c>
      <c r="BF250" s="1">
        <v>-18.63</v>
      </c>
      <c r="BG250" s="1">
        <v>6.8310000000000004</v>
      </c>
      <c r="BH250" s="1">
        <f t="shared" si="78"/>
        <v>-3476.6666666666674</v>
      </c>
      <c r="BI250" s="1">
        <f t="shared" si="79"/>
        <v>-1277.9508530127639</v>
      </c>
    </row>
    <row r="251" spans="1:61" x14ac:dyDescent="0.2">
      <c r="A251" t="s">
        <v>494</v>
      </c>
      <c r="B251" t="s">
        <v>38</v>
      </c>
      <c r="C251" t="s">
        <v>495</v>
      </c>
      <c r="D251" t="s">
        <v>496</v>
      </c>
      <c r="E251">
        <v>75484</v>
      </c>
      <c r="F251">
        <v>54560</v>
      </c>
      <c r="G251" t="s">
        <v>496</v>
      </c>
      <c r="H251" s="1">
        <v>68.400000000000006</v>
      </c>
      <c r="I251" s="1">
        <v>7.29</v>
      </c>
      <c r="J251" s="11">
        <v>5.83</v>
      </c>
      <c r="K251" s="11">
        <f t="shared" ca="1" si="72"/>
        <v>0.2489890760655977</v>
      </c>
      <c r="L251" s="8">
        <v>0.34799999999999998</v>
      </c>
      <c r="M251" s="8">
        <f t="shared" ca="1" si="73"/>
        <v>1.3872332175953688E-2</v>
      </c>
      <c r="N251" s="8">
        <v>0.98984000000000005</v>
      </c>
      <c r="O251" s="9">
        <v>2.8735629999999999</v>
      </c>
      <c r="P251" s="9">
        <f t="shared" ca="1" si="74"/>
        <v>0.11454891862771863</v>
      </c>
      <c r="Q251" s="10">
        <v>0.1216</v>
      </c>
      <c r="R251" s="10">
        <f t="shared" ca="1" si="75"/>
        <v>2.5450194498274469E-3</v>
      </c>
      <c r="S251" s="9">
        <f t="shared" si="76"/>
        <v>0.54814365447405988</v>
      </c>
      <c r="T251" s="12">
        <v>0.12230000000000001</v>
      </c>
      <c r="U251" s="12">
        <f t="shared" ca="1" si="77"/>
        <v>8.4612597170870482E-3</v>
      </c>
      <c r="V251" s="6" t="e">
        <f ca="1">IF(agePb6U8(1/O251)&lt;1400,age7corr(1/O251,Q251,$W$2),agePb76(Q251))</f>
        <v>#NAME?</v>
      </c>
      <c r="W251" s="6" t="e">
        <f ca="1">IF(agePb6U8(1/O251)&lt;1400,ageer7corr(V251,1/O251,P251/O251*(1/O251),Q251,R251,$W$2,0.05),ageerPb76(Q251,R251))</f>
        <v>#NAME?</v>
      </c>
      <c r="X251" s="4" t="e">
        <f ca="1">agePb6U8(L251)/agePb7u5(J251)</f>
        <v>#NAME?</v>
      </c>
      <c r="Z251" s="1">
        <v>5.83</v>
      </c>
      <c r="AA251" s="1">
        <v>0.22</v>
      </c>
      <c r="AB251" s="1">
        <v>0.34799999999999998</v>
      </c>
      <c r="AC251" s="1">
        <v>1.2E-2</v>
      </c>
      <c r="AD251" s="1">
        <v>0.98984000000000005</v>
      </c>
      <c r="AE251" s="1">
        <v>2.8735629999999999</v>
      </c>
      <c r="AF251" s="1">
        <v>9.9088389999999998E-2</v>
      </c>
      <c r="AG251" s="1">
        <v>0.1216</v>
      </c>
      <c r="AH251" s="1">
        <v>7.5000000000000002E-4</v>
      </c>
      <c r="AI251" s="1">
        <v>-0.40498000000000001</v>
      </c>
      <c r="AJ251" s="1">
        <v>0.12230000000000001</v>
      </c>
      <c r="AK251" s="1">
        <v>8.0999999999999996E-3</v>
      </c>
      <c r="AL251" s="1">
        <v>28.16</v>
      </c>
      <c r="AM251" s="1">
        <v>0.22</v>
      </c>
      <c r="AN251" s="1">
        <v>1949</v>
      </c>
      <c r="AO251" s="1">
        <v>33</v>
      </c>
      <c r="AP251" s="1">
        <v>1922</v>
      </c>
      <c r="AQ251" s="1">
        <v>58</v>
      </c>
      <c r="AR251" s="1">
        <v>2330</v>
      </c>
      <c r="AS251" s="1">
        <v>150</v>
      </c>
      <c r="AT251" s="1">
        <v>1980</v>
      </c>
      <c r="AU251" s="1">
        <v>11</v>
      </c>
      <c r="AV251" s="1">
        <v>14.55</v>
      </c>
      <c r="AW251" s="1">
        <v>0.27999999999999997</v>
      </c>
      <c r="AX251" s="1">
        <v>0.55800000000000005</v>
      </c>
      <c r="AY251" s="1">
        <v>2.8000000000000001E-2</v>
      </c>
      <c r="AZ251" s="1">
        <v>5675.94</v>
      </c>
      <c r="BA251" s="1">
        <v>161.45999999999998</v>
      </c>
      <c r="BB251" s="1">
        <v>23908.499999999996</v>
      </c>
      <c r="BC251" s="1">
        <v>621</v>
      </c>
      <c r="BD251" s="1">
        <v>199278.9</v>
      </c>
      <c r="BE251" s="1">
        <v>4968</v>
      </c>
      <c r="BF251" s="1">
        <v>-24.839999999999996</v>
      </c>
      <c r="BG251" s="1">
        <v>8.6940000000000008</v>
      </c>
      <c r="BH251" s="1">
        <f t="shared" si="78"/>
        <v>-8022.5000000000009</v>
      </c>
      <c r="BI251" s="1">
        <f t="shared" si="79"/>
        <v>-2814.9888126997962</v>
      </c>
    </row>
    <row r="252" spans="1:61" x14ac:dyDescent="0.2">
      <c r="A252" t="s">
        <v>497</v>
      </c>
      <c r="B252" t="s">
        <v>38</v>
      </c>
      <c r="C252" t="s">
        <v>498</v>
      </c>
      <c r="D252" t="s">
        <v>499</v>
      </c>
      <c r="E252">
        <v>75422</v>
      </c>
      <c r="F252">
        <v>54788</v>
      </c>
      <c r="G252" t="s">
        <v>499</v>
      </c>
      <c r="H252" s="1">
        <v>129</v>
      </c>
      <c r="I252" s="1">
        <v>147.4</v>
      </c>
      <c r="J252" s="11">
        <v>1.863</v>
      </c>
      <c r="K252" s="11">
        <f t="shared" ca="1" si="72"/>
        <v>7.1479420814665254E-2</v>
      </c>
      <c r="L252" s="8">
        <v>0.1767</v>
      </c>
      <c r="M252" s="8">
        <f t="shared" ca="1" si="73"/>
        <v>6.877438185836352E-3</v>
      </c>
      <c r="N252" s="8">
        <v>0.98414000000000001</v>
      </c>
      <c r="O252" s="9">
        <v>5.6593099999999996</v>
      </c>
      <c r="P252" s="9">
        <f t="shared" ca="1" si="74"/>
        <v>0.22026908855681496</v>
      </c>
      <c r="Q252" s="10">
        <v>7.5990000000000002E-2</v>
      </c>
      <c r="R252" s="10">
        <f t="shared" ca="1" si="75"/>
        <v>1.5850211481238982E-3</v>
      </c>
      <c r="S252" s="9">
        <f t="shared" si="76"/>
        <v>0.47696213293963868</v>
      </c>
      <c r="T252" s="12">
        <v>5.9799999999999999E-2</v>
      </c>
      <c r="U252" s="12">
        <f t="shared" ca="1" si="77"/>
        <v>1.841308230579552E-3</v>
      </c>
      <c r="V252" s="6" t="e">
        <f ca="1">IF(agePb6U8(1/O252)&lt;1400,age7corr(1/O252,Q252,$W$2),agePb76(Q252))</f>
        <v>#NAME?</v>
      </c>
      <c r="W252" s="6" t="e">
        <f ca="1">IF(agePb6U8(1/O252)&lt;1400,ageer7corr(V252,1/O252,P252/O252*(1/O252),Q252,R252,$W$2,0.05),ageerPb76(Q252,R252))</f>
        <v>#NAME?</v>
      </c>
      <c r="X252" s="4" t="e">
        <f ca="1">agePb6U8(L252)/agePb7u5(J252)</f>
        <v>#NAME?</v>
      </c>
      <c r="Z252" s="1">
        <v>1.863</v>
      </c>
      <c r="AA252" s="1">
        <v>6.0999999999999999E-2</v>
      </c>
      <c r="AB252" s="1">
        <v>0.1767</v>
      </c>
      <c r="AC252" s="1">
        <v>5.8999999999999999E-3</v>
      </c>
      <c r="AD252" s="1">
        <v>0.98414000000000001</v>
      </c>
      <c r="AE252" s="1">
        <v>5.6593099999999996</v>
      </c>
      <c r="AF252" s="1">
        <v>0.18896389999999999</v>
      </c>
      <c r="AG252" s="1">
        <v>7.5990000000000002E-2</v>
      </c>
      <c r="AH252" s="1">
        <v>4.4999999999999999E-4</v>
      </c>
      <c r="AI252" s="1">
        <v>0.41193999999999997</v>
      </c>
      <c r="AJ252" s="1">
        <v>5.9799999999999999E-2</v>
      </c>
      <c r="AK252" s="1">
        <v>1.4E-3</v>
      </c>
      <c r="AL252" s="1">
        <v>2.6890000000000001</v>
      </c>
      <c r="AM252" s="1">
        <v>1.4E-2</v>
      </c>
      <c r="AN252" s="1">
        <v>1067</v>
      </c>
      <c r="AO252" s="1">
        <v>22</v>
      </c>
      <c r="AP252" s="1">
        <v>1049</v>
      </c>
      <c r="AQ252" s="1">
        <v>32</v>
      </c>
      <c r="AR252" s="1">
        <v>1173</v>
      </c>
      <c r="AS252" s="1">
        <v>27</v>
      </c>
      <c r="AT252" s="1">
        <v>1095</v>
      </c>
      <c r="AU252" s="1">
        <v>12</v>
      </c>
      <c r="AV252" s="1">
        <v>27.459999999999997</v>
      </c>
      <c r="AW252" s="1">
        <v>0.55000000000000004</v>
      </c>
      <c r="AX252" s="1">
        <v>11.29</v>
      </c>
      <c r="AY252" s="1">
        <v>0.37</v>
      </c>
      <c r="AZ252" s="1">
        <v>56448.9</v>
      </c>
      <c r="BA252" s="1">
        <v>931.50000000000011</v>
      </c>
      <c r="BB252" s="1">
        <v>14183.64</v>
      </c>
      <c r="BC252" s="1">
        <v>260.82</v>
      </c>
      <c r="BD252" s="1">
        <v>189591.3</v>
      </c>
      <c r="BE252" s="1">
        <v>3477.6</v>
      </c>
      <c r="BF252" s="1">
        <v>24.839999999999996</v>
      </c>
      <c r="BG252" s="1">
        <v>8.0729999999999986</v>
      </c>
      <c r="BH252" s="1">
        <f t="shared" si="78"/>
        <v>7632.5000000000009</v>
      </c>
      <c r="BI252" s="1">
        <f t="shared" si="79"/>
        <v>2484.5100757304754</v>
      </c>
    </row>
    <row r="253" spans="1:61" x14ac:dyDescent="0.2">
      <c r="A253" t="s">
        <v>500</v>
      </c>
      <c r="B253" t="s">
        <v>38</v>
      </c>
      <c r="C253" t="s">
        <v>501</v>
      </c>
      <c r="D253" t="s">
        <v>502</v>
      </c>
      <c r="E253">
        <v>75439</v>
      </c>
      <c r="F253">
        <v>54889</v>
      </c>
      <c r="G253" t="s">
        <v>502</v>
      </c>
      <c r="H253" s="1">
        <v>100.4</v>
      </c>
      <c r="I253" s="1">
        <v>31.08</v>
      </c>
      <c r="J253" s="11">
        <v>2.78</v>
      </c>
      <c r="K253" s="11">
        <f t="shared" ca="1" si="72"/>
        <v>0.12325323525165577</v>
      </c>
      <c r="L253" s="8">
        <v>0.23319999999999999</v>
      </c>
      <c r="M253" s="8">
        <f t="shared" ca="1" si="73"/>
        <v>1.0583142066513139E-2</v>
      </c>
      <c r="N253" s="8">
        <v>0.99261999999999995</v>
      </c>
      <c r="O253" s="9">
        <v>4.2881650000000002</v>
      </c>
      <c r="P253" s="9">
        <f t="shared" ca="1" si="74"/>
        <v>0.1946066034317695</v>
      </c>
      <c r="Q253" s="10">
        <v>8.6760000000000004E-2</v>
      </c>
      <c r="R253" s="10">
        <f t="shared" ca="1" si="75"/>
        <v>1.7876853861907582E-3</v>
      </c>
      <c r="S253" s="9">
        <f t="shared" si="76"/>
        <v>0.48100009882122757</v>
      </c>
      <c r="T253" s="12">
        <v>7.9799999999999996E-2</v>
      </c>
      <c r="U253" s="12">
        <f t="shared" ca="1" si="77"/>
        <v>3.2229204147791175E-3</v>
      </c>
      <c r="V253" s="6" t="e">
        <f ca="1">IF(agePb6U8(1/O253)&lt;1400,age7corr(1/O253,Q253,$W$2),agePb76(Q253))</f>
        <v>#NAME?</v>
      </c>
      <c r="W253" s="6" t="e">
        <f ca="1">IF(agePb6U8(1/O253)&lt;1400,ageer7corr(V253,1/O253,P253/O253*(1/O253),Q253,R253,$W$2,0.05),ageerPb76(Q253,R253))</f>
        <v>#NAME?</v>
      </c>
      <c r="X253" s="4" t="e">
        <f ca="1">agePb6U8(L253)/agePb7u5(J253)</f>
        <v>#NAME?</v>
      </c>
      <c r="Z253" s="1">
        <v>2.78</v>
      </c>
      <c r="AA253" s="1">
        <v>0.11</v>
      </c>
      <c r="AB253" s="1">
        <v>0.23319999999999999</v>
      </c>
      <c r="AC253" s="1">
        <v>9.4999999999999998E-3</v>
      </c>
      <c r="AD253" s="1">
        <v>0.99261999999999995</v>
      </c>
      <c r="AE253" s="1">
        <v>4.2881650000000002</v>
      </c>
      <c r="AF253" s="1">
        <v>0.17468939999999999</v>
      </c>
      <c r="AG253" s="1">
        <v>8.6760000000000004E-2</v>
      </c>
      <c r="AH253" s="1">
        <v>4.2999999999999999E-4</v>
      </c>
      <c r="AI253" s="1">
        <v>0.34997</v>
      </c>
      <c r="AJ253" s="1">
        <v>7.9799999999999996E-2</v>
      </c>
      <c r="AK253" s="1">
        <v>2.8E-3</v>
      </c>
      <c r="AL253" s="1">
        <v>9.8699999999999992</v>
      </c>
      <c r="AM253" s="1">
        <v>0.3</v>
      </c>
      <c r="AN253" s="1">
        <v>1349</v>
      </c>
      <c r="AO253" s="1">
        <v>30</v>
      </c>
      <c r="AP253" s="1">
        <v>1350</v>
      </c>
      <c r="AQ253" s="1">
        <v>50</v>
      </c>
      <c r="AR253" s="1">
        <v>1551</v>
      </c>
      <c r="AS253" s="1">
        <v>52</v>
      </c>
      <c r="AT253" s="1">
        <v>1355.1</v>
      </c>
      <c r="AU253" s="1">
        <v>9.6</v>
      </c>
      <c r="AV253" s="1">
        <v>21.35</v>
      </c>
      <c r="AW253" s="1">
        <v>0.57999999999999996</v>
      </c>
      <c r="AX253" s="1">
        <v>2.3800000000000003</v>
      </c>
      <c r="AY253" s="1">
        <v>6.6000000000000003E-2</v>
      </c>
      <c r="AZ253" s="1">
        <v>15773.4</v>
      </c>
      <c r="BA253" s="1">
        <v>683.09999999999991</v>
      </c>
      <c r="BB253" s="1">
        <v>16468.919999999998</v>
      </c>
      <c r="BC253" s="1">
        <v>422.28000000000003</v>
      </c>
      <c r="BD253" s="1">
        <v>193006.80000000002</v>
      </c>
      <c r="BE253" s="1">
        <v>4905.8999999999996</v>
      </c>
      <c r="BF253" s="1">
        <v>37.26</v>
      </c>
      <c r="BG253" s="1">
        <v>6.8310000000000004</v>
      </c>
      <c r="BH253" s="1">
        <f t="shared" si="78"/>
        <v>5180.0000000000009</v>
      </c>
      <c r="BI253" s="1">
        <f t="shared" si="79"/>
        <v>958.75069172798487</v>
      </c>
    </row>
    <row r="254" spans="1:61" s="28" customFormat="1" x14ac:dyDescent="0.2">
      <c r="A254" s="28" t="s">
        <v>344</v>
      </c>
      <c r="B254" s="28" t="s">
        <v>38</v>
      </c>
      <c r="C254" s="28" t="s">
        <v>345</v>
      </c>
      <c r="D254" s="28" t="s">
        <v>346</v>
      </c>
      <c r="E254" s="28">
        <v>76045</v>
      </c>
      <c r="F254" s="28">
        <v>54739</v>
      </c>
      <c r="G254" s="28" t="s">
        <v>346</v>
      </c>
      <c r="H254" s="29">
        <v>515</v>
      </c>
      <c r="I254" s="29">
        <v>117</v>
      </c>
      <c r="J254" s="30">
        <v>2.6</v>
      </c>
      <c r="K254" s="30">
        <f t="shared" ca="1" si="72"/>
        <v>0.42320680523829007</v>
      </c>
      <c r="L254" s="31">
        <v>0.187</v>
      </c>
      <c r="M254" s="31">
        <f t="shared" ca="1" si="73"/>
        <v>2.5278204050129829E-2</v>
      </c>
      <c r="N254" s="31">
        <v>0.99480000000000002</v>
      </c>
      <c r="O254" s="31">
        <v>5.347594</v>
      </c>
      <c r="P254" s="31">
        <f t="shared" ca="1" si="74"/>
        <v>0.72287463519807116</v>
      </c>
      <c r="Q254" s="30">
        <v>9.9000000000000005E-2</v>
      </c>
      <c r="R254" s="30">
        <f t="shared" ca="1" si="75"/>
        <v>3.7630306934703572E-3</v>
      </c>
      <c r="S254" s="31">
        <f t="shared" si="76"/>
        <v>0.31070157662245346</v>
      </c>
      <c r="T254" s="30">
        <v>7.6899999999999996E-2</v>
      </c>
      <c r="U254" s="30">
        <f t="shared" ca="1" si="77"/>
        <v>5.3268606139075959E-3</v>
      </c>
      <c r="V254" s="29" t="e">
        <f ca="1">IF(agePb6U8(1/O254)&lt;1400,age7corr(1/O254,Q254,$W$2),agePb76(Q254))</f>
        <v>#NAME?</v>
      </c>
      <c r="W254" s="29" t="e">
        <f ca="1">IF(agePb6U8(1/O254)&lt;1400,ageer7corr(V254,1/O254,P254/O254*(1/O254),Q254,R254,$W$2,0.05),ageerPb76(Q254,R254))</f>
        <v>#NAME?</v>
      </c>
      <c r="X254" s="31" t="e">
        <f ca="1">agePb6U8(L254)/agePb7u5(J254)</f>
        <v>#NAME?</v>
      </c>
      <c r="Y254" s="29"/>
      <c r="Z254" s="29">
        <v>2.6</v>
      </c>
      <c r="AA254" s="29">
        <v>0.42</v>
      </c>
      <c r="AB254" s="29">
        <v>0.187</v>
      </c>
      <c r="AC254" s="29">
        <v>2.5000000000000001E-2</v>
      </c>
      <c r="AD254" s="29">
        <v>0.99480000000000002</v>
      </c>
      <c r="AE254" s="29">
        <v>5.347594</v>
      </c>
      <c r="AF254" s="29">
        <v>0.71491890000000002</v>
      </c>
      <c r="AG254" s="29">
        <v>9.9000000000000005E-2</v>
      </c>
      <c r="AH254" s="29">
        <v>3.2000000000000002E-3</v>
      </c>
      <c r="AI254" s="29">
        <v>-0.83504</v>
      </c>
      <c r="AJ254" s="29">
        <v>7.6899999999999996E-2</v>
      </c>
      <c r="AK254" s="29">
        <v>5.1000000000000004E-3</v>
      </c>
      <c r="AL254" s="29">
        <v>11.27</v>
      </c>
      <c r="AM254" s="29">
        <v>0.35</v>
      </c>
      <c r="AN254" s="29">
        <v>1270</v>
      </c>
      <c r="AO254" s="29">
        <v>120</v>
      </c>
      <c r="AP254" s="29">
        <v>1100</v>
      </c>
      <c r="AQ254" s="29">
        <v>140</v>
      </c>
      <c r="AR254" s="29">
        <v>1497</v>
      </c>
      <c r="AS254" s="29">
        <v>95</v>
      </c>
      <c r="AT254" s="29">
        <v>1600</v>
      </c>
      <c r="AU254" s="29">
        <v>61</v>
      </c>
      <c r="AV254" s="29">
        <v>110</v>
      </c>
      <c r="AW254" s="29">
        <v>13</v>
      </c>
      <c r="AX254" s="29">
        <v>9</v>
      </c>
      <c r="AY254" s="29">
        <v>0.87</v>
      </c>
      <c r="AZ254" s="29">
        <v>57318.3</v>
      </c>
      <c r="BA254" s="29">
        <v>4036.4999999999991</v>
      </c>
      <c r="BB254" s="29">
        <v>79488</v>
      </c>
      <c r="BC254" s="29">
        <v>6831</v>
      </c>
      <c r="BD254" s="29">
        <v>810405</v>
      </c>
      <c r="BE254" s="29">
        <v>55268.999999999993</v>
      </c>
      <c r="BF254" s="29">
        <v>4.5953999999999997</v>
      </c>
      <c r="BG254" s="29">
        <v>5.3406000000000002</v>
      </c>
      <c r="BH254" s="29">
        <f t="shared" si="78"/>
        <v>176351.35135135136</v>
      </c>
      <c r="BI254" s="29">
        <f t="shared" si="79"/>
        <v>205301.45587930299</v>
      </c>
    </row>
    <row r="255" spans="1:61" s="24" customFormat="1" x14ac:dyDescent="0.2">
      <c r="A255" s="24" t="s">
        <v>503</v>
      </c>
      <c r="B255" s="24" t="s">
        <v>38</v>
      </c>
      <c r="C255" s="24" t="s">
        <v>504</v>
      </c>
      <c r="D255" s="24" t="s">
        <v>505</v>
      </c>
      <c r="E255" s="24">
        <v>75529</v>
      </c>
      <c r="F255" s="24">
        <v>55283</v>
      </c>
      <c r="G255" s="24" t="s">
        <v>505</v>
      </c>
      <c r="H255" s="25">
        <v>460</v>
      </c>
      <c r="I255" s="25">
        <v>323</v>
      </c>
      <c r="J255" s="26">
        <v>0.25</v>
      </c>
      <c r="K255" s="26">
        <f t="shared" ca="1" si="72"/>
        <v>0.5000249993750312</v>
      </c>
      <c r="L255" s="27">
        <v>0.01</v>
      </c>
      <c r="M255" s="27">
        <f t="shared" ca="1" si="73"/>
        <v>2.0000999975001248E-2</v>
      </c>
      <c r="N255" s="27">
        <v>0.99492999999999998</v>
      </c>
      <c r="O255" s="27">
        <v>100</v>
      </c>
      <c r="P255" s="27">
        <f t="shared" ca="1" si="74"/>
        <v>200.00999975001247</v>
      </c>
      <c r="Q255" s="26">
        <v>0.68</v>
      </c>
      <c r="R255" s="26">
        <f t="shared" ca="1" si="75"/>
        <v>0.12076820773697025</v>
      </c>
      <c r="S255" s="27">
        <f t="shared" si="76"/>
        <v>5.0793178114057411E-3</v>
      </c>
      <c r="T255" s="26">
        <v>4.0000000000000003E-5</v>
      </c>
      <c r="U255" s="26">
        <f t="shared" ca="1" si="77"/>
        <v>1.7000188234251999E-4</v>
      </c>
      <c r="V255" s="25" t="e">
        <f ca="1">IF(agePb6U8(1/O255)&lt;1400,age7corr(1/O255,Q255,$W$2),agePb76(Q255))</f>
        <v>#NAME?</v>
      </c>
      <c r="W255" s="25" t="e">
        <f ca="1">IF(agePb6U8(1/O255)&lt;1400,ageer7corr(V255,1/O255,P255/O255*(1/O255),Q255,R255,$W$2,0.05),ageerPb76(Q255,R255))</f>
        <v>#NAME?</v>
      </c>
      <c r="X255" s="27" t="e">
        <f ca="1">agePb6U8(L255)/agePb7u5(J255)</f>
        <v>#NAME?</v>
      </c>
      <c r="Y255" s="25"/>
      <c r="Z255" s="25">
        <v>0.25</v>
      </c>
      <c r="AA255" s="25">
        <v>0.5</v>
      </c>
      <c r="AB255" s="25">
        <v>0.01</v>
      </c>
      <c r="AC255" s="25">
        <v>0.02</v>
      </c>
      <c r="AD255" s="25">
        <v>0.99492999999999998</v>
      </c>
      <c r="AE255" s="25">
        <v>100</v>
      </c>
      <c r="AF255" s="25">
        <v>200</v>
      </c>
      <c r="AG255" s="25">
        <v>0.68</v>
      </c>
      <c r="AH255" s="25">
        <v>0.12</v>
      </c>
      <c r="AI255" s="25">
        <v>4.6288999999999997E-2</v>
      </c>
      <c r="AJ255" s="25">
        <v>4.0000000000000003E-5</v>
      </c>
      <c r="AK255" s="25">
        <v>1.7000000000000001E-4</v>
      </c>
      <c r="AL255" s="25">
        <v>0.69</v>
      </c>
      <c r="AM255" s="25">
        <v>0.38</v>
      </c>
      <c r="AN255" s="25">
        <v>1.4</v>
      </c>
      <c r="AO255" s="25">
        <v>7.5</v>
      </c>
      <c r="AP255" s="25">
        <v>60</v>
      </c>
      <c r="AQ255" s="25">
        <v>120</v>
      </c>
      <c r="AR255" s="25">
        <v>0.8</v>
      </c>
      <c r="AS255" s="25">
        <v>3.4</v>
      </c>
      <c r="AT255" s="25">
        <v>4510</v>
      </c>
      <c r="AU255" s="25">
        <v>460</v>
      </c>
      <c r="AV255" s="25">
        <v>97</v>
      </c>
      <c r="AW255" s="25">
        <v>30</v>
      </c>
      <c r="AX255" s="25">
        <v>24.7</v>
      </c>
      <c r="AY255" s="25">
        <v>4.3</v>
      </c>
      <c r="AZ255" s="25">
        <v>14904.000000000002</v>
      </c>
      <c r="BA255" s="25">
        <v>29808.000000000004</v>
      </c>
      <c r="BB255" s="25">
        <v>12420</v>
      </c>
      <c r="BC255" s="25">
        <v>24219</v>
      </c>
      <c r="BD255" s="25">
        <v>-55.641599999999997</v>
      </c>
      <c r="BE255" s="25">
        <v>3.1049999999999995</v>
      </c>
      <c r="BF255" s="25">
        <v>-86.94</v>
      </c>
      <c r="BG255" s="25">
        <v>31.671000000000003</v>
      </c>
      <c r="BH255" s="25">
        <f t="shared" si="78"/>
        <v>0.64</v>
      </c>
      <c r="BI255" s="25">
        <f t="shared" si="79"/>
        <v>0.23586246424731586</v>
      </c>
    </row>
    <row r="256" spans="1:61" x14ac:dyDescent="0.2">
      <c r="A256" t="s">
        <v>506</v>
      </c>
      <c r="B256" t="s">
        <v>38</v>
      </c>
      <c r="C256" t="s">
        <v>507</v>
      </c>
      <c r="D256" t="s">
        <v>508</v>
      </c>
      <c r="E256">
        <v>75594</v>
      </c>
      <c r="F256">
        <v>55451</v>
      </c>
      <c r="G256" t="s">
        <v>508</v>
      </c>
      <c r="H256" s="1">
        <v>51.8</v>
      </c>
      <c r="I256" s="1">
        <v>22.57</v>
      </c>
      <c r="J256" s="11">
        <v>-1.38E-2</v>
      </c>
      <c r="K256" s="11">
        <f t="shared" ca="1" si="72"/>
        <v>-4.4573086049767748E-4</v>
      </c>
      <c r="L256" s="8">
        <v>-1.284E-4</v>
      </c>
      <c r="M256" s="8">
        <f t="shared" ca="1" si="73"/>
        <v>-7.6442543128810143E-6</v>
      </c>
      <c r="N256" s="8">
        <v>0.59336</v>
      </c>
      <c r="O256" s="9">
        <v>-7788.1620000000003</v>
      </c>
      <c r="P256" s="9">
        <f t="shared" ca="1" si="74"/>
        <v>-463.66585087933487</v>
      </c>
      <c r="Q256" s="10">
        <v>0.76800000000000002</v>
      </c>
      <c r="R256" s="10">
        <f t="shared" ca="1" si="75"/>
        <v>4.3782754595845158E-2</v>
      </c>
      <c r="S256" s="9">
        <f t="shared" si="76"/>
        <v>0.90079877995349134</v>
      </c>
      <c r="T256" s="12">
        <v>-5.7499999999999999E-4</v>
      </c>
      <c r="U256" s="12">
        <f t="shared" ca="1" si="77"/>
        <v>-1.7356554957709782E-5</v>
      </c>
      <c r="V256" s="6" t="e">
        <f ca="1">IF(agePb6U8(1/O256)&lt;1400,age7corr(1/O256,Q256,$W$2),agePb76(Q256))</f>
        <v>#NAME?</v>
      </c>
      <c r="W256" s="6" t="e">
        <f ca="1">IF(agePb6U8(1/O256)&lt;1400,ageer7corr(V256,1/O256,P256/O256*(1/O256),Q256,R256,$W$2,0.05),ageerPb76(Q256,R256))</f>
        <v>#NAME?</v>
      </c>
      <c r="X256" s="4" t="e">
        <f ca="1">agePb6U8(L256)/agePb7u5(J256)</f>
        <v>#NAME?</v>
      </c>
      <c r="Z256" s="1">
        <v>-1.38E-2</v>
      </c>
      <c r="AA256" s="1">
        <v>3.5E-4</v>
      </c>
      <c r="AB256" s="1">
        <v>-1.284E-4</v>
      </c>
      <c r="AC256" s="1">
        <v>7.1999999999999997E-6</v>
      </c>
      <c r="AD256" s="1">
        <v>0.59336</v>
      </c>
      <c r="AE256" s="1">
        <v>-7788.1620000000003</v>
      </c>
      <c r="AF256" s="1">
        <v>436.71940000000001</v>
      </c>
      <c r="AG256" s="1">
        <v>0.76800000000000002</v>
      </c>
      <c r="AH256" s="1">
        <v>4.1000000000000002E-2</v>
      </c>
      <c r="AI256" s="1">
        <v>-0.43580000000000002</v>
      </c>
      <c r="AJ256" s="1">
        <v>-5.7499999999999999E-4</v>
      </c>
      <c r="AK256" s="1">
        <v>1.2999999999999999E-5</v>
      </c>
      <c r="AL256" s="1">
        <v>0.54600000000000004</v>
      </c>
      <c r="AM256" s="1">
        <v>2.7E-2</v>
      </c>
      <c r="AN256" s="1">
        <v>-14.11</v>
      </c>
      <c r="AO256" s="1">
        <v>0.36</v>
      </c>
      <c r="AP256" s="1">
        <v>-0.82799999999999996</v>
      </c>
      <c r="AQ256" s="1">
        <v>4.7E-2</v>
      </c>
      <c r="AR256" s="1">
        <v>-11.63</v>
      </c>
      <c r="AS256" s="1">
        <v>0.26</v>
      </c>
      <c r="AT256" s="1">
        <v>4891</v>
      </c>
      <c r="AU256" s="1">
        <v>92</v>
      </c>
      <c r="AV256" s="1">
        <v>11.02</v>
      </c>
      <c r="AW256" s="1">
        <v>0.25999999999999995</v>
      </c>
      <c r="AX256" s="1">
        <v>1.728</v>
      </c>
      <c r="AY256" s="1">
        <v>5.2999999999999999E-2</v>
      </c>
      <c r="AZ256" s="1">
        <v>-81.871584299999981</v>
      </c>
      <c r="BA256" s="1">
        <v>8.0730000000000005E-4</v>
      </c>
      <c r="BB256" s="1">
        <v>-42.284976749999998</v>
      </c>
      <c r="BC256" s="1">
        <v>2.7944999999999999E-4</v>
      </c>
      <c r="BD256" s="1">
        <v>-55.8279</v>
      </c>
      <c r="BE256" s="1">
        <v>2.7323999999999997</v>
      </c>
      <c r="BF256" s="1">
        <v>-102.8787102</v>
      </c>
      <c r="BG256" s="1">
        <v>1.3040999999999999E-3</v>
      </c>
      <c r="BH256" s="1">
        <f t="shared" si="78"/>
        <v>0.54265746422625738</v>
      </c>
      <c r="BI256" s="1">
        <f t="shared" si="79"/>
        <v>2.6559431842905747E-2</v>
      </c>
    </row>
    <row r="257" spans="1:61" x14ac:dyDescent="0.2">
      <c r="A257" t="s">
        <v>509</v>
      </c>
      <c r="B257" t="s">
        <v>38</v>
      </c>
      <c r="C257" t="s">
        <v>510</v>
      </c>
      <c r="D257" t="s">
        <v>511</v>
      </c>
      <c r="E257">
        <v>75505</v>
      </c>
      <c r="F257">
        <v>55674</v>
      </c>
      <c r="G257" t="s">
        <v>511</v>
      </c>
      <c r="H257" s="1">
        <v>34.9</v>
      </c>
      <c r="I257" s="1">
        <v>6.52</v>
      </c>
      <c r="J257" s="11">
        <v>1.839</v>
      </c>
      <c r="K257" s="11">
        <f t="shared" ca="1" si="72"/>
        <v>8.9870842880213381E-2</v>
      </c>
      <c r="L257" s="8">
        <v>0.17810000000000001</v>
      </c>
      <c r="M257" s="8">
        <f t="shared" ca="1" si="73"/>
        <v>8.5748378410323307E-3</v>
      </c>
      <c r="N257" s="8">
        <v>0.93784999999999996</v>
      </c>
      <c r="O257" s="9">
        <v>5.6148230000000003</v>
      </c>
      <c r="P257" s="9">
        <f t="shared" ca="1" si="74"/>
        <v>0.27033241834937521</v>
      </c>
      <c r="Q257" s="10">
        <v>7.4499999999999997E-2</v>
      </c>
      <c r="R257" s="10">
        <f t="shared" ca="1" si="75"/>
        <v>1.8520529150107996E-3</v>
      </c>
      <c r="S257" s="9">
        <f t="shared" si="76"/>
        <v>0.47148013840824021</v>
      </c>
      <c r="T257" s="12">
        <v>7.2800000000000004E-2</v>
      </c>
      <c r="U257" s="12">
        <f t="shared" ca="1" si="77"/>
        <v>4.445214955432414E-3</v>
      </c>
      <c r="V257" s="6" t="e">
        <f ca="1">IF(agePb6U8(1/O257)&lt;1400,age7corr(1/O257,Q257,$W$2),agePb76(Q257))</f>
        <v>#NAME?</v>
      </c>
      <c r="W257" s="6" t="e">
        <f ca="1">IF(agePb6U8(1/O257)&lt;1400,ageer7corr(V257,1/O257,P257/O257*(1/O257),Q257,R257,$W$2,0.05),ageerPb76(Q257,R257))</f>
        <v>#NAME?</v>
      </c>
      <c r="X257" s="4" t="e">
        <f ca="1">agePb6U8(L257)/agePb7u5(J257)</f>
        <v>#NAME?</v>
      </c>
      <c r="Z257" s="1">
        <v>1.839</v>
      </c>
      <c r="AA257" s="1">
        <v>8.2000000000000003E-2</v>
      </c>
      <c r="AB257" s="1">
        <v>0.17810000000000001</v>
      </c>
      <c r="AC257" s="1">
        <v>7.7999999999999996E-3</v>
      </c>
      <c r="AD257" s="1">
        <v>0.93784999999999996</v>
      </c>
      <c r="AE257" s="1">
        <v>5.6148230000000003</v>
      </c>
      <c r="AF257" s="1">
        <v>0.2459047</v>
      </c>
      <c r="AG257" s="1">
        <v>7.4499999999999997E-2</v>
      </c>
      <c r="AH257" s="1">
        <v>1.1000000000000001E-3</v>
      </c>
      <c r="AI257" s="1">
        <v>0.12261</v>
      </c>
      <c r="AJ257" s="1">
        <v>7.2800000000000004E-2</v>
      </c>
      <c r="AK257" s="1">
        <v>4.1999999999999997E-3</v>
      </c>
      <c r="AL257" s="1">
        <v>14.24</v>
      </c>
      <c r="AM257" s="1">
        <v>0.19</v>
      </c>
      <c r="AN257" s="1">
        <v>1065</v>
      </c>
      <c r="AO257" s="1">
        <v>27</v>
      </c>
      <c r="AP257" s="1">
        <v>1056</v>
      </c>
      <c r="AQ257" s="1">
        <v>43</v>
      </c>
      <c r="AR257" s="1">
        <v>1419</v>
      </c>
      <c r="AS257" s="1">
        <v>80</v>
      </c>
      <c r="AT257" s="1">
        <v>1054</v>
      </c>
      <c r="AU257" s="1">
        <v>30</v>
      </c>
      <c r="AV257" s="1">
        <v>7.4200000000000008</v>
      </c>
      <c r="AW257" s="1">
        <v>0.27</v>
      </c>
      <c r="AX257" s="1">
        <v>0.499</v>
      </c>
      <c r="AY257" s="1">
        <v>2.1999999999999999E-2</v>
      </c>
      <c r="AZ257" s="1">
        <v>2869.02</v>
      </c>
      <c r="BA257" s="1">
        <v>74.52</v>
      </c>
      <c r="BB257" s="1">
        <v>3806.73</v>
      </c>
      <c r="BC257" s="1">
        <v>105.57000000000001</v>
      </c>
      <c r="BD257" s="1">
        <v>51294.600000000006</v>
      </c>
      <c r="BE257" s="1">
        <v>1552.5</v>
      </c>
      <c r="BF257" s="1">
        <v>1.0557000000000001</v>
      </c>
      <c r="BG257" s="1">
        <v>5.4647999999999994</v>
      </c>
      <c r="BH257" s="1">
        <f t="shared" si="78"/>
        <v>48588.23529411765</v>
      </c>
      <c r="BI257" s="1">
        <f t="shared" si="79"/>
        <v>251519.87009407938</v>
      </c>
    </row>
    <row r="258" spans="1:61" x14ac:dyDescent="0.2">
      <c r="A258" t="s">
        <v>512</v>
      </c>
      <c r="B258" t="s">
        <v>38</v>
      </c>
      <c r="C258" t="s">
        <v>513</v>
      </c>
      <c r="D258" t="s">
        <v>514</v>
      </c>
      <c r="E258">
        <v>74851</v>
      </c>
      <c r="F258">
        <v>51404</v>
      </c>
      <c r="G258" t="s">
        <v>514</v>
      </c>
      <c r="H258" s="1">
        <v>199</v>
      </c>
      <c r="I258" s="1">
        <v>59.9</v>
      </c>
      <c r="J258" s="11">
        <v>1.7509999999999999</v>
      </c>
      <c r="K258" s="11">
        <f t="shared" ca="1" si="72"/>
        <v>7.1206744062623728E-2</v>
      </c>
      <c r="L258" s="8">
        <v>0.1681</v>
      </c>
      <c r="M258" s="8">
        <f t="shared" ca="1" si="73"/>
        <v>6.4461650614919871E-3</v>
      </c>
      <c r="N258" s="8">
        <v>0.99465000000000003</v>
      </c>
      <c r="O258" s="9">
        <v>5.9488399999999997</v>
      </c>
      <c r="P258" s="9">
        <f t="shared" ca="1" si="74"/>
        <v>0.22812135394802474</v>
      </c>
      <c r="Q258" s="10">
        <v>7.4829999999999994E-2</v>
      </c>
      <c r="R258" s="10">
        <f t="shared" ca="1" si="75"/>
        <v>1.5225674237944276E-3</v>
      </c>
      <c r="S258" s="9">
        <f t="shared" si="76"/>
        <v>0.30282523408804513</v>
      </c>
      <c r="T258" s="12">
        <v>5.79E-2</v>
      </c>
      <c r="U258" s="12">
        <f t="shared" ca="1" si="77"/>
        <v>1.9750858209201952E-3</v>
      </c>
      <c r="V258" s="6" t="e">
        <f ca="1">IF(agePb6U8(1/O258)&lt;1400,age7corr(1/O258,Q258,$W$2),agePb76(Q258))</f>
        <v>#NAME?</v>
      </c>
      <c r="W258" s="6" t="e">
        <f ca="1">IF(agePb6U8(1/O258)&lt;1400,ageer7corr(V258,1/O258,P258/O258*(1/O258),Q258,R258,$W$2,0.05),ageerPb76(Q258,R258))</f>
        <v>#NAME?</v>
      </c>
      <c r="X258" s="4" t="e">
        <f ca="1">agePb6U8(L258)/agePb7u5(J258)</f>
        <v>#NAME?</v>
      </c>
      <c r="Z258" s="1">
        <v>1.7509999999999999</v>
      </c>
      <c r="AA258" s="1">
        <v>6.2E-2</v>
      </c>
      <c r="AB258" s="1">
        <v>0.1681</v>
      </c>
      <c r="AC258" s="1">
        <v>5.4999999999999997E-3</v>
      </c>
      <c r="AD258" s="1">
        <v>0.99465000000000003</v>
      </c>
      <c r="AE258" s="1">
        <v>5.9488399999999997</v>
      </c>
      <c r="AF258" s="1">
        <v>0.1946378</v>
      </c>
      <c r="AG258" s="1">
        <v>7.4829999999999994E-2</v>
      </c>
      <c r="AH258" s="1">
        <v>2.7999999999999998E-4</v>
      </c>
      <c r="AI258" s="1">
        <v>0.22803000000000001</v>
      </c>
      <c r="AJ258" s="1">
        <v>5.79E-2</v>
      </c>
      <c r="AK258" s="1">
        <v>1.6000000000000001E-3</v>
      </c>
      <c r="AL258" s="1">
        <v>10.34</v>
      </c>
      <c r="AM258" s="1">
        <v>0.28999999999999998</v>
      </c>
      <c r="AN258" s="1">
        <v>1026</v>
      </c>
      <c r="AO258" s="1">
        <v>23</v>
      </c>
      <c r="AP258" s="1">
        <v>1001</v>
      </c>
      <c r="AQ258" s="1">
        <v>30</v>
      </c>
      <c r="AR258" s="1">
        <v>1137</v>
      </c>
      <c r="AS258" s="1">
        <v>31</v>
      </c>
      <c r="AT258" s="1">
        <v>1063.7</v>
      </c>
      <c r="AU258" s="1">
        <v>7.6</v>
      </c>
      <c r="AV258" s="1">
        <v>42.2</v>
      </c>
      <c r="AW258" s="1">
        <v>3</v>
      </c>
      <c r="AX258" s="1">
        <v>4.58</v>
      </c>
      <c r="AY258" s="1">
        <v>0.13999999999999999</v>
      </c>
      <c r="AZ258" s="1">
        <v>21387.24</v>
      </c>
      <c r="BA258" s="1">
        <v>422.28000000000003</v>
      </c>
      <c r="BB258" s="1">
        <v>20368.8</v>
      </c>
      <c r="BC258" s="1">
        <v>683.09999999999991</v>
      </c>
      <c r="BD258" s="1">
        <v>276966.00000000006</v>
      </c>
      <c r="BE258" s="1">
        <v>9315</v>
      </c>
      <c r="BF258" s="1">
        <v>0.37259999999999999</v>
      </c>
      <c r="BG258" s="1">
        <v>6.8310000000000004</v>
      </c>
      <c r="BH258" s="1">
        <f t="shared" si="78"/>
        <v>743333.33333333349</v>
      </c>
      <c r="BI258" s="1">
        <f t="shared" si="79"/>
        <v>13627800.70886326</v>
      </c>
    </row>
    <row r="259" spans="1:61" s="28" customFormat="1" x14ac:dyDescent="0.2">
      <c r="A259" s="28" t="s">
        <v>515</v>
      </c>
      <c r="B259" s="28" t="s">
        <v>38</v>
      </c>
      <c r="C259" s="28" t="s">
        <v>516</v>
      </c>
      <c r="D259" s="28" t="s">
        <v>517</v>
      </c>
      <c r="E259" s="28">
        <v>74876</v>
      </c>
      <c r="F259" s="28">
        <v>51654</v>
      </c>
      <c r="G259" s="28" t="s">
        <v>517</v>
      </c>
      <c r="H259" s="29">
        <v>124.5</v>
      </c>
      <c r="I259" s="29">
        <v>53.2</v>
      </c>
      <c r="J259" s="30">
        <v>2.1360000000000001</v>
      </c>
      <c r="K259" s="30">
        <f t="shared" ca="1" si="72"/>
        <v>9.06917769149993E-2</v>
      </c>
      <c r="L259" s="31">
        <v>0.19700000000000001</v>
      </c>
      <c r="M259" s="31">
        <f t="shared" ca="1" si="73"/>
        <v>8.3835314754583008E-3</v>
      </c>
      <c r="N259" s="31">
        <v>0.98780000000000001</v>
      </c>
      <c r="O259" s="31">
        <v>5.0761419999999999</v>
      </c>
      <c r="P259" s="31">
        <f t="shared" ca="1" si="74"/>
        <v>0.21602027199414781</v>
      </c>
      <c r="Q259" s="30">
        <v>7.8549999999999995E-2</v>
      </c>
      <c r="R259" s="30">
        <f t="shared" ca="1" si="75"/>
        <v>1.6548235555490501E-3</v>
      </c>
      <c r="S259" s="31">
        <f t="shared" si="76"/>
        <v>0.44131588790674198</v>
      </c>
      <c r="T259" s="30">
        <v>6.2899999999999998E-2</v>
      </c>
      <c r="U259" s="30">
        <f t="shared" ca="1" si="77"/>
        <v>2.3627450137498969E-3</v>
      </c>
      <c r="V259" s="29" t="e">
        <f ca="1">IF(agePb6U8(1/O259)&lt;1400,age7corr(1/O259,Q259,$W$2),agePb76(Q259))</f>
        <v>#NAME?</v>
      </c>
      <c r="W259" s="29" t="e">
        <f ca="1">IF(agePb6U8(1/O259)&lt;1400,ageer7corr(V259,1/O259,P259/O259*(1/O259),Q259,R259,$W$2,0.05),ageerPb76(Q259,R259))</f>
        <v>#NAME?</v>
      </c>
      <c r="X259" s="31" t="e">
        <f ca="1">agePb6U8(L259)/agePb7u5(J259)</f>
        <v>#NAME?</v>
      </c>
      <c r="Y259" s="29"/>
      <c r="Z259" s="29">
        <v>2.1360000000000001</v>
      </c>
      <c r="AA259" s="29">
        <v>0.08</v>
      </c>
      <c r="AB259" s="29">
        <v>0.19700000000000001</v>
      </c>
      <c r="AC259" s="29">
        <v>7.4000000000000003E-3</v>
      </c>
      <c r="AD259" s="29">
        <v>0.98780000000000001</v>
      </c>
      <c r="AE259" s="29">
        <v>5.0761419999999999</v>
      </c>
      <c r="AF259" s="29">
        <v>0.1906774</v>
      </c>
      <c r="AG259" s="29">
        <v>7.8549999999999995E-2</v>
      </c>
      <c r="AH259" s="29">
        <v>5.1999999999999995E-4</v>
      </c>
      <c r="AI259" s="29">
        <v>8.1450999999999996E-2</v>
      </c>
      <c r="AJ259" s="29">
        <v>6.2899999999999998E-2</v>
      </c>
      <c r="AK259" s="29">
        <v>2E-3</v>
      </c>
      <c r="AL259" s="29">
        <v>7.9880000000000004</v>
      </c>
      <c r="AM259" s="29">
        <v>3.2000000000000001E-2</v>
      </c>
      <c r="AN259" s="29">
        <v>1159</v>
      </c>
      <c r="AO259" s="29">
        <v>26</v>
      </c>
      <c r="AP259" s="29">
        <v>1159</v>
      </c>
      <c r="AQ259" s="29">
        <v>40</v>
      </c>
      <c r="AR259" s="29">
        <v>1233</v>
      </c>
      <c r="AS259" s="29">
        <v>38</v>
      </c>
      <c r="AT259" s="29">
        <v>1161</v>
      </c>
      <c r="AU259" s="29">
        <v>13</v>
      </c>
      <c r="AV259" s="29">
        <v>26.47</v>
      </c>
      <c r="AW259" s="29">
        <v>0.57999999999999996</v>
      </c>
      <c r="AX259" s="29">
        <v>4.0699999999999994</v>
      </c>
      <c r="AY259" s="29">
        <v>9.8000000000000004E-2</v>
      </c>
      <c r="AZ259" s="29">
        <v>20524.05</v>
      </c>
      <c r="BA259" s="29">
        <v>360.18</v>
      </c>
      <c r="BB259" s="29">
        <v>15823.080000000002</v>
      </c>
      <c r="BC259" s="29">
        <v>322.91999999999996</v>
      </c>
      <c r="BD259" s="29">
        <v>204743.7</v>
      </c>
      <c r="BE259" s="29">
        <v>3850.2</v>
      </c>
      <c r="BF259" s="29">
        <v>3.1049999999999995</v>
      </c>
      <c r="BG259" s="29">
        <v>5.2784999999999993</v>
      </c>
      <c r="BH259" s="29">
        <f t="shared" si="78"/>
        <v>65940.000000000015</v>
      </c>
      <c r="BI259" s="29">
        <f t="shared" si="79"/>
        <v>112104.85807492913</v>
      </c>
    </row>
    <row r="260" spans="1:61" s="28" customFormat="1" x14ac:dyDescent="0.2">
      <c r="A260" s="28" t="s">
        <v>524</v>
      </c>
      <c r="B260" s="28" t="s">
        <v>38</v>
      </c>
      <c r="C260" s="28" t="s">
        <v>525</v>
      </c>
      <c r="D260" s="28" t="s">
        <v>526</v>
      </c>
      <c r="E260" s="28">
        <v>74945</v>
      </c>
      <c r="F260" s="28">
        <v>51899</v>
      </c>
      <c r="G260" s="28" t="s">
        <v>526</v>
      </c>
      <c r="H260" s="29">
        <v>115.1</v>
      </c>
      <c r="I260" s="29">
        <v>70.099999999999994</v>
      </c>
      <c r="J260" s="30">
        <v>1.88</v>
      </c>
      <c r="K260" s="30">
        <f t="shared" ca="1" si="72"/>
        <v>0.12575277332925902</v>
      </c>
      <c r="L260" s="31">
        <v>0.17</v>
      </c>
      <c r="M260" s="31">
        <f t="shared" ca="1" si="73"/>
        <v>1.0562196741208717E-2</v>
      </c>
      <c r="N260" s="31">
        <v>0.99695</v>
      </c>
      <c r="O260" s="31">
        <v>5.8823530000000002</v>
      </c>
      <c r="P260" s="31">
        <f t="shared" ca="1" si="74"/>
        <v>0.36547397275221066</v>
      </c>
      <c r="Q260" s="30">
        <v>7.9799999999999996E-2</v>
      </c>
      <c r="R260" s="30">
        <f t="shared" ca="1" si="75"/>
        <v>1.7121962504339273E-3</v>
      </c>
      <c r="S260" s="31">
        <f t="shared" si="76"/>
        <v>0.12051494661493548</v>
      </c>
      <c r="T260" s="30">
        <v>6.5299999999999997E-2</v>
      </c>
      <c r="U260" s="30">
        <f t="shared" ca="1" si="77"/>
        <v>2.0653416182317154E-3</v>
      </c>
      <c r="V260" s="29" t="e">
        <f ca="1">IF(agePb6U8(1/O260)&lt;1400,age7corr(1/O260,Q260,$W$2),agePb76(Q260))</f>
        <v>#NAME?</v>
      </c>
      <c r="W260" s="29" t="e">
        <f ca="1">IF(agePb6U8(1/O260)&lt;1400,ageer7corr(V260,1/O260,P260/O260*(1/O260),Q260,R260,$W$2,0.05),ageerPb76(Q260,R260))</f>
        <v>#NAME?</v>
      </c>
      <c r="X260" s="31" t="e">
        <f ca="1">agePb6U8(L260)/agePb7u5(J260)</f>
        <v>#NAME?</v>
      </c>
      <c r="Y260" s="29"/>
      <c r="Z260" s="29">
        <v>1.88</v>
      </c>
      <c r="AA260" s="29">
        <v>0.12</v>
      </c>
      <c r="AB260" s="29">
        <v>0.17</v>
      </c>
      <c r="AC260" s="29">
        <v>0.01</v>
      </c>
      <c r="AD260" s="29">
        <v>0.99695</v>
      </c>
      <c r="AE260" s="29">
        <v>5.8823530000000002</v>
      </c>
      <c r="AF260" s="29">
        <v>0.34602080000000002</v>
      </c>
      <c r="AG260" s="29">
        <v>7.9799999999999996E-2</v>
      </c>
      <c r="AH260" s="29">
        <v>6.2E-4</v>
      </c>
      <c r="AI260" s="29">
        <v>-0.64212999999999998</v>
      </c>
      <c r="AJ260" s="29">
        <v>6.5299999999999997E-2</v>
      </c>
      <c r="AK260" s="29">
        <v>1.6000000000000001E-3</v>
      </c>
      <c r="AL260" s="29">
        <v>4.4800000000000004</v>
      </c>
      <c r="AM260" s="29">
        <v>0.26</v>
      </c>
      <c r="AN260" s="29">
        <v>1067</v>
      </c>
      <c r="AO260" s="29">
        <v>46</v>
      </c>
      <c r="AP260" s="29">
        <v>1011</v>
      </c>
      <c r="AQ260" s="29">
        <v>58</v>
      </c>
      <c r="AR260" s="29">
        <v>1279</v>
      </c>
      <c r="AS260" s="29">
        <v>30</v>
      </c>
      <c r="AT260" s="29">
        <v>1192</v>
      </c>
      <c r="AU260" s="29">
        <v>15</v>
      </c>
      <c r="AV260" s="29">
        <v>24.5</v>
      </c>
      <c r="AW260" s="29">
        <v>2.1</v>
      </c>
      <c r="AX260" s="29">
        <v>5.37</v>
      </c>
      <c r="AY260" s="29">
        <v>0.35</v>
      </c>
      <c r="AZ260" s="29">
        <v>28690.2</v>
      </c>
      <c r="BA260" s="29">
        <v>1490.4</v>
      </c>
      <c r="BB260" s="29">
        <v>12302.01</v>
      </c>
      <c r="BC260" s="29">
        <v>161.45999999999998</v>
      </c>
      <c r="BD260" s="29">
        <v>156988.79999999999</v>
      </c>
      <c r="BE260" s="29">
        <v>2235.6000000000004</v>
      </c>
      <c r="BF260" s="29">
        <v>37.26</v>
      </c>
      <c r="BG260" s="29">
        <v>6.2099999999999991</v>
      </c>
      <c r="BH260" s="29">
        <f t="shared" si="78"/>
        <v>4213.333333333333</v>
      </c>
      <c r="BI260" s="29">
        <f t="shared" si="79"/>
        <v>704.78085202615716</v>
      </c>
    </row>
    <row r="261" spans="1:61" s="28" customFormat="1" x14ac:dyDescent="0.2">
      <c r="A261" s="28" t="s">
        <v>527</v>
      </c>
      <c r="B261" s="28" t="s">
        <v>38</v>
      </c>
      <c r="C261" s="28" t="s">
        <v>528</v>
      </c>
      <c r="D261" s="28" t="s">
        <v>529</v>
      </c>
      <c r="E261" s="28">
        <v>74811</v>
      </c>
      <c r="F261" s="28">
        <v>52243</v>
      </c>
      <c r="G261" s="28" t="s">
        <v>529</v>
      </c>
      <c r="H261" s="29">
        <v>124.1</v>
      </c>
      <c r="I261" s="29">
        <v>31.3</v>
      </c>
      <c r="J261" s="30">
        <v>1.718</v>
      </c>
      <c r="K261" s="30">
        <f t="shared" ca="1" si="72"/>
        <v>8.5232679178822005E-2</v>
      </c>
      <c r="L261" s="31">
        <v>0.16719999999999999</v>
      </c>
      <c r="M261" s="31">
        <f t="shared" ca="1" si="73"/>
        <v>8.1204886552472943E-3</v>
      </c>
      <c r="N261" s="31">
        <v>0.99273</v>
      </c>
      <c r="O261" s="31">
        <v>5.980861</v>
      </c>
      <c r="P261" s="31">
        <f t="shared" ca="1" si="74"/>
        <v>0.29047558143632041</v>
      </c>
      <c r="Q261" s="30">
        <v>7.4560000000000001E-2</v>
      </c>
      <c r="R261" s="30">
        <f t="shared" ca="1" si="75"/>
        <v>1.5665495332098504E-3</v>
      </c>
      <c r="S261" s="31">
        <f t="shared" si="76"/>
        <v>0.27696341397612856</v>
      </c>
      <c r="T261" s="30">
        <v>5.8299999999999998E-2</v>
      </c>
      <c r="U261" s="30">
        <f t="shared" ca="1" si="77"/>
        <v>2.8494834619628871E-3</v>
      </c>
      <c r="V261" s="29" t="e">
        <f ca="1">IF(agePb6U8(1/O261)&lt;1400,age7corr(1/O261,Q261,$W$2),agePb76(Q261))</f>
        <v>#NAME?</v>
      </c>
      <c r="W261" s="29" t="e">
        <f ca="1">IF(agePb6U8(1/O261)&lt;1400,ageer7corr(V261,1/O261,P261/O261*(1/O261),Q261,R261,$W$2,0.05),ageerPb76(Q261,R261))</f>
        <v>#NAME?</v>
      </c>
      <c r="X261" s="31" t="e">
        <f ca="1">agePb6U8(L261)/agePb7u5(J261)</f>
        <v>#NAME?</v>
      </c>
      <c r="Y261" s="29"/>
      <c r="Z261" s="29">
        <v>1.718</v>
      </c>
      <c r="AA261" s="29">
        <v>7.8E-2</v>
      </c>
      <c r="AB261" s="29">
        <v>0.16719999999999999</v>
      </c>
      <c r="AC261" s="29">
        <v>7.4000000000000003E-3</v>
      </c>
      <c r="AD261" s="29">
        <v>0.99273</v>
      </c>
      <c r="AE261" s="29">
        <v>5.980861</v>
      </c>
      <c r="AF261" s="29">
        <v>0.26470320000000003</v>
      </c>
      <c r="AG261" s="29">
        <v>7.4560000000000001E-2</v>
      </c>
      <c r="AH261" s="29">
        <v>4.8000000000000001E-4</v>
      </c>
      <c r="AI261" s="29">
        <v>0.22500000000000001</v>
      </c>
      <c r="AJ261" s="29">
        <v>5.8299999999999998E-2</v>
      </c>
      <c r="AK261" s="29">
        <v>2.5999999999999999E-3</v>
      </c>
      <c r="AL261" s="29">
        <v>11.87</v>
      </c>
      <c r="AM261" s="29">
        <v>0.14000000000000001</v>
      </c>
      <c r="AN261" s="29">
        <v>1021</v>
      </c>
      <c r="AO261" s="29">
        <v>27</v>
      </c>
      <c r="AP261" s="29">
        <v>996</v>
      </c>
      <c r="AQ261" s="29">
        <v>41</v>
      </c>
      <c r="AR261" s="29">
        <v>1144</v>
      </c>
      <c r="AS261" s="29">
        <v>50</v>
      </c>
      <c r="AT261" s="29">
        <v>1057</v>
      </c>
      <c r="AU261" s="29">
        <v>13</v>
      </c>
      <c r="AV261" s="29">
        <v>26.4</v>
      </c>
      <c r="AW261" s="29">
        <v>1.4</v>
      </c>
      <c r="AX261" s="29">
        <v>2.3919999999999999</v>
      </c>
      <c r="AY261" s="29">
        <v>8.3000000000000004E-2</v>
      </c>
      <c r="AZ261" s="29">
        <v>11693.43</v>
      </c>
      <c r="BA261" s="29">
        <v>335.34000000000003</v>
      </c>
      <c r="BB261" s="29">
        <v>12413.789999999999</v>
      </c>
      <c r="BC261" s="29">
        <v>322.91999999999996</v>
      </c>
      <c r="BD261" s="29">
        <v>169346.69999999998</v>
      </c>
      <c r="BE261" s="29">
        <v>4036.4999999999991</v>
      </c>
      <c r="BF261" s="29">
        <v>1.3661999999999999</v>
      </c>
      <c r="BG261" s="29">
        <v>4.0985999999999994</v>
      </c>
      <c r="BH261" s="29">
        <f t="shared" si="78"/>
        <v>123954.54545454546</v>
      </c>
      <c r="BI261" s="29">
        <f t="shared" si="79"/>
        <v>371875.37346324744</v>
      </c>
    </row>
    <row r="262" spans="1:61" s="24" customFormat="1" x14ac:dyDescent="0.2">
      <c r="A262" s="24" t="s">
        <v>530</v>
      </c>
      <c r="B262" s="24" t="s">
        <v>38</v>
      </c>
      <c r="C262" s="24" t="s">
        <v>531</v>
      </c>
      <c r="D262" s="24" t="s">
        <v>532</v>
      </c>
      <c r="E262" s="24">
        <v>74947</v>
      </c>
      <c r="F262" s="24">
        <v>52369</v>
      </c>
      <c r="G262" s="24" t="s">
        <v>532</v>
      </c>
      <c r="H262" s="25">
        <v>435</v>
      </c>
      <c r="I262" s="25">
        <v>50.2</v>
      </c>
      <c r="J262" s="26">
        <v>-1.632E-3</v>
      </c>
      <c r="K262" s="26">
        <f t="shared" ca="1" si="72"/>
        <v>-5.398490159294542E-5</v>
      </c>
      <c r="L262" s="27">
        <v>-1.5999999999999999E-5</v>
      </c>
      <c r="M262" s="27">
        <f t="shared" ca="1" si="73"/>
        <v>-8.8955044826024341E-7</v>
      </c>
      <c r="N262" s="27">
        <v>0.95291000000000003</v>
      </c>
      <c r="O262" s="27">
        <v>-62500</v>
      </c>
      <c r="P262" s="27">
        <f t="shared" ca="1" si="74"/>
        <v>-3474.8069050443655</v>
      </c>
      <c r="Q262" s="26">
        <v>0.74399999999999999</v>
      </c>
      <c r="R262" s="26">
        <f t="shared" ca="1" si="75"/>
        <v>3.1708270214567055E-2</v>
      </c>
      <c r="S262" s="27">
        <f t="shared" si="76"/>
        <v>0.81432150835621153</v>
      </c>
      <c r="T262" s="26">
        <v>-2.7399999999999999E-4</v>
      </c>
      <c r="U262" s="26">
        <f t="shared" ca="1" si="77"/>
        <v>-2.4617684700231254E-5</v>
      </c>
      <c r="V262" s="25" t="e">
        <f ca="1">IF(agePb6U8(1/O262)&lt;1400,age7corr(1/O262,Q262,$W$2),agePb76(Q262))</f>
        <v>#NAME?</v>
      </c>
      <c r="W262" s="25" t="e">
        <f ca="1">IF(agePb6U8(1/O262)&lt;1400,ageer7corr(V262,1/O262,P262/O262*(1/O262),Q262,R262,$W$2,0.05),ageerPb76(Q262,R262))</f>
        <v>#NAME?</v>
      </c>
      <c r="X262" s="27" t="e">
        <f ca="1">agePb6U8(L262)/agePb7u5(J262)</f>
        <v>#NAME?</v>
      </c>
      <c r="Y262" s="25"/>
      <c r="Z262" s="25">
        <v>-1.632E-3</v>
      </c>
      <c r="AA262" s="25">
        <v>4.3000000000000002E-5</v>
      </c>
      <c r="AB262" s="25">
        <v>-1.5999999999999999E-5</v>
      </c>
      <c r="AC262" s="25">
        <v>8.2999999999999999E-7</v>
      </c>
      <c r="AD262" s="25">
        <v>0.95291000000000003</v>
      </c>
      <c r="AE262" s="25">
        <v>-62500</v>
      </c>
      <c r="AF262" s="25">
        <v>3242.1880000000001</v>
      </c>
      <c r="AG262" s="25">
        <v>0.74399999999999999</v>
      </c>
      <c r="AH262" s="25">
        <v>2.8000000000000001E-2</v>
      </c>
      <c r="AI262" s="25">
        <v>-0.79705999999999999</v>
      </c>
      <c r="AJ262" s="25">
        <v>-2.7399999999999999E-4</v>
      </c>
      <c r="AK262" s="25">
        <v>2.4000000000000001E-5</v>
      </c>
      <c r="AL262" s="25">
        <v>0.56799999999999995</v>
      </c>
      <c r="AM262" s="25">
        <v>2.1000000000000001E-2</v>
      </c>
      <c r="AN262" s="25">
        <v>-1.6579999999999999</v>
      </c>
      <c r="AO262" s="25">
        <v>4.2999999999999997E-2</v>
      </c>
      <c r="AP262" s="25">
        <v>-0.1031</v>
      </c>
      <c r="AQ262" s="25">
        <v>5.3E-3</v>
      </c>
      <c r="AR262" s="25">
        <v>-5.53</v>
      </c>
      <c r="AS262" s="25">
        <v>0.49</v>
      </c>
      <c r="AT262" s="25">
        <v>4837</v>
      </c>
      <c r="AU262" s="25">
        <v>63</v>
      </c>
      <c r="AV262" s="25">
        <v>92.399999999999991</v>
      </c>
      <c r="AW262" s="25">
        <v>2.4</v>
      </c>
      <c r="AX262" s="25">
        <v>3.8400000000000003</v>
      </c>
      <c r="AY262" s="25">
        <v>0.36000000000000004</v>
      </c>
      <c r="AZ262" s="25">
        <v>-81.776987369999986</v>
      </c>
      <c r="BA262" s="25">
        <v>2.7944999999999999E-4</v>
      </c>
      <c r="BB262" s="25">
        <v>-42.206544450000003</v>
      </c>
      <c r="BC262" s="25">
        <v>2.7944999999999999E-4</v>
      </c>
      <c r="BD262" s="25">
        <v>-57.939300000000003</v>
      </c>
      <c r="BE262" s="25">
        <v>2.1114000000000002</v>
      </c>
      <c r="BF262" s="25">
        <v>-103.2500682</v>
      </c>
      <c r="BG262" s="25">
        <v>1.3040999999999999E-3</v>
      </c>
      <c r="BH262" s="25">
        <f t="shared" si="78"/>
        <v>0.56115507728061731</v>
      </c>
      <c r="BI262" s="25">
        <f t="shared" si="79"/>
        <v>2.0449382393916894E-2</v>
      </c>
    </row>
    <row r="263" spans="1:61" s="24" customFormat="1" x14ac:dyDescent="0.2">
      <c r="A263" s="24" t="s">
        <v>533</v>
      </c>
      <c r="B263" s="24" t="s">
        <v>38</v>
      </c>
      <c r="C263" s="24" t="s">
        <v>534</v>
      </c>
      <c r="D263" s="24" t="s">
        <v>535</v>
      </c>
      <c r="E263" s="24">
        <v>74946</v>
      </c>
      <c r="F263" s="24">
        <v>52920</v>
      </c>
      <c r="G263" s="24" t="s">
        <v>535</v>
      </c>
      <c r="H263" s="25">
        <v>267</v>
      </c>
      <c r="I263" s="25">
        <v>157</v>
      </c>
      <c r="J263" s="26">
        <v>-2.7000000000000001E-3</v>
      </c>
      <c r="K263" s="26">
        <f t="shared" ca="1" si="72"/>
        <v>-1.7837040113202643E-4</v>
      </c>
      <c r="L263" s="27">
        <v>-2.4700000000000001E-5</v>
      </c>
      <c r="M263" s="27">
        <f t="shared" ca="1" si="73"/>
        <v>-1.6745256044623505E-6</v>
      </c>
      <c r="N263" s="27">
        <v>0.79200000000000004</v>
      </c>
      <c r="O263" s="27">
        <v>-40485.83</v>
      </c>
      <c r="P263" s="27">
        <f t="shared" ca="1" si="74"/>
        <v>-2744.7190942629377</v>
      </c>
      <c r="Q263" s="26">
        <v>0.78700000000000003</v>
      </c>
      <c r="R263" s="26">
        <f t="shared" ca="1" si="75"/>
        <v>3.3878423812214162E-2</v>
      </c>
      <c r="S263" s="27">
        <f t="shared" si="76"/>
        <v>0.45977721535044846</v>
      </c>
      <c r="T263" s="26">
        <v>-1.2799999999999999E-4</v>
      </c>
      <c r="U263" s="26">
        <f t="shared" ca="1" si="77"/>
        <v>-3.4096240261940904E-5</v>
      </c>
      <c r="V263" s="25" t="e">
        <f ca="1">IF(agePb6U8(1/O263)&lt;1400,age7corr(1/O263,Q263,$W$2),agePb76(Q263))</f>
        <v>#NAME?</v>
      </c>
      <c r="W263" s="25" t="e">
        <f ca="1">IF(agePb6U8(1/O263)&lt;1400,ageer7corr(V263,1/O263,P263/O263*(1/O263),Q263,R263,$W$2,0.05),ageerPb76(Q263,R263))</f>
        <v>#NAME?</v>
      </c>
      <c r="X263" s="27" t="e">
        <f ca="1">agePb6U8(L263)/agePb7u5(J263)</f>
        <v>#NAME?</v>
      </c>
      <c r="Y263" s="25"/>
      <c r="Z263" s="25">
        <v>-2.7000000000000001E-3</v>
      </c>
      <c r="AA263" s="25">
        <v>1.7000000000000001E-4</v>
      </c>
      <c r="AB263" s="25">
        <v>-2.4700000000000001E-5</v>
      </c>
      <c r="AC263" s="25">
        <v>1.5999999999999999E-6</v>
      </c>
      <c r="AD263" s="25">
        <v>0.79200000000000004</v>
      </c>
      <c r="AE263" s="25">
        <v>-40485.83</v>
      </c>
      <c r="AF263" s="25">
        <v>2622.5639999999999</v>
      </c>
      <c r="AG263" s="25">
        <v>0.78700000000000003</v>
      </c>
      <c r="AH263" s="25">
        <v>0.03</v>
      </c>
      <c r="AI263" s="25">
        <v>-0.33062999999999998</v>
      </c>
      <c r="AJ263" s="25">
        <v>-1.2799999999999999E-4</v>
      </c>
      <c r="AK263" s="25">
        <v>3.4E-5</v>
      </c>
      <c r="AL263" s="25">
        <v>0.54</v>
      </c>
      <c r="AM263" s="25">
        <v>1.7999999999999999E-2</v>
      </c>
      <c r="AN263" s="25">
        <v>-2.75</v>
      </c>
      <c r="AO263" s="25">
        <v>0.17</v>
      </c>
      <c r="AP263" s="25">
        <v>-0.159</v>
      </c>
      <c r="AQ263" s="25">
        <v>0.01</v>
      </c>
      <c r="AR263" s="25">
        <v>-2.58</v>
      </c>
      <c r="AS263" s="25">
        <v>0.69</v>
      </c>
      <c r="AT263" s="25">
        <v>4933</v>
      </c>
      <c r="AU263" s="25">
        <v>67</v>
      </c>
      <c r="AV263" s="25">
        <v>56.800000000000004</v>
      </c>
      <c r="AW263" s="25">
        <v>4.1000000000000005</v>
      </c>
      <c r="AX263" s="25">
        <v>12</v>
      </c>
      <c r="AY263" s="25">
        <v>3.8</v>
      </c>
      <c r="AZ263" s="25">
        <v>-81.78697305</v>
      </c>
      <c r="BA263" s="25">
        <v>4.2848999999999996E-4</v>
      </c>
      <c r="BB263" s="25">
        <v>-42.198024330000003</v>
      </c>
      <c r="BC263" s="25">
        <v>2.7944999999999999E-4</v>
      </c>
      <c r="BD263" s="25">
        <v>-54.834299999999999</v>
      </c>
      <c r="BE263" s="25">
        <v>2.0492999999999997</v>
      </c>
      <c r="BF263" s="25">
        <v>-103.2904332</v>
      </c>
      <c r="BG263" s="25">
        <v>1.3040999999999999E-3</v>
      </c>
      <c r="BH263" s="25">
        <f t="shared" si="78"/>
        <v>0.53087491552896304</v>
      </c>
      <c r="BI263" s="25">
        <f t="shared" si="79"/>
        <v>1.984017351320428E-2</v>
      </c>
    </row>
    <row r="264" spans="1:61" s="24" customFormat="1" x14ac:dyDescent="0.2">
      <c r="A264" s="24" t="s">
        <v>536</v>
      </c>
      <c r="B264" s="24" t="s">
        <v>38</v>
      </c>
      <c r="C264" s="24" t="s">
        <v>537</v>
      </c>
      <c r="D264" s="24" t="s">
        <v>538</v>
      </c>
      <c r="E264" s="24">
        <v>74978</v>
      </c>
      <c r="F264" s="24">
        <v>53088</v>
      </c>
      <c r="G264" s="24" t="s">
        <v>538</v>
      </c>
      <c r="H264" s="25">
        <v>132</v>
      </c>
      <c r="I264" s="25">
        <v>65.2</v>
      </c>
      <c r="J264" s="26">
        <v>-5.3E-3</v>
      </c>
      <c r="K264" s="26">
        <f t="shared" ca="1" si="72"/>
        <v>-5.7977236912429687E-4</v>
      </c>
      <c r="L264" s="27">
        <v>-5.0000000000000002E-5</v>
      </c>
      <c r="M264" s="27">
        <f t="shared" ca="1" si="73"/>
        <v>-5.3935146240647199E-6</v>
      </c>
      <c r="N264" s="27">
        <v>0.94601999999999997</v>
      </c>
      <c r="O264" s="27">
        <v>-20000</v>
      </c>
      <c r="P264" s="27">
        <f t="shared" ca="1" si="74"/>
        <v>-2157.4058496258881</v>
      </c>
      <c r="Q264" s="26">
        <v>0.76</v>
      </c>
      <c r="R264" s="26">
        <f t="shared" ca="1" si="75"/>
        <v>3.0984512260159917E-2</v>
      </c>
      <c r="S264" s="27">
        <f t="shared" si="76"/>
        <v>0.36195673980465831</v>
      </c>
      <c r="T264" s="26">
        <v>-2.0799999999999999E-4</v>
      </c>
      <c r="U264" s="26">
        <f t="shared" ca="1" si="77"/>
        <v>-1.7501588499333423E-5</v>
      </c>
      <c r="V264" s="25" t="e">
        <f ca="1">IF(agePb6U8(1/O264)&lt;1400,age7corr(1/O264,Q264,$W$2),agePb76(Q264))</f>
        <v>#NAME?</v>
      </c>
      <c r="W264" s="25" t="e">
        <f ca="1">IF(agePb6U8(1/O264)&lt;1400,ageer7corr(V264,1/O264,P264/O264*(1/O264),Q264,R264,$W$2,0.05),ageerPb76(Q264,R264))</f>
        <v>#NAME?</v>
      </c>
      <c r="X264" s="27" t="e">
        <f ca="1">agePb6U8(L264)/agePb7u5(J264)</f>
        <v>#NAME?</v>
      </c>
      <c r="Y264" s="25"/>
      <c r="Z264" s="25">
        <v>-5.3E-3</v>
      </c>
      <c r="AA264" s="25">
        <v>5.6999999999999998E-4</v>
      </c>
      <c r="AB264" s="25">
        <v>-5.0000000000000002E-5</v>
      </c>
      <c r="AC264" s="25">
        <v>5.3000000000000001E-6</v>
      </c>
      <c r="AD264" s="25">
        <v>0.94601999999999997</v>
      </c>
      <c r="AE264" s="25">
        <v>-20000</v>
      </c>
      <c r="AF264" s="25">
        <v>2120</v>
      </c>
      <c r="AG264" s="25">
        <v>0.76</v>
      </c>
      <c r="AH264" s="25">
        <v>2.7E-2</v>
      </c>
      <c r="AI264" s="25">
        <v>1.6232E-2</v>
      </c>
      <c r="AJ264" s="25">
        <v>-2.0799999999999999E-4</v>
      </c>
      <c r="AK264" s="25">
        <v>1.7E-5</v>
      </c>
      <c r="AL264" s="25">
        <v>0.55600000000000005</v>
      </c>
      <c r="AM264" s="25">
        <v>0.02</v>
      </c>
      <c r="AN264" s="25">
        <v>-5.4</v>
      </c>
      <c r="AO264" s="25">
        <v>0.57999999999999996</v>
      </c>
      <c r="AP264" s="25">
        <v>-0.32200000000000001</v>
      </c>
      <c r="AQ264" s="25">
        <v>3.4000000000000002E-2</v>
      </c>
      <c r="AR264" s="25">
        <v>-4.2</v>
      </c>
      <c r="AS264" s="25">
        <v>0.35</v>
      </c>
      <c r="AT264" s="25">
        <v>4874</v>
      </c>
      <c r="AU264" s="25">
        <v>61</v>
      </c>
      <c r="AV264" s="25">
        <v>27.900000000000002</v>
      </c>
      <c r="AW264" s="25">
        <v>2.6</v>
      </c>
      <c r="AX264" s="25">
        <v>4.9899999999999993</v>
      </c>
      <c r="AY264" s="25">
        <v>0.33</v>
      </c>
      <c r="AZ264" s="25">
        <v>-81.801361619999994</v>
      </c>
      <c r="BA264" s="25">
        <v>5.3405999999999994E-4</v>
      </c>
      <c r="BB264" s="25">
        <v>-42.18961599</v>
      </c>
      <c r="BC264" s="25">
        <v>2.7944999999999999E-4</v>
      </c>
      <c r="BD264" s="25">
        <v>-56.635200000000005</v>
      </c>
      <c r="BE264" s="25">
        <v>2.0492999999999997</v>
      </c>
      <c r="BF264" s="25">
        <v>-103.3303014</v>
      </c>
      <c r="BG264" s="25">
        <v>1.3040999999999999E-3</v>
      </c>
      <c r="BH264" s="25">
        <f t="shared" si="78"/>
        <v>0.54809866256714512</v>
      </c>
      <c r="BI264" s="25">
        <f t="shared" si="79"/>
        <v>1.9832518601879196E-2</v>
      </c>
    </row>
    <row r="265" spans="1:61" s="28" customFormat="1" x14ac:dyDescent="0.2">
      <c r="A265" s="28" t="s">
        <v>347</v>
      </c>
      <c r="B265" s="28" t="s">
        <v>38</v>
      </c>
      <c r="C265" s="28" t="s">
        <v>348</v>
      </c>
      <c r="D265" s="28" t="s">
        <v>349</v>
      </c>
      <c r="E265" s="28">
        <v>76055</v>
      </c>
      <c r="F265" s="28">
        <v>54884</v>
      </c>
      <c r="G265" s="28" t="s">
        <v>349</v>
      </c>
      <c r="H265" s="29">
        <v>660</v>
      </c>
      <c r="I265" s="29">
        <v>154.5</v>
      </c>
      <c r="J265" s="30">
        <v>3.38</v>
      </c>
      <c r="K265" s="30">
        <f t="shared" ca="1" si="72"/>
        <v>0.44516262197089279</v>
      </c>
      <c r="L265" s="31">
        <v>0.221</v>
      </c>
      <c r="M265" s="31">
        <f t="shared" ca="1" si="73"/>
        <v>2.8346717623033535E-2</v>
      </c>
      <c r="N265" s="31">
        <v>0.99922</v>
      </c>
      <c r="O265" s="31">
        <v>4.5248869999999997</v>
      </c>
      <c r="P265" s="31">
        <f t="shared" ca="1" si="74"/>
        <v>0.5803877058919733</v>
      </c>
      <c r="Q265" s="30">
        <v>0.10994</v>
      </c>
      <c r="R265" s="30">
        <f t="shared" ca="1" si="75"/>
        <v>2.274009991182976E-3</v>
      </c>
      <c r="S265" s="31">
        <f t="shared" si="76"/>
        <v>0.10619565037072536</v>
      </c>
      <c r="T265" s="30">
        <v>8.1199999999999994E-2</v>
      </c>
      <c r="U265" s="30">
        <f t="shared" ca="1" si="77"/>
        <v>8.5555465050457177E-3</v>
      </c>
      <c r="V265" s="29" t="e">
        <f ca="1">IF(agePb6U8(1/O265)&lt;1400,age7corr(1/O265,Q265,$W$2),agePb76(Q265))</f>
        <v>#NAME?</v>
      </c>
      <c r="W265" s="29" t="e">
        <f ca="1">IF(agePb6U8(1/O265)&lt;1400,ageer7corr(V265,1/O265,P265/O265*(1/O265),Q265,R265,$W$2,0.05),ageerPb76(Q265,R265))</f>
        <v>#NAME?</v>
      </c>
      <c r="X265" s="31" t="e">
        <f ca="1">agePb6U8(L265)/agePb7u5(J265)</f>
        <v>#NAME?</v>
      </c>
      <c r="Y265" s="29"/>
      <c r="Z265" s="29">
        <v>3.38</v>
      </c>
      <c r="AA265" s="29">
        <v>0.44</v>
      </c>
      <c r="AB265" s="29">
        <v>0.221</v>
      </c>
      <c r="AC265" s="29">
        <v>2.8000000000000001E-2</v>
      </c>
      <c r="AD265" s="29">
        <v>0.99922</v>
      </c>
      <c r="AE265" s="29">
        <v>4.5248869999999997</v>
      </c>
      <c r="AF265" s="29">
        <v>0.57328880000000004</v>
      </c>
      <c r="AG265" s="29">
        <v>0.10994</v>
      </c>
      <c r="AH265" s="29">
        <v>5.8E-4</v>
      </c>
      <c r="AI265" s="29">
        <v>-0.53290000000000004</v>
      </c>
      <c r="AJ265" s="29">
        <v>8.1199999999999994E-2</v>
      </c>
      <c r="AK265" s="29">
        <v>8.3999999999999995E-3</v>
      </c>
      <c r="AL265" s="29">
        <v>11.33</v>
      </c>
      <c r="AM265" s="29">
        <v>0.65</v>
      </c>
      <c r="AN265" s="29">
        <v>1480</v>
      </c>
      <c r="AO265" s="29">
        <v>110</v>
      </c>
      <c r="AP265" s="29">
        <v>1280</v>
      </c>
      <c r="AQ265" s="29">
        <v>150</v>
      </c>
      <c r="AR265" s="29">
        <v>1580</v>
      </c>
      <c r="AS265" s="29">
        <v>160</v>
      </c>
      <c r="AT265" s="29">
        <v>1798.2</v>
      </c>
      <c r="AU265" s="29">
        <v>9.6999999999999993</v>
      </c>
      <c r="AV265" s="29">
        <v>141</v>
      </c>
      <c r="AW265" s="29">
        <v>22</v>
      </c>
      <c r="AX265" s="29">
        <v>11.88</v>
      </c>
      <c r="AY265" s="29">
        <v>0.53</v>
      </c>
      <c r="AZ265" s="29">
        <v>79239.600000000006</v>
      </c>
      <c r="BA265" s="29">
        <v>3974.4</v>
      </c>
      <c r="BB265" s="29">
        <v>120908.7</v>
      </c>
      <c r="BC265" s="29">
        <v>2980.8</v>
      </c>
      <c r="BD265" s="29">
        <v>1111590</v>
      </c>
      <c r="BE265" s="29">
        <v>26703</v>
      </c>
      <c r="BF265" s="29">
        <v>9.9981000000000009</v>
      </c>
      <c r="BG265" s="29">
        <v>4.968</v>
      </c>
      <c r="BH265" s="29">
        <f t="shared" si="78"/>
        <v>111180.12422360247</v>
      </c>
      <c r="BI265" s="29">
        <f t="shared" si="79"/>
        <v>55309.304599766583</v>
      </c>
    </row>
    <row r="266" spans="1:61" x14ac:dyDescent="0.2">
      <c r="A266" t="s">
        <v>539</v>
      </c>
      <c r="B266" t="s">
        <v>38</v>
      </c>
      <c r="C266" t="s">
        <v>540</v>
      </c>
      <c r="D266" t="s">
        <v>541</v>
      </c>
      <c r="E266">
        <v>75001</v>
      </c>
      <c r="F266">
        <v>53194</v>
      </c>
      <c r="G266" t="s">
        <v>541</v>
      </c>
      <c r="H266" s="1">
        <v>82</v>
      </c>
      <c r="I266" s="1">
        <v>34.1</v>
      </c>
      <c r="J266" s="11">
        <v>2.3069999999999999</v>
      </c>
      <c r="K266" s="11">
        <f t="shared" ca="1" si="72"/>
        <v>9.6715560278581858E-2</v>
      </c>
      <c r="L266" s="8">
        <v>0.19689999999999999</v>
      </c>
      <c r="M266" s="8">
        <f t="shared" ca="1" si="73"/>
        <v>5.1378832217168977E-3</v>
      </c>
      <c r="N266" s="8">
        <v>0.54362999999999995</v>
      </c>
      <c r="O266" s="9">
        <v>5.0787199999999997</v>
      </c>
      <c r="P266" s="9">
        <f t="shared" ca="1" si="74"/>
        <v>0.13252347003956846</v>
      </c>
      <c r="Q266" s="10">
        <v>8.43E-2</v>
      </c>
      <c r="R266" s="10">
        <f t="shared" ca="1" si="75"/>
        <v>2.6930644255197464E-3</v>
      </c>
      <c r="S266" s="9">
        <f t="shared" si="76"/>
        <v>0.20610157630742271</v>
      </c>
      <c r="T266" s="12">
        <v>7.2300000000000003E-2</v>
      </c>
      <c r="U266" s="12">
        <f t="shared" ca="1" si="77"/>
        <v>3.7869401896517985E-3</v>
      </c>
      <c r="V266" s="6" t="e">
        <f ca="1">IF(agePb6U8(1/O266)&lt;1400,age7corr(1/O266,Q266,$W$2),agePb76(Q266))</f>
        <v>#NAME?</v>
      </c>
      <c r="W266" s="6" t="e">
        <f ca="1">IF(agePb6U8(1/O266)&lt;1400,ageer7corr(V266,1/O266,P266/O266*(1/O266),Q266,R266,$W$2,0.05),ageerPb76(Q266,R266))</f>
        <v>#NAME?</v>
      </c>
      <c r="X266" s="4" t="e">
        <f ca="1">agePb6U8(L266)/agePb7u5(J266)</f>
        <v>#NAME?</v>
      </c>
      <c r="Z266" s="1">
        <v>2.3069999999999999</v>
      </c>
      <c r="AA266" s="1">
        <v>8.5000000000000006E-2</v>
      </c>
      <c r="AB266" s="1">
        <v>0.19689999999999999</v>
      </c>
      <c r="AC266" s="1">
        <v>3.3E-3</v>
      </c>
      <c r="AD266" s="1">
        <v>0.54362999999999995</v>
      </c>
      <c r="AE266" s="1">
        <v>5.0787199999999997</v>
      </c>
      <c r="AF266" s="1">
        <v>8.5118219999999994E-2</v>
      </c>
      <c r="AG266" s="1">
        <v>8.43E-2</v>
      </c>
      <c r="AH266" s="1">
        <v>2.0999999999999999E-3</v>
      </c>
      <c r="AI266" s="1">
        <v>0.14502999999999999</v>
      </c>
      <c r="AJ266" s="1">
        <v>7.2300000000000003E-2</v>
      </c>
      <c r="AK266" s="1">
        <v>3.5000000000000001E-3</v>
      </c>
      <c r="AL266" s="1">
        <v>7.35</v>
      </c>
      <c r="AM266" s="1">
        <v>0.3</v>
      </c>
      <c r="AN266" s="1">
        <v>1213</v>
      </c>
      <c r="AO266" s="1">
        <v>26</v>
      </c>
      <c r="AP266" s="1">
        <v>1159</v>
      </c>
      <c r="AQ266" s="1">
        <v>17</v>
      </c>
      <c r="AR266" s="1">
        <v>1411</v>
      </c>
      <c r="AS266" s="1">
        <v>65</v>
      </c>
      <c r="AT266" s="1">
        <v>1297</v>
      </c>
      <c r="AU266" s="1">
        <v>47</v>
      </c>
      <c r="AV266" s="1">
        <v>17.420000000000002</v>
      </c>
      <c r="AW266" s="1">
        <v>0.8</v>
      </c>
      <c r="AX266" s="1">
        <v>2.605</v>
      </c>
      <c r="AY266" s="1">
        <v>8.2000000000000003E-2</v>
      </c>
      <c r="AZ266" s="1">
        <v>15152.4</v>
      </c>
      <c r="BA266" s="1">
        <v>1055.7</v>
      </c>
      <c r="BB266" s="1">
        <v>11457.45</v>
      </c>
      <c r="BC266" s="1">
        <v>589.94999999999993</v>
      </c>
      <c r="BD266" s="1">
        <v>135253.79999999999</v>
      </c>
      <c r="BE266" s="1">
        <v>3353.4</v>
      </c>
      <c r="BF266" s="1">
        <v>49.058999999999997</v>
      </c>
      <c r="BG266" s="1">
        <v>18.63</v>
      </c>
      <c r="BH266" s="1">
        <f t="shared" si="78"/>
        <v>2756.9620253164558</v>
      </c>
      <c r="BI266" s="1">
        <f t="shared" si="79"/>
        <v>1049.1766366187728</v>
      </c>
    </row>
    <row r="267" spans="1:61" x14ac:dyDescent="0.2">
      <c r="A267" t="s">
        <v>542</v>
      </c>
      <c r="B267" t="s">
        <v>38</v>
      </c>
      <c r="C267" t="s">
        <v>543</v>
      </c>
      <c r="D267" t="s">
        <v>544</v>
      </c>
      <c r="E267">
        <v>75033</v>
      </c>
      <c r="F267">
        <v>53788</v>
      </c>
      <c r="G267" t="s">
        <v>544</v>
      </c>
      <c r="H267" s="1">
        <v>190</v>
      </c>
      <c r="I267" s="1">
        <v>44.5</v>
      </c>
      <c r="J267" s="11">
        <v>1.8109999999999999</v>
      </c>
      <c r="K267" s="11">
        <f t="shared" ca="1" si="72"/>
        <v>6.4194146150564221E-2</v>
      </c>
      <c r="L267" s="8">
        <v>0.1757</v>
      </c>
      <c r="M267" s="8">
        <f t="shared" ca="1" si="73"/>
        <v>6.3591033959198998E-3</v>
      </c>
      <c r="N267" s="8">
        <v>0.99624999999999997</v>
      </c>
      <c r="O267" s="9">
        <v>5.6915199999999997</v>
      </c>
      <c r="P267" s="9">
        <f t="shared" ca="1" si="74"/>
        <v>0.2059929590766636</v>
      </c>
      <c r="Q267" s="10">
        <v>7.4490000000000001E-2</v>
      </c>
      <c r="R267" s="10">
        <f t="shared" ca="1" si="75"/>
        <v>1.517762840499134E-3</v>
      </c>
      <c r="S267" s="9">
        <f t="shared" si="76"/>
        <v>0.32938701655807151</v>
      </c>
      <c r="T267" s="12">
        <v>5.7099999999999998E-2</v>
      </c>
      <c r="U267" s="12">
        <f t="shared" ca="1" si="77"/>
        <v>1.8066997536945644E-3</v>
      </c>
      <c r="V267" s="6" t="e">
        <f ca="1">IF(agePb6U8(1/O267)&lt;1400,age7corr(1/O267,Q267,$W$2),agePb76(Q267))</f>
        <v>#NAME?</v>
      </c>
      <c r="W267" s="6" t="e">
        <f ca="1">IF(agePb6U8(1/O267)&lt;1400,ageer7corr(V267,1/O267,P267/O267*(1/O267),Q267,R267,$W$2,0.05),ageerPb76(Q267,R267))</f>
        <v>#NAME?</v>
      </c>
      <c r="X267" s="4" t="e">
        <f ca="1">agePb6U8(L267)/agePb7u5(J267)</f>
        <v>#NAME?</v>
      </c>
      <c r="Z267" s="1">
        <v>1.8109999999999999</v>
      </c>
      <c r="AA267" s="1">
        <v>5.2999999999999999E-2</v>
      </c>
      <c r="AB267" s="1">
        <v>0.1757</v>
      </c>
      <c r="AC267" s="1">
        <v>5.3E-3</v>
      </c>
      <c r="AD267" s="1">
        <v>0.99624999999999997</v>
      </c>
      <c r="AE267" s="1">
        <v>5.6915199999999997</v>
      </c>
      <c r="AF267" s="1">
        <v>0.171685</v>
      </c>
      <c r="AG267" s="1">
        <v>7.4490000000000001E-2</v>
      </c>
      <c r="AH267" s="1">
        <v>2.9E-4</v>
      </c>
      <c r="AI267" s="1">
        <v>7.9924999999999996E-3</v>
      </c>
      <c r="AJ267" s="1">
        <v>5.7099999999999998E-2</v>
      </c>
      <c r="AK267" s="1">
        <v>1.4E-3</v>
      </c>
      <c r="AL267" s="1">
        <v>14.68</v>
      </c>
      <c r="AM267" s="1">
        <v>0.1</v>
      </c>
      <c r="AN267" s="1">
        <v>1049</v>
      </c>
      <c r="AO267" s="1">
        <v>18</v>
      </c>
      <c r="AP267" s="1">
        <v>1043</v>
      </c>
      <c r="AQ267" s="1">
        <v>29</v>
      </c>
      <c r="AR267" s="1">
        <v>1123</v>
      </c>
      <c r="AS267" s="1">
        <v>27</v>
      </c>
      <c r="AT267" s="1">
        <v>1054.7</v>
      </c>
      <c r="AU267" s="1">
        <v>8</v>
      </c>
      <c r="AV267" s="1">
        <v>40.4</v>
      </c>
      <c r="AW267" s="1">
        <v>1.8</v>
      </c>
      <c r="AX267" s="1">
        <v>3.4099999999999997</v>
      </c>
      <c r="AY267" s="1">
        <v>0.12000000000000001</v>
      </c>
      <c r="AZ267" s="1">
        <v>15344.91</v>
      </c>
      <c r="BA267" s="1">
        <v>484.38</v>
      </c>
      <c r="BB267" s="1">
        <v>20530.260000000002</v>
      </c>
      <c r="BC267" s="1">
        <v>534.05999999999995</v>
      </c>
      <c r="BD267" s="1">
        <v>279450</v>
      </c>
      <c r="BE267" s="1">
        <v>6831</v>
      </c>
      <c r="BF267" s="1">
        <v>-6.8310000000000004</v>
      </c>
      <c r="BG267" s="1">
        <v>7.4519999999999991</v>
      </c>
      <c r="BH267" s="1">
        <f t="shared" si="78"/>
        <v>-40909.090909090904</v>
      </c>
      <c r="BI267" s="1">
        <f t="shared" si="79"/>
        <v>-44639.301471288112</v>
      </c>
    </row>
    <row r="268" spans="1:61" x14ac:dyDescent="0.2">
      <c r="A268" t="s">
        <v>545</v>
      </c>
      <c r="B268" t="s">
        <v>38</v>
      </c>
      <c r="C268" t="s">
        <v>546</v>
      </c>
      <c r="D268" t="s">
        <v>547</v>
      </c>
      <c r="E268">
        <v>74925</v>
      </c>
      <c r="F268">
        <v>54414</v>
      </c>
      <c r="G268" t="s">
        <v>547</v>
      </c>
      <c r="H268" s="1">
        <v>19.53</v>
      </c>
      <c r="I268" s="1">
        <v>8.1</v>
      </c>
      <c r="J268" s="11">
        <v>2.895</v>
      </c>
      <c r="K268" s="11">
        <f t="shared" ca="1" si="72"/>
        <v>9.7141185909993918E-2</v>
      </c>
      <c r="L268" s="8">
        <v>0.2283</v>
      </c>
      <c r="M268" s="8">
        <f t="shared" ca="1" si="73"/>
        <v>6.0702846720726376E-3</v>
      </c>
      <c r="N268" s="8">
        <v>0.74834000000000001</v>
      </c>
      <c r="O268" s="9">
        <v>4.3802009999999996</v>
      </c>
      <c r="P268" s="9">
        <f t="shared" ca="1" si="74"/>
        <v>0.11646547625230405</v>
      </c>
      <c r="Q268" s="10">
        <v>9.0899999999999995E-2</v>
      </c>
      <c r="R268" s="10">
        <f t="shared" ca="1" si="75"/>
        <v>2.3569310554193137E-3</v>
      </c>
      <c r="S268" s="9">
        <f t="shared" si="76"/>
        <v>0.36315981840390449</v>
      </c>
      <c r="T268" s="12">
        <v>7.8899999999999998E-2</v>
      </c>
      <c r="U268" s="12">
        <f t="shared" ca="1" si="77"/>
        <v>4.2071467766171414E-3</v>
      </c>
      <c r="V268" s="6" t="e">
        <f ca="1">IF(agePb6U8(1/O268)&lt;1400,age7corr(1/O268,Q268,$W$2),agePb76(Q268))</f>
        <v>#NAME?</v>
      </c>
      <c r="W268" s="6" t="e">
        <f ca="1">IF(agePb6U8(1/O268)&lt;1400,ageer7corr(V268,1/O268,P268/O268*(1/O268),Q268,R268,$W$2,0.05),ageerPb76(Q268,R268))</f>
        <v>#NAME?</v>
      </c>
      <c r="X268" s="4" t="e">
        <f ca="1">agePb6U8(L268)/agePb7u5(J268)</f>
        <v>#NAME?</v>
      </c>
      <c r="Z268" s="1">
        <v>2.895</v>
      </c>
      <c r="AA268" s="1">
        <v>7.8E-2</v>
      </c>
      <c r="AB268" s="1">
        <v>0.2283</v>
      </c>
      <c r="AC268" s="1">
        <v>4.0000000000000001E-3</v>
      </c>
      <c r="AD268" s="1">
        <v>0.74834000000000001</v>
      </c>
      <c r="AE268" s="1">
        <v>4.3802009999999996</v>
      </c>
      <c r="AF268" s="1">
        <v>7.6744660000000006E-2</v>
      </c>
      <c r="AG268" s="1">
        <v>9.0899999999999995E-2</v>
      </c>
      <c r="AH268" s="1">
        <v>1.5E-3</v>
      </c>
      <c r="AI268" s="1">
        <v>1.5429E-3</v>
      </c>
      <c r="AJ268" s="1">
        <v>7.8899999999999998E-2</v>
      </c>
      <c r="AK268" s="1">
        <v>3.8999999999999998E-3</v>
      </c>
      <c r="AL268" s="1">
        <v>7.68</v>
      </c>
      <c r="AM268" s="1">
        <v>0.11</v>
      </c>
      <c r="AN268" s="1">
        <v>1380</v>
      </c>
      <c r="AO268" s="1">
        <v>20</v>
      </c>
      <c r="AP268" s="1">
        <v>1325</v>
      </c>
      <c r="AQ268" s="1">
        <v>21</v>
      </c>
      <c r="AR268" s="1">
        <v>1534</v>
      </c>
      <c r="AS268" s="1">
        <v>73</v>
      </c>
      <c r="AT268" s="1">
        <v>1443</v>
      </c>
      <c r="AU268" s="1">
        <v>31</v>
      </c>
      <c r="AV268" s="1">
        <v>4.1500000000000004</v>
      </c>
      <c r="AW268" s="1">
        <v>0.17</v>
      </c>
      <c r="AX268" s="1">
        <v>0.62</v>
      </c>
      <c r="AY268" s="1">
        <v>3.2000000000000001E-2</v>
      </c>
      <c r="AZ268" s="1">
        <v>3968.19</v>
      </c>
      <c r="BA268" s="1">
        <v>124.2</v>
      </c>
      <c r="BB268" s="1">
        <v>3403.0799999999995</v>
      </c>
      <c r="BC268" s="1">
        <v>111.78</v>
      </c>
      <c r="BD268" s="1">
        <v>37943.1</v>
      </c>
      <c r="BE268" s="1">
        <v>1055.7</v>
      </c>
      <c r="BF268" s="1">
        <v>0.49680000000000007</v>
      </c>
      <c r="BG268" s="1">
        <v>6.8310000000000004</v>
      </c>
      <c r="BH268" s="1">
        <f t="shared" si="78"/>
        <v>76374.999999999985</v>
      </c>
      <c r="BI268" s="1">
        <f t="shared" si="79"/>
        <v>1050158.3999754807</v>
      </c>
    </row>
    <row r="269" spans="1:61" x14ac:dyDescent="0.2">
      <c r="A269" t="s">
        <v>548</v>
      </c>
      <c r="B269" t="s">
        <v>38</v>
      </c>
      <c r="C269" t="s">
        <v>549</v>
      </c>
      <c r="D269" t="s">
        <v>550</v>
      </c>
      <c r="E269">
        <v>75089</v>
      </c>
      <c r="F269">
        <v>54631</v>
      </c>
      <c r="G269" t="s">
        <v>550</v>
      </c>
      <c r="H269" s="1">
        <v>264</v>
      </c>
      <c r="I269" s="1">
        <v>82.7</v>
      </c>
      <c r="J269" s="11">
        <v>2.1789999999999998</v>
      </c>
      <c r="K269" s="11">
        <f t="shared" ca="1" si="72"/>
        <v>8.5018917894783858E-2</v>
      </c>
      <c r="L269" s="8">
        <v>0.1973</v>
      </c>
      <c r="M269" s="8">
        <f t="shared" ca="1" si="73"/>
        <v>7.5187044096705919E-3</v>
      </c>
      <c r="N269" s="8">
        <v>0.99638000000000004</v>
      </c>
      <c r="O269" s="9">
        <v>5.0684240000000003</v>
      </c>
      <c r="P269" s="9">
        <f t="shared" ca="1" si="74"/>
        <v>0.19314740717990597</v>
      </c>
      <c r="Q269" s="10">
        <v>7.9979999999999996E-2</v>
      </c>
      <c r="R269" s="10">
        <f t="shared" ca="1" si="75"/>
        <v>1.6418343887250014E-3</v>
      </c>
      <c r="S269" s="9">
        <f t="shared" si="76"/>
        <v>0.43142368136128695</v>
      </c>
      <c r="T269" s="12">
        <v>6.5199999999999994E-2</v>
      </c>
      <c r="U269" s="12">
        <f t="shared" ca="1" si="77"/>
        <v>2.6439394849353116E-3</v>
      </c>
      <c r="V269" s="6" t="e">
        <f ca="1">IF(agePb6U8(1/O269)&lt;1400,age7corr(1/O269,Q269,$W$2),agePb76(Q269))</f>
        <v>#NAME?</v>
      </c>
      <c r="W269" s="6" t="e">
        <f ca="1">IF(agePb6U8(1/O269)&lt;1400,ageer7corr(V269,1/O269,P269/O269*(1/O269),Q269,R269,$W$2,0.05),ageerPb76(Q269,R269))</f>
        <v>#NAME?</v>
      </c>
      <c r="X269" s="4" t="e">
        <f ca="1">agePb6U8(L269)/agePb7u5(J269)</f>
        <v>#NAME?</v>
      </c>
      <c r="Z269" s="1">
        <v>2.1789999999999998</v>
      </c>
      <c r="AA269" s="1">
        <v>7.2999999999999995E-2</v>
      </c>
      <c r="AB269" s="1">
        <v>0.1973</v>
      </c>
      <c r="AC269" s="1">
        <v>6.4000000000000003E-3</v>
      </c>
      <c r="AD269" s="1">
        <v>0.99638000000000004</v>
      </c>
      <c r="AE269" s="1">
        <v>5.0684240000000003</v>
      </c>
      <c r="AF269" s="1">
        <v>0.1644091</v>
      </c>
      <c r="AG269" s="1">
        <v>7.9979999999999996E-2</v>
      </c>
      <c r="AH269" s="1">
        <v>3.6999999999999999E-4</v>
      </c>
      <c r="AI269" s="1">
        <v>6.9778000000000001E-3</v>
      </c>
      <c r="AJ269" s="1">
        <v>6.5199999999999994E-2</v>
      </c>
      <c r="AK269" s="1">
        <v>2.3E-3</v>
      </c>
      <c r="AL269" s="1">
        <v>10.808</v>
      </c>
      <c r="AM269" s="1">
        <v>4.9000000000000002E-2</v>
      </c>
      <c r="AN269" s="1">
        <v>1173</v>
      </c>
      <c r="AO269" s="1">
        <v>23</v>
      </c>
      <c r="AP269" s="1">
        <v>1160</v>
      </c>
      <c r="AQ269" s="1">
        <v>34</v>
      </c>
      <c r="AR269" s="1">
        <v>1276</v>
      </c>
      <c r="AS269" s="1">
        <v>43</v>
      </c>
      <c r="AT269" s="1">
        <v>1196.4000000000001</v>
      </c>
      <c r="AU269" s="1">
        <v>9</v>
      </c>
      <c r="AV269" s="1">
        <v>56</v>
      </c>
      <c r="AW269" s="1">
        <v>3.1</v>
      </c>
      <c r="AX269" s="1">
        <v>6.32</v>
      </c>
      <c r="AY269" s="1">
        <v>0.37</v>
      </c>
      <c r="AZ269" s="1">
        <v>32354.100000000002</v>
      </c>
      <c r="BA269" s="1">
        <v>1366.1999999999998</v>
      </c>
      <c r="BB269" s="1">
        <v>34217.1</v>
      </c>
      <c r="BC269" s="1">
        <v>1366.1999999999998</v>
      </c>
      <c r="BD269" s="1">
        <v>434700</v>
      </c>
      <c r="BE269" s="1">
        <v>18009</v>
      </c>
      <c r="BF269" s="1">
        <v>43.47</v>
      </c>
      <c r="BG269" s="1">
        <v>8.6940000000000008</v>
      </c>
      <c r="BH269" s="1">
        <f t="shared" si="78"/>
        <v>10000</v>
      </c>
      <c r="BI269" s="1">
        <f t="shared" si="79"/>
        <v>2042.4575033672613</v>
      </c>
    </row>
    <row r="270" spans="1:61" x14ac:dyDescent="0.2">
      <c r="A270" t="s">
        <v>551</v>
      </c>
      <c r="B270" t="s">
        <v>38</v>
      </c>
      <c r="C270" t="s">
        <v>552</v>
      </c>
      <c r="D270" t="s">
        <v>553</v>
      </c>
      <c r="E270">
        <v>75228</v>
      </c>
      <c r="F270">
        <v>55723</v>
      </c>
      <c r="G270" t="s">
        <v>553</v>
      </c>
      <c r="H270" s="1">
        <v>188</v>
      </c>
      <c r="I270" s="1">
        <v>64.599999999999994</v>
      </c>
      <c r="J270" s="11">
        <v>1.9690000000000001</v>
      </c>
      <c r="K270" s="11">
        <f t="shared" ca="1" si="72"/>
        <v>7.3449196047336004E-2</v>
      </c>
      <c r="L270" s="8">
        <v>0.18690000000000001</v>
      </c>
      <c r="M270" s="8">
        <f t="shared" ca="1" si="73"/>
        <v>6.0052180643170644E-3</v>
      </c>
      <c r="N270" s="8">
        <v>0.97702</v>
      </c>
      <c r="O270" s="9">
        <v>5.3504550000000002</v>
      </c>
      <c r="P270" s="9">
        <f t="shared" ca="1" si="74"/>
        <v>0.17191356329495935</v>
      </c>
      <c r="Q270" s="10">
        <v>7.6350000000000001E-2</v>
      </c>
      <c r="R270" s="10">
        <f t="shared" ca="1" si="75"/>
        <v>1.6480682631493152E-3</v>
      </c>
      <c r="S270" s="9">
        <f t="shared" si="76"/>
        <v>0.47307964583229478</v>
      </c>
      <c r="T270" s="12">
        <v>6.13E-2</v>
      </c>
      <c r="U270" s="12">
        <f t="shared" ca="1" si="77"/>
        <v>1.5821112476687596E-3</v>
      </c>
      <c r="V270" s="6" t="e">
        <f ca="1">IF(agePb6U8(1/O270)&lt;1400,age7corr(1/O270,Q270,$W$2),agePb76(Q270))</f>
        <v>#NAME?</v>
      </c>
      <c r="W270" s="6" t="e">
        <f ca="1">IF(agePb6U8(1/O270)&lt;1400,ageer7corr(V270,1/O270,P270/O270*(1/O270),Q270,R270,$W$2,0.05),ageerPb76(Q270,R270))</f>
        <v>#NAME?</v>
      </c>
      <c r="X270" s="4" t="e">
        <f ca="1">agePb6U8(L270)/agePb7u5(J270)</f>
        <v>#NAME?</v>
      </c>
      <c r="Z270" s="1">
        <v>1.9690000000000001</v>
      </c>
      <c r="AA270" s="1">
        <v>6.2E-2</v>
      </c>
      <c r="AB270" s="1">
        <v>0.18690000000000001</v>
      </c>
      <c r="AC270" s="1">
        <v>4.7000000000000002E-3</v>
      </c>
      <c r="AD270" s="1">
        <v>0.97702</v>
      </c>
      <c r="AE270" s="1">
        <v>5.3504550000000002</v>
      </c>
      <c r="AF270" s="1">
        <v>0.13454859999999999</v>
      </c>
      <c r="AG270" s="1">
        <v>7.6350000000000001E-2</v>
      </c>
      <c r="AH270" s="1">
        <v>6.2E-4</v>
      </c>
      <c r="AI270" s="1">
        <v>0.37645000000000001</v>
      </c>
      <c r="AJ270" s="1">
        <v>6.13E-2</v>
      </c>
      <c r="AK270" s="1">
        <v>1E-3</v>
      </c>
      <c r="AL270" s="1">
        <v>9.8000000000000007</v>
      </c>
      <c r="AM270" s="1">
        <v>1.6</v>
      </c>
      <c r="AN270" s="1">
        <v>1104</v>
      </c>
      <c r="AO270" s="1">
        <v>21</v>
      </c>
      <c r="AP270" s="1">
        <v>1105</v>
      </c>
      <c r="AQ270" s="1">
        <v>25</v>
      </c>
      <c r="AR270" s="1">
        <v>1202</v>
      </c>
      <c r="AS270" s="1">
        <v>19</v>
      </c>
      <c r="AT270" s="1">
        <v>1104</v>
      </c>
      <c r="AU270" s="1">
        <v>16</v>
      </c>
      <c r="AV270" s="1">
        <v>40</v>
      </c>
      <c r="AW270" s="1">
        <v>6.8</v>
      </c>
      <c r="AX270" s="1">
        <v>4.9399999999999995</v>
      </c>
      <c r="AY270" s="1">
        <v>0.28999999999999998</v>
      </c>
      <c r="AZ270" s="1">
        <v>24032.699999999997</v>
      </c>
      <c r="BA270" s="1">
        <v>1055.7</v>
      </c>
      <c r="BB270" s="1">
        <v>21672.9</v>
      </c>
      <c r="BC270" s="1">
        <v>3105</v>
      </c>
      <c r="BD270" s="1">
        <v>288764.99999999994</v>
      </c>
      <c r="BE270" s="1">
        <v>42849</v>
      </c>
      <c r="BF270" s="1">
        <v>-55.89</v>
      </c>
      <c r="BG270" s="1">
        <v>6.8310000000000004</v>
      </c>
      <c r="BH270" s="1">
        <f t="shared" si="78"/>
        <v>-5166.6666666666652</v>
      </c>
      <c r="BI270" s="1">
        <f t="shared" si="79"/>
        <v>-993.25054202442993</v>
      </c>
    </row>
    <row r="271" spans="1:61" x14ac:dyDescent="0.2">
      <c r="A271" t="s">
        <v>560</v>
      </c>
      <c r="B271" t="s">
        <v>38</v>
      </c>
      <c r="C271" t="s">
        <v>561</v>
      </c>
      <c r="D271" t="s">
        <v>562</v>
      </c>
      <c r="E271">
        <v>75244</v>
      </c>
      <c r="F271">
        <v>55901</v>
      </c>
      <c r="G271" t="s">
        <v>562</v>
      </c>
      <c r="H271" s="1">
        <v>530</v>
      </c>
      <c r="I271" s="1">
        <v>176.7</v>
      </c>
      <c r="J271" s="11">
        <v>2.09</v>
      </c>
      <c r="K271" s="11">
        <f t="shared" ca="1" si="72"/>
        <v>5.0874748156624822E-2</v>
      </c>
      <c r="L271" s="8">
        <v>0.18840000000000001</v>
      </c>
      <c r="M271" s="8">
        <f t="shared" ca="1" si="73"/>
        <v>4.8793261829887949E-3</v>
      </c>
      <c r="N271" s="8">
        <v>0.99743999999999999</v>
      </c>
      <c r="O271" s="9">
        <v>5.3078560000000001</v>
      </c>
      <c r="P271" s="9">
        <f t="shared" ca="1" si="74"/>
        <v>0.13746688087762557</v>
      </c>
      <c r="Q271" s="10">
        <v>8.0369999999999997E-2</v>
      </c>
      <c r="R271" s="10">
        <f t="shared" ca="1" si="75"/>
        <v>1.6517066204383875E-3</v>
      </c>
      <c r="S271" s="9">
        <f t="shared" si="76"/>
        <v>0.60096622394995147</v>
      </c>
      <c r="T271" s="12">
        <v>6.5199999999999994E-2</v>
      </c>
      <c r="U271" s="12">
        <f t="shared" ca="1" si="77"/>
        <v>2.2227046587434867E-3</v>
      </c>
      <c r="V271" s="6" t="e">
        <f ca="1">IF(agePb6U8(1/O271)&lt;1400,age7corr(1/O271,Q271,$W$2),agePb76(Q271))</f>
        <v>#NAME?</v>
      </c>
      <c r="W271" s="6" t="e">
        <f ca="1">IF(agePb6U8(1/O271)&lt;1400,ageer7corr(V271,1/O271,P271/O271*(1/O271),Q271,R271,$W$2,0.05),ageerPb76(Q271,R271))</f>
        <v>#NAME?</v>
      </c>
      <c r="X271" s="4" t="e">
        <f ca="1">agePb6U8(L271)/agePb7u5(J271)</f>
        <v>#NAME?</v>
      </c>
      <c r="Z271" s="1">
        <v>2.09</v>
      </c>
      <c r="AA271" s="1">
        <v>2.9000000000000001E-2</v>
      </c>
      <c r="AB271" s="1">
        <v>0.18840000000000001</v>
      </c>
      <c r="AC271" s="1">
        <v>3.0999999999999999E-3</v>
      </c>
      <c r="AD271" s="1">
        <v>0.99743999999999999</v>
      </c>
      <c r="AE271" s="1">
        <v>5.3078560000000001</v>
      </c>
      <c r="AF271" s="1">
        <v>8.7337330000000005E-2</v>
      </c>
      <c r="AG271" s="1">
        <v>8.0369999999999997E-2</v>
      </c>
      <c r="AH271" s="1">
        <v>3.8000000000000002E-4</v>
      </c>
      <c r="AI271" s="1">
        <v>0.32727000000000001</v>
      </c>
      <c r="AJ271" s="1">
        <v>6.5199999999999994E-2</v>
      </c>
      <c r="AK271" s="1">
        <v>1.8E-3</v>
      </c>
      <c r="AL271" s="1">
        <v>9.5449999999999999</v>
      </c>
      <c r="AM271" s="1">
        <v>4.4999999999999998E-2</v>
      </c>
      <c r="AN271" s="1">
        <v>1145.2</v>
      </c>
      <c r="AO271" s="1">
        <v>9.4</v>
      </c>
      <c r="AP271" s="1">
        <v>1112</v>
      </c>
      <c r="AQ271" s="1">
        <v>17</v>
      </c>
      <c r="AR271" s="1">
        <v>1276</v>
      </c>
      <c r="AS271" s="1">
        <v>34</v>
      </c>
      <c r="AT271" s="1">
        <v>1205.9000000000001</v>
      </c>
      <c r="AU271" s="1">
        <v>9.3000000000000007</v>
      </c>
      <c r="AV271" s="1">
        <v>112.60000000000001</v>
      </c>
      <c r="AW271" s="1">
        <v>2.9</v>
      </c>
      <c r="AX271" s="1">
        <v>13.51</v>
      </c>
      <c r="AY271" s="1">
        <v>0.72000000000000008</v>
      </c>
      <c r="AZ271" s="1">
        <v>69241.500000000015</v>
      </c>
      <c r="BA271" s="1">
        <v>3105</v>
      </c>
      <c r="BB271" s="1">
        <v>65018.7</v>
      </c>
      <c r="BC271" s="1">
        <v>2856.6</v>
      </c>
      <c r="BD271" s="1">
        <v>821583</v>
      </c>
      <c r="BE271" s="1">
        <v>35397</v>
      </c>
      <c r="BF271" s="1">
        <v>-1.8630000000000001E-2</v>
      </c>
      <c r="BG271" s="1">
        <v>5.0922000000000001</v>
      </c>
      <c r="BH271" s="1">
        <f t="shared" si="78"/>
        <v>-44100000</v>
      </c>
      <c r="BI271" s="1">
        <f t="shared" si="79"/>
        <v>-12054000149.742821</v>
      </c>
    </row>
    <row r="272" spans="1:61" x14ac:dyDescent="0.2">
      <c r="A272" t="s">
        <v>350</v>
      </c>
      <c r="B272" t="s">
        <v>38</v>
      </c>
      <c r="C272" t="s">
        <v>351</v>
      </c>
      <c r="D272" t="s">
        <v>352</v>
      </c>
      <c r="E272">
        <v>76090</v>
      </c>
      <c r="F272">
        <v>55213</v>
      </c>
      <c r="G272" t="s">
        <v>352</v>
      </c>
      <c r="H272" s="1">
        <v>74</v>
      </c>
      <c r="I272" s="1">
        <v>32.4</v>
      </c>
      <c r="J272" s="11">
        <v>9.69</v>
      </c>
      <c r="K272" s="11">
        <f t="shared" ca="1" si="72"/>
        <v>0.37411019766908254</v>
      </c>
      <c r="L272" s="8">
        <v>0.42299999999999999</v>
      </c>
      <c r="M272" s="8">
        <f t="shared" ca="1" si="73"/>
        <v>1.6357615963214198E-2</v>
      </c>
      <c r="N272" s="8">
        <v>0.99185999999999996</v>
      </c>
      <c r="O272" s="9">
        <v>2.3640659999999998</v>
      </c>
      <c r="P272" s="9">
        <f t="shared" ca="1" si="74"/>
        <v>9.1419592596069355E-2</v>
      </c>
      <c r="Q272" s="10">
        <v>0.16494</v>
      </c>
      <c r="R272" s="10">
        <f t="shared" ca="1" si="75"/>
        <v>3.3584194854127439E-3</v>
      </c>
      <c r="S272" s="9">
        <f t="shared" si="76"/>
        <v>0.48005332338180901</v>
      </c>
      <c r="T272" s="12">
        <v>0.13780000000000001</v>
      </c>
      <c r="U272" s="12">
        <f t="shared" ca="1" si="77"/>
        <v>4.9401959475308269E-3</v>
      </c>
      <c r="V272" s="6" t="e">
        <f ca="1">IF(agePb6U8(1/O272)&lt;1400,age7corr(1/O272,Q272,$W$2),agePb76(Q272))</f>
        <v>#NAME?</v>
      </c>
      <c r="W272" s="6" t="e">
        <f ca="1">IF(agePb6U8(1/O272)&lt;1400,ageer7corr(V272,1/O272,P272/O272*(1/O272),Q272,R272,$W$2,0.05),ageerPb76(Q272,R272))</f>
        <v>#NAME?</v>
      </c>
      <c r="X272" s="4" t="e">
        <f ca="1">agePb6U8(L272)/agePb7u5(J272)</f>
        <v>#NAME?</v>
      </c>
      <c r="Z272" s="1">
        <v>9.69</v>
      </c>
      <c r="AA272" s="1">
        <v>0.32</v>
      </c>
      <c r="AB272" s="1">
        <v>0.42299999999999999</v>
      </c>
      <c r="AC272" s="1">
        <v>1.4E-2</v>
      </c>
      <c r="AD272" s="1">
        <v>0.99185999999999996</v>
      </c>
      <c r="AE272" s="1">
        <v>2.3640659999999998</v>
      </c>
      <c r="AF272" s="1">
        <v>7.824333E-2</v>
      </c>
      <c r="AG272" s="1">
        <v>0.16494</v>
      </c>
      <c r="AH272" s="1">
        <v>6.3000000000000003E-4</v>
      </c>
      <c r="AI272" s="1">
        <v>-9.1481999999999994E-2</v>
      </c>
      <c r="AJ272" s="1">
        <v>0.13780000000000001</v>
      </c>
      <c r="AK272" s="1">
        <v>4.1000000000000003E-3</v>
      </c>
      <c r="AL272" s="1">
        <v>7.2249999999999996</v>
      </c>
      <c r="AM272" s="1">
        <v>3.4000000000000002E-2</v>
      </c>
      <c r="AN272" s="1">
        <v>2404</v>
      </c>
      <c r="AO272" s="1">
        <v>30</v>
      </c>
      <c r="AP272" s="1">
        <v>2274</v>
      </c>
      <c r="AQ272" s="1">
        <v>61</v>
      </c>
      <c r="AR272" s="1">
        <v>2608</v>
      </c>
      <c r="AS272" s="1">
        <v>73</v>
      </c>
      <c r="AT272" s="1">
        <v>2506.9</v>
      </c>
      <c r="AU272" s="1">
        <v>6.4</v>
      </c>
      <c r="AV272" s="1">
        <v>15.81</v>
      </c>
      <c r="AW272" s="1">
        <v>0.27999999999999997</v>
      </c>
      <c r="AX272" s="1">
        <v>2.4910000000000001</v>
      </c>
      <c r="AY272" s="1">
        <v>8.6999999999999994E-2</v>
      </c>
      <c r="AZ272" s="1">
        <v>28833.03</v>
      </c>
      <c r="BA272" s="1">
        <v>589.94999999999993</v>
      </c>
      <c r="BB272" s="1">
        <v>42414.3</v>
      </c>
      <c r="BC272" s="1">
        <v>807.3</v>
      </c>
      <c r="BD272" s="1">
        <v>260323.20000000001</v>
      </c>
      <c r="BE272" s="1">
        <v>4595.3999999999996</v>
      </c>
      <c r="BF272" s="1">
        <v>5.4027000000000003</v>
      </c>
      <c r="BG272" s="1">
        <v>6.0236999999999998</v>
      </c>
      <c r="BH272" s="1">
        <f t="shared" si="78"/>
        <v>48183.908045977012</v>
      </c>
      <c r="BI272" s="1">
        <f t="shared" si="79"/>
        <v>53729.021352565404</v>
      </c>
    </row>
    <row r="273" spans="1:61" x14ac:dyDescent="0.2">
      <c r="A273" t="s">
        <v>353</v>
      </c>
      <c r="B273" t="s">
        <v>38</v>
      </c>
      <c r="C273" t="s">
        <v>354</v>
      </c>
      <c r="D273" t="s">
        <v>355</v>
      </c>
      <c r="E273">
        <v>76048</v>
      </c>
      <c r="F273">
        <v>55384</v>
      </c>
      <c r="G273" t="s">
        <v>355</v>
      </c>
      <c r="H273" s="1">
        <v>34.5</v>
      </c>
      <c r="I273" s="1">
        <v>19.579999999999998</v>
      </c>
      <c r="J273" s="11">
        <v>4.1900000000000004</v>
      </c>
      <c r="K273" s="11">
        <f t="shared" ca="1" si="72"/>
        <v>0.14636406662839074</v>
      </c>
      <c r="L273" s="8">
        <v>0.29770000000000002</v>
      </c>
      <c r="M273" s="8">
        <f t="shared" ca="1" si="73"/>
        <v>9.9724678991711981E-3</v>
      </c>
      <c r="N273" s="8">
        <v>0.94460999999999995</v>
      </c>
      <c r="O273" s="9">
        <v>3.359086</v>
      </c>
      <c r="P273" s="9">
        <f t="shared" ca="1" si="74"/>
        <v>0.11252395016215216</v>
      </c>
      <c r="Q273" s="10">
        <v>0.10249999999999999</v>
      </c>
      <c r="R273" s="10">
        <f t="shared" ca="1" si="75"/>
        <v>2.2230834442278588E-3</v>
      </c>
      <c r="S273" s="9">
        <f t="shared" si="76"/>
        <v>0.4346250836621311</v>
      </c>
      <c r="T273" s="12">
        <v>0.10050000000000001</v>
      </c>
      <c r="U273" s="12">
        <f t="shared" ca="1" si="77"/>
        <v>3.6111078632464029E-3</v>
      </c>
      <c r="V273" s="6" t="e">
        <f ca="1">IF(agePb6U8(1/O273)&lt;1400,age7corr(1/O273,Q273,$W$2),agePb76(Q273))</f>
        <v>#NAME?</v>
      </c>
      <c r="W273" s="6" t="e">
        <f ca="1">IF(agePb6U8(1/O273)&lt;1400,ageer7corr(V273,1/O273,P273/O273*(1/O273),Q273,R273,$W$2,0.05),ageerPb76(Q273,R273))</f>
        <v>#NAME?</v>
      </c>
      <c r="X273" s="4" t="e">
        <f ca="1">agePb6U8(L273)/agePb7u5(J273)</f>
        <v>#NAME?</v>
      </c>
      <c r="Z273" s="1">
        <v>4.1900000000000004</v>
      </c>
      <c r="AA273" s="1">
        <v>0.12</v>
      </c>
      <c r="AB273" s="1">
        <v>0.29770000000000002</v>
      </c>
      <c r="AC273" s="1">
        <v>8.0000000000000002E-3</v>
      </c>
      <c r="AD273" s="1">
        <v>0.94460999999999995</v>
      </c>
      <c r="AE273" s="1">
        <v>3.359086</v>
      </c>
      <c r="AF273" s="1">
        <v>9.0267689999999998E-2</v>
      </c>
      <c r="AG273" s="1">
        <v>0.10249999999999999</v>
      </c>
      <c r="AH273" s="1">
        <v>8.5999999999999998E-4</v>
      </c>
      <c r="AI273" s="1">
        <v>-2.3033999999999999E-2</v>
      </c>
      <c r="AJ273" s="1">
        <v>0.10050000000000001</v>
      </c>
      <c r="AK273" s="1">
        <v>3.0000000000000001E-3</v>
      </c>
      <c r="AL273" s="1">
        <v>5.44</v>
      </c>
      <c r="AM273" s="1">
        <v>0.05</v>
      </c>
      <c r="AN273" s="1">
        <v>1676</v>
      </c>
      <c r="AO273" s="1">
        <v>22</v>
      </c>
      <c r="AP273" s="1">
        <v>1679</v>
      </c>
      <c r="AQ273" s="1">
        <v>40</v>
      </c>
      <c r="AR273" s="1">
        <v>1936</v>
      </c>
      <c r="AS273" s="1">
        <v>54</v>
      </c>
      <c r="AT273" s="1">
        <v>1669</v>
      </c>
      <c r="AU273" s="1">
        <v>16</v>
      </c>
      <c r="AV273" s="1">
        <v>7.37</v>
      </c>
      <c r="AW273" s="1">
        <v>0.2</v>
      </c>
      <c r="AX273" s="1">
        <v>1.5050000000000001</v>
      </c>
      <c r="AY273" s="1">
        <v>4.9000000000000002E-2</v>
      </c>
      <c r="AZ273" s="1">
        <v>12544.2</v>
      </c>
      <c r="BA273" s="1">
        <v>291.87</v>
      </c>
      <c r="BB273" s="1">
        <v>8569.7999999999993</v>
      </c>
      <c r="BC273" s="1">
        <v>211.14000000000001</v>
      </c>
      <c r="BD273" s="1">
        <v>84828.6</v>
      </c>
      <c r="BE273" s="1">
        <v>1925.1</v>
      </c>
      <c r="BF273" s="1">
        <v>0.80730000000000002</v>
      </c>
      <c r="BG273" s="1">
        <v>5.7131999999999996</v>
      </c>
      <c r="BH273" s="1">
        <f t="shared" si="78"/>
        <v>105076.92307692308</v>
      </c>
      <c r="BI273" s="1">
        <f t="shared" si="79"/>
        <v>743625.12521047727</v>
      </c>
    </row>
    <row r="274" spans="1:61" x14ac:dyDescent="0.2">
      <c r="A274" t="s">
        <v>356</v>
      </c>
      <c r="B274" t="s">
        <v>38</v>
      </c>
      <c r="C274" t="s">
        <v>357</v>
      </c>
      <c r="D274" t="s">
        <v>358</v>
      </c>
      <c r="E274">
        <v>76321</v>
      </c>
      <c r="F274">
        <v>55625</v>
      </c>
      <c r="G274" t="s">
        <v>358</v>
      </c>
      <c r="H274" s="1">
        <v>582</v>
      </c>
      <c r="I274" s="1">
        <v>232</v>
      </c>
      <c r="J274" s="11">
        <v>1.744</v>
      </c>
      <c r="K274" s="11">
        <f t="shared" ref="K274" ca="1" si="80">SQRT(K$2^2+(AA274/Z274)^2)*J274</f>
        <v>7.1137995473586402E-2</v>
      </c>
      <c r="L274" s="8">
        <v>0.16120000000000001</v>
      </c>
      <c r="M274" s="8">
        <f t="shared" ref="M274" ca="1" si="81">SQRT(M$2^2+(AC274/AB274)^2)*L274</f>
        <v>6.6358251935987574E-3</v>
      </c>
      <c r="N274" s="8">
        <v>0.97882000000000002</v>
      </c>
      <c r="O274" s="9">
        <v>6.2034739999999999</v>
      </c>
      <c r="P274" s="9">
        <f t="shared" ref="P274" ca="1" si="82">SQRT(P$2^2+(AF274/AE274)^2)*O274</f>
        <v>0.25536703787114035</v>
      </c>
      <c r="Q274" s="10">
        <v>7.7660000000000007E-2</v>
      </c>
      <c r="R274" s="10">
        <f t="shared" ref="R274" ca="1" si="83">SQRT(R$2^2+(AH274/AG274)^2)*Q274</f>
        <v>1.6915467005081475E-3</v>
      </c>
      <c r="S274" s="9">
        <f t="shared" si="76"/>
        <v>0.39556063815352216</v>
      </c>
      <c r="T274" s="12">
        <v>5.8999999999999997E-2</v>
      </c>
      <c r="U274" s="12">
        <f t="shared" ref="U274" ca="1" si="84">SQRT(U$2^2+(AK274/AJ274)^2)*T274</f>
        <v>2.4964775184247103E-3</v>
      </c>
      <c r="V274" s="6" t="e">
        <f ca="1">IF(agePb6U8(1/O274)&lt;1400,age7corr(1/O274,Q274,$W$2),agePb76(Q274))</f>
        <v>#NAME?</v>
      </c>
      <c r="W274" s="6" t="e">
        <f ca="1">IF(agePb6U8(1/O274)&lt;1400,ageer7corr(V274,1/O274,P274/O274*(1/O274),Q274,R274,$W$2,0.05),ageerPb76(Q274,R274))</f>
        <v>#NAME?</v>
      </c>
      <c r="X274" s="4" t="e">
        <f ca="1">agePb6U8(L274)/agePb7u5(J274)</f>
        <v>#NAME?</v>
      </c>
      <c r="Z274" s="1">
        <v>1.744</v>
      </c>
      <c r="AA274" s="1">
        <v>6.2E-2</v>
      </c>
      <c r="AB274" s="1">
        <v>0.16120000000000001</v>
      </c>
      <c r="AC274" s="1">
        <v>5.7999999999999996E-3</v>
      </c>
      <c r="AD274" s="1">
        <v>0.97882000000000002</v>
      </c>
      <c r="AE274" s="1">
        <v>6.2034739999999999</v>
      </c>
      <c r="AF274" s="1">
        <v>0.22320190000000001</v>
      </c>
      <c r="AG274" s="1">
        <v>7.7660000000000007E-2</v>
      </c>
      <c r="AH274" s="1">
        <v>6.7000000000000002E-4</v>
      </c>
      <c r="AI274" s="1">
        <v>0.30476999999999999</v>
      </c>
      <c r="AJ274" s="1">
        <v>5.8999999999999997E-2</v>
      </c>
      <c r="AK274" s="1">
        <v>2.2000000000000001E-3</v>
      </c>
      <c r="AL274" s="1">
        <v>7.11</v>
      </c>
      <c r="AM274" s="1">
        <v>7.9000000000000001E-2</v>
      </c>
      <c r="AN274" s="1">
        <v>1024</v>
      </c>
      <c r="AO274" s="1">
        <v>23</v>
      </c>
      <c r="AP274" s="1">
        <v>963</v>
      </c>
      <c r="AQ274" s="1">
        <v>32</v>
      </c>
      <c r="AR274" s="1">
        <v>1159</v>
      </c>
      <c r="AS274" s="1">
        <v>42</v>
      </c>
      <c r="AT274" s="1">
        <v>1138</v>
      </c>
      <c r="AU274" s="1">
        <v>17</v>
      </c>
      <c r="AV274" s="1">
        <v>124</v>
      </c>
      <c r="AW274" s="1">
        <v>13</v>
      </c>
      <c r="AX274" s="1">
        <v>17.899999999999999</v>
      </c>
      <c r="AY274" s="1">
        <v>1.1000000000000001</v>
      </c>
      <c r="AZ274" s="1">
        <v>87561</v>
      </c>
      <c r="BA274" s="1">
        <v>6210</v>
      </c>
      <c r="BB274" s="1">
        <v>60423.299999999996</v>
      </c>
      <c r="BC274" s="1">
        <v>5526.9</v>
      </c>
      <c r="BD274" s="1">
        <v>782460</v>
      </c>
      <c r="BE274" s="1">
        <v>62100</v>
      </c>
      <c r="BF274" s="1">
        <v>49.679999999999993</v>
      </c>
      <c r="BG274" s="1">
        <v>6.8310000000000004</v>
      </c>
      <c r="BH274" s="1">
        <f t="shared" si="78"/>
        <v>15750.000000000002</v>
      </c>
      <c r="BI274" s="1">
        <f t="shared" ref="BI274" si="85">SQRT((BG274/BF274)^2+(BE274/BD274)^2)*BH274</f>
        <v>2500.4862808311914</v>
      </c>
    </row>
    <row r="275" spans="1:61" x14ac:dyDescent="0.2">
      <c r="X275" s="4"/>
    </row>
    <row r="276" spans="1:61" x14ac:dyDescent="0.2">
      <c r="X276" s="4"/>
    </row>
    <row r="277" spans="1:61" x14ac:dyDescent="0.2">
      <c r="A277" t="s">
        <v>923</v>
      </c>
      <c r="B277" t="s">
        <v>38</v>
      </c>
      <c r="C277" t="s">
        <v>924</v>
      </c>
      <c r="D277" t="s">
        <v>925</v>
      </c>
      <c r="E277">
        <v>44076</v>
      </c>
      <c r="F277">
        <v>51696</v>
      </c>
      <c r="G277" t="s">
        <v>925</v>
      </c>
      <c r="H277" s="1">
        <v>-0.04</v>
      </c>
      <c r="I277" s="1">
        <v>-0.05</v>
      </c>
      <c r="J277" s="11" t="s">
        <v>575</v>
      </c>
      <c r="K277" s="11" t="e">
        <f ca="1">SQRT(K$2^2+(AA277/Z277)^2)*J277</f>
        <v>#VALUE!</v>
      </c>
      <c r="L277" s="8" t="s">
        <v>575</v>
      </c>
      <c r="M277" s="8" t="e">
        <f ca="1">SQRT(M$2^2+(AC277/AB277)^2)*L277</f>
        <v>#VALUE!</v>
      </c>
      <c r="N277" s="8" t="s">
        <v>577</v>
      </c>
      <c r="P277" s="9" t="e">
        <f ca="1">SQRT(P$2^2+(AF277/AE277)^2)*O277</f>
        <v>#DIV/0!</v>
      </c>
      <c r="Q277" s="10" t="s">
        <v>575</v>
      </c>
      <c r="R277" s="10" t="e">
        <f ca="1">SQRT(R$2^2+(AH277/AG277)^2)*Q277</f>
        <v>#VALUE!</v>
      </c>
      <c r="S277" s="9">
        <f>(((BE277/BD277)^2+(AW277/AV277)^2)+((BE277/BD277)^2+(BC277/BB277)^2)-((BC277/BB277)^2+(AW277/AV277)^2))/(2*SQRT((BE277/BD277)^2+(AW277/AV277)^2)*SQRT((BE277/BD277)^2+(BC277/BB277)^2))</f>
        <v>4.9834222562055519E-3</v>
      </c>
      <c r="T277" s="12" t="s">
        <v>575</v>
      </c>
      <c r="U277" s="12" t="e">
        <f ca="1">SQRT(U$2^2+(AK277/AJ277)^2)*T277</f>
        <v>#VALUE!</v>
      </c>
      <c r="V277" s="6" t="e">
        <f ca="1">IF(agePb6U8(1/O277)&lt;1400,age7corr(1/O277,Q277,$W$2),agePb76(Q277))</f>
        <v>#NAME?</v>
      </c>
      <c r="W277" s="6" t="e">
        <f ca="1">IF(agePb6U8(1/O277)&lt;1400,ageer7corr(V277,1/O277,P277/O277*(1/O277),Q277,R277,$W$2,0.05),ageerPb76(Q277,R277))</f>
        <v>#NAME?</v>
      </c>
      <c r="X277" s="4" t="e">
        <f ca="1">agePb6U8(L277)/agePb7u5(J277)</f>
        <v>#NAME?</v>
      </c>
      <c r="Z277" s="1" t="s">
        <v>575</v>
      </c>
      <c r="AA277" s="1" t="s">
        <v>576</v>
      </c>
      <c r="AB277" s="1" t="s">
        <v>575</v>
      </c>
      <c r="AC277" s="1" t="s">
        <v>576</v>
      </c>
      <c r="AD277" s="1" t="s">
        <v>577</v>
      </c>
      <c r="AG277" s="1" t="s">
        <v>575</v>
      </c>
      <c r="AH277" s="1" t="s">
        <v>576</v>
      </c>
      <c r="AI277" s="1" t="s">
        <v>577</v>
      </c>
      <c r="AJ277" s="1" t="s">
        <v>575</v>
      </c>
      <c r="AK277" s="1" t="s">
        <v>576</v>
      </c>
      <c r="AL277" s="1" t="s">
        <v>575</v>
      </c>
      <c r="AM277" s="1" t="s">
        <v>576</v>
      </c>
      <c r="AN277" s="1" t="s">
        <v>575</v>
      </c>
      <c r="AO277" s="1" t="s">
        <v>576</v>
      </c>
      <c r="AP277" s="1" t="s">
        <v>575</v>
      </c>
      <c r="AQ277" s="1" t="s">
        <v>576</v>
      </c>
      <c r="AR277" s="1" t="s">
        <v>575</v>
      </c>
      <c r="AS277" s="1" t="s">
        <v>576</v>
      </c>
      <c r="AT277" s="1" t="s">
        <v>575</v>
      </c>
      <c r="AU277" s="1" t="s">
        <v>576</v>
      </c>
      <c r="AV277" s="1">
        <v>-7.0000000000000001E-3</v>
      </c>
      <c r="AW277" s="1">
        <v>2.1999999999999999E-2</v>
      </c>
      <c r="AX277" s="1">
        <v>-4.0000000000000001E-3</v>
      </c>
      <c r="AY277" s="1">
        <v>2.9000000000000001E-2</v>
      </c>
      <c r="AZ277" s="1">
        <v>37073.699999999997</v>
      </c>
      <c r="BA277" s="1">
        <v>807.3</v>
      </c>
      <c r="BB277" s="1">
        <v>18462.330000000002</v>
      </c>
      <c r="BC277" s="1">
        <v>397.43999999999994</v>
      </c>
      <c r="BD277" s="1">
        <v>22641.660000000003</v>
      </c>
      <c r="BE277" s="1">
        <v>496.8</v>
      </c>
      <c r="BF277" s="1">
        <v>1330.182</v>
      </c>
      <c r="BG277" s="1">
        <v>36.018000000000001</v>
      </c>
      <c r="BH277" s="1">
        <f>BD277/BF277</f>
        <v>17.021475256769378</v>
      </c>
      <c r="BI277" s="1">
        <f>SQRT((BG277/BF277)^2+(BE277/BD277)^2)*BH277</f>
        <v>0.59322609102245594</v>
      </c>
    </row>
    <row r="278" spans="1:61" x14ac:dyDescent="0.2">
      <c r="A278" t="s">
        <v>269</v>
      </c>
      <c r="B278" t="s">
        <v>38</v>
      </c>
      <c r="C278" t="s">
        <v>270</v>
      </c>
      <c r="D278" t="s">
        <v>271</v>
      </c>
      <c r="E278">
        <v>43741</v>
      </c>
      <c r="F278">
        <v>51217</v>
      </c>
      <c r="G278" t="s">
        <v>271</v>
      </c>
      <c r="H278" s="1">
        <v>95.9</v>
      </c>
      <c r="I278" s="1">
        <v>64.8</v>
      </c>
      <c r="J278" s="11">
        <v>1.8939999999999999</v>
      </c>
      <c r="K278" s="11">
        <f ca="1">SQRT(K$2^2+(AA278/Z278)^2)*J278</f>
        <v>7.1804556958454946E-2</v>
      </c>
      <c r="L278" s="8">
        <v>0.1789</v>
      </c>
      <c r="M278" s="8">
        <f ca="1">SQRT(M$2^2+(AC278/AB278)^2)*L278</f>
        <v>6.7299393756556237E-3</v>
      </c>
      <c r="N278" s="8">
        <v>0.96130000000000004</v>
      </c>
      <c r="O278" s="9">
        <v>5.589715</v>
      </c>
      <c r="P278" s="9">
        <f ca="1">SQRT(P$2^2+(AF278/AE278)^2)*O278</f>
        <v>0.21027636749879908</v>
      </c>
      <c r="Q278" s="10">
        <v>7.6020000000000004E-2</v>
      </c>
      <c r="R278" s="10">
        <f ca="1">SQRT(R$2^2+(AH278/AG278)^2)*Q278</f>
        <v>1.6696455192644934E-3</v>
      </c>
      <c r="S278" s="9">
        <f>(((BE278/BD278)^2+(AW278/AV278)^2)+((BE278/BD278)^2+(BC278/BB278)^2)-((BC278/BB278)^2+(AW278/AV278)^2))/(2*SQRT((BE278/BD278)^2+(AW278/AV278)^2)*SQRT((BE278/BD278)^2+(BC278/BB278)^2))</f>
        <v>0.47314766928133706</v>
      </c>
      <c r="T278" s="12">
        <v>5.5199999999999999E-2</v>
      </c>
      <c r="U278" s="12">
        <f ca="1">SQRT(U$2^2+(AK278/AJ278)^2)*T278</f>
        <v>2.1115908694631161E-3</v>
      </c>
      <c r="V278" s="6" t="e">
        <f ca="1">IF(agePb6U8(1/O278)&lt;1400,age7corr(1/O278,Q278,$W$2),agePb76(Q278))</f>
        <v>#NAME?</v>
      </c>
      <c r="W278" s="6" t="e">
        <f ca="1">IF(agePb6U8(1/O278)&lt;1400,ageer7corr(V278,1/O278,P278/O278*(1/O278),Q278,R278,$W$2,0.05),ageerPb76(Q278,R278))</f>
        <v>#NAME?</v>
      </c>
      <c r="X278" s="4" t="e">
        <f ca="1">agePb6U8(L278)/agePb7u5(J278)</f>
        <v>#NAME?</v>
      </c>
      <c r="Z278" s="1">
        <v>1.8939999999999999</v>
      </c>
      <c r="AA278" s="1">
        <v>6.0999999999999999E-2</v>
      </c>
      <c r="AB278" s="1">
        <v>0.1789</v>
      </c>
      <c r="AC278" s="1">
        <v>5.7000000000000002E-3</v>
      </c>
      <c r="AD278" s="1">
        <v>0.96130000000000004</v>
      </c>
      <c r="AE278" s="1">
        <v>5.589715</v>
      </c>
      <c r="AF278" s="1">
        <v>0.178096</v>
      </c>
      <c r="AG278" s="1">
        <v>7.6020000000000004E-2</v>
      </c>
      <c r="AH278" s="1">
        <v>6.8999999999999997E-4</v>
      </c>
      <c r="AI278" s="1">
        <v>1.0596E-2</v>
      </c>
      <c r="AJ278" s="1">
        <v>5.5199999999999999E-2</v>
      </c>
      <c r="AK278" s="1">
        <v>1.8E-3</v>
      </c>
      <c r="AL278" s="1">
        <v>5.0860000000000003</v>
      </c>
      <c r="AM278" s="1">
        <v>2.3E-2</v>
      </c>
      <c r="AN278" s="1">
        <v>1078</v>
      </c>
      <c r="AO278" s="1">
        <v>22</v>
      </c>
      <c r="AP278" s="1">
        <v>1061</v>
      </c>
      <c r="AQ278" s="1">
        <v>31</v>
      </c>
      <c r="AR278" s="1">
        <v>1086</v>
      </c>
      <c r="AS278" s="1">
        <v>34</v>
      </c>
      <c r="AT278" s="1">
        <v>1095</v>
      </c>
      <c r="AU278" s="1">
        <v>18</v>
      </c>
      <c r="AV278" s="1">
        <v>20.549999999999997</v>
      </c>
      <c r="AW278" s="1">
        <v>0.4</v>
      </c>
      <c r="AX278" s="1">
        <v>4.9899999999999993</v>
      </c>
      <c r="AY278" s="1">
        <v>0.11</v>
      </c>
      <c r="AZ278" s="1">
        <v>22635.450000000004</v>
      </c>
      <c r="BA278" s="1">
        <v>478.17000000000007</v>
      </c>
      <c r="BB278" s="1">
        <v>10935.810000000001</v>
      </c>
      <c r="BC278" s="1">
        <v>173.88</v>
      </c>
      <c r="BD278" s="1">
        <v>144568.80000000002</v>
      </c>
      <c r="BE278" s="1">
        <v>2421.9</v>
      </c>
      <c r="BF278" s="1">
        <v>7.4519999999999991</v>
      </c>
      <c r="BG278" s="1">
        <v>8.0729999999999986</v>
      </c>
      <c r="BH278" s="1">
        <f>BD278/BF278</f>
        <v>19400.000000000004</v>
      </c>
      <c r="BI278" s="1">
        <f>SQRT((BG278/BF278)^2+(BE278/BD278)^2)*BH278</f>
        <v>21019.179403054201</v>
      </c>
    </row>
    <row r="279" spans="1:61" x14ac:dyDescent="0.2">
      <c r="A279" t="s">
        <v>485</v>
      </c>
      <c r="B279" t="s">
        <v>38</v>
      </c>
      <c r="C279" t="s">
        <v>486</v>
      </c>
      <c r="D279" t="s">
        <v>487</v>
      </c>
      <c r="E279">
        <v>43778</v>
      </c>
      <c r="F279">
        <v>51219</v>
      </c>
      <c r="G279" t="s">
        <v>487</v>
      </c>
      <c r="H279" s="1">
        <v>88</v>
      </c>
      <c r="I279" s="1">
        <v>57.37</v>
      </c>
      <c r="J279" s="11">
        <v>1.869</v>
      </c>
      <c r="K279" s="11">
        <f ca="1">SQRT(K$2^2+(AA279/Z279)^2)*J279</f>
        <v>6.0052180643170659E-2</v>
      </c>
      <c r="L279" s="8">
        <v>0.17829999999999999</v>
      </c>
      <c r="M279" s="8">
        <f ca="1">SQRT(M$2^2+(AC279/AB279)^2)*L279</f>
        <v>5.820339852620292E-3</v>
      </c>
      <c r="N279" s="8">
        <v>0.96603000000000006</v>
      </c>
      <c r="O279" s="9">
        <v>5.6085250000000002</v>
      </c>
      <c r="P279" s="9">
        <f ca="1">SQRT(P$2^2+(AF279/AE279)^2)*O279</f>
        <v>0.18308197287144359</v>
      </c>
      <c r="Q279" s="10">
        <v>7.5789999999999996E-2</v>
      </c>
      <c r="R279" s="10">
        <f ca="1">SQRT(R$2^2+(AH279/AG279)^2)*Q279</f>
        <v>1.5961358463489252E-3</v>
      </c>
      <c r="S279" s="9">
        <f>(((BE279/BD279)^2+(AW279/AV279)^2)+((BE279/BD279)^2+(BC279/BB279)^2)-((BC279/BB279)^2+(AW279/AV279)^2))/(2*SQRT((BE279/BD279)^2+(AW279/AV279)^2)*SQRT((BE279/BD279)^2+(BC279/BB279)^2))</f>
        <v>0.36894573402241893</v>
      </c>
      <c r="T279" s="12">
        <v>5.4199999999999998E-2</v>
      </c>
      <c r="U279" s="12">
        <f ca="1">SQRT(U$2^2+(AK279/AJ279)^2)*T279</f>
        <v>1.9326292970976095E-3</v>
      </c>
      <c r="V279" s="6" t="e">
        <f ca="1">IF(agePb6U8(1/O279)&lt;1400,age7corr(1/O279,Q279,$W$2),agePb76(Q279))</f>
        <v>#NAME?</v>
      </c>
      <c r="W279" s="6" t="e">
        <f ca="1">IF(agePb6U8(1/O279)&lt;1400,ageer7corr(V279,1/O279,P279/O279*(1/O279),Q279,R279,$W$2,0.05),ageerPb76(Q279,R279))</f>
        <v>#NAME?</v>
      </c>
      <c r="X279" s="4" t="e">
        <f ca="1">agePb6U8(L279)/agePb7u5(J279)</f>
        <v>#NAME?</v>
      </c>
      <c r="Z279" s="1">
        <v>1.869</v>
      </c>
      <c r="AA279" s="1">
        <v>4.7E-2</v>
      </c>
      <c r="AB279" s="1">
        <v>0.17829999999999999</v>
      </c>
      <c r="AC279" s="1">
        <v>4.5999999999999999E-3</v>
      </c>
      <c r="AD279" s="1">
        <v>0.96603000000000006</v>
      </c>
      <c r="AE279" s="1">
        <v>5.6085250000000002</v>
      </c>
      <c r="AF279" s="1">
        <v>0.1446955</v>
      </c>
      <c r="AG279" s="1">
        <v>7.5789999999999996E-2</v>
      </c>
      <c r="AH279" s="1">
        <v>5.0000000000000001E-4</v>
      </c>
      <c r="AI279" s="1">
        <v>0.29137000000000002</v>
      </c>
      <c r="AJ279" s="1">
        <v>5.4199999999999998E-2</v>
      </c>
      <c r="AK279" s="1">
        <v>1.6000000000000001E-3</v>
      </c>
      <c r="AL279" s="1">
        <v>5.25</v>
      </c>
      <c r="AM279" s="1">
        <v>2.5999999999999999E-2</v>
      </c>
      <c r="AN279" s="1">
        <v>1070</v>
      </c>
      <c r="AO279" s="1">
        <v>17</v>
      </c>
      <c r="AP279" s="1">
        <v>1057</v>
      </c>
      <c r="AQ279" s="1">
        <v>25</v>
      </c>
      <c r="AR279" s="1">
        <v>1067</v>
      </c>
      <c r="AS279" s="1">
        <v>30</v>
      </c>
      <c r="AT279" s="1">
        <v>1089</v>
      </c>
      <c r="AU279" s="1">
        <v>13</v>
      </c>
      <c r="AV279" s="1">
        <v>18.73</v>
      </c>
      <c r="AW279" s="1">
        <v>0.39</v>
      </c>
      <c r="AX279" s="1">
        <v>4.3949999999999996</v>
      </c>
      <c r="AY279" s="1">
        <v>7.1000000000000008E-2</v>
      </c>
      <c r="AZ279" s="1">
        <v>19872</v>
      </c>
      <c r="BA279" s="1">
        <v>329.13</v>
      </c>
      <c r="BB279" s="1">
        <v>9786.9600000000009</v>
      </c>
      <c r="BC279" s="1">
        <v>173.88</v>
      </c>
      <c r="BD279" s="1">
        <v>130596.29999999999</v>
      </c>
      <c r="BE279" s="1">
        <v>1925.1</v>
      </c>
      <c r="BF279" s="1">
        <v>4.7816999999999998</v>
      </c>
      <c r="BG279" s="1">
        <v>5.6510999999999996</v>
      </c>
      <c r="BH279" s="1">
        <f>BD279/BF279</f>
        <v>27311.688311688311</v>
      </c>
      <c r="BI279" s="1">
        <f>SQRT((BG279/BF279)^2+(BE279/BD279)^2)*BH279</f>
        <v>32279.96052876594</v>
      </c>
    </row>
    <row r="280" spans="1:61" x14ac:dyDescent="0.2">
      <c r="A280" t="s">
        <v>704</v>
      </c>
      <c r="B280" t="s">
        <v>38</v>
      </c>
      <c r="C280" t="s">
        <v>705</v>
      </c>
      <c r="D280" t="s">
        <v>706</v>
      </c>
      <c r="E280">
        <v>43816</v>
      </c>
      <c r="F280">
        <v>51220</v>
      </c>
      <c r="G280" t="s">
        <v>706</v>
      </c>
      <c r="H280" s="1">
        <v>60.6</v>
      </c>
      <c r="I280" s="1">
        <v>35.200000000000003</v>
      </c>
      <c r="J280" s="11">
        <v>1.927</v>
      </c>
      <c r="K280" s="11">
        <f ca="1">SQRT(K$2^2+(AA280/Z280)^2)*J280</f>
        <v>4.5401889828508242E-2</v>
      </c>
      <c r="L280" s="8">
        <v>0.18090000000000001</v>
      </c>
      <c r="M280" s="8">
        <f ca="1">SQRT(M$2^2+(AC280/AB280)^2)*L280</f>
        <v>3.9166215032857086E-3</v>
      </c>
      <c r="N280" s="8">
        <v>0.73889000000000005</v>
      </c>
      <c r="O280" s="9">
        <v>5.5279160000000003</v>
      </c>
      <c r="P280" s="9">
        <f ca="1">SQRT(P$2^2+(AF280/AE280)^2)*O280</f>
        <v>0.11968355159331963</v>
      </c>
      <c r="Q280" s="10">
        <v>7.6600000000000001E-2</v>
      </c>
      <c r="R280" s="10">
        <f ca="1">SQRT(R$2^2+(AH280/AG280)^2)*Q280</f>
        <v>1.6681198997673999E-3</v>
      </c>
      <c r="S280" s="9">
        <f>(((BE280/BD280)^2+(AW280/AV280)^2)+((BE280/BD280)^2+(BC280/BB280)^2)-((BC280/BB280)^2+(AW280/AV280)^2))/(2*SQRT((BE280/BD280)^2+(AW280/AV280)^2)*SQRT((BE280/BD280)^2+(BC280/BB280)^2))</f>
        <v>0.43279941656499049</v>
      </c>
      <c r="T280" s="12">
        <v>5.5960000000000003E-2</v>
      </c>
      <c r="U280" s="12">
        <f ca="1">SQRT(U$2^2+(AK280/AJ280)^2)*T280</f>
        <v>1.4942250968311302E-3</v>
      </c>
      <c r="V280" s="6" t="e">
        <f ca="1">IF(agePb6U8(1/O280)&lt;1400,age7corr(1/O280,Q280,$W$2),agePb76(Q280))</f>
        <v>#NAME?</v>
      </c>
      <c r="W280" s="6" t="e">
        <f ca="1">IF(agePb6U8(1/O280)&lt;1400,ageer7corr(V280,1/O280,P280/O280*(1/O280),Q280,R280,$W$2,0.05),ageerPb76(Q280,R280))</f>
        <v>#NAME?</v>
      </c>
      <c r="X280" s="4" t="e">
        <f ca="1">agePb6U8(L280)/agePb7u5(J280)</f>
        <v>#NAME?</v>
      </c>
      <c r="Z280" s="1">
        <v>1.927</v>
      </c>
      <c r="AA280" s="1">
        <v>2.4E-2</v>
      </c>
      <c r="AB280" s="1">
        <v>0.18090000000000001</v>
      </c>
      <c r="AC280" s="1">
        <v>1.5E-3</v>
      </c>
      <c r="AD280" s="1">
        <v>0.73889000000000005</v>
      </c>
      <c r="AE280" s="1">
        <v>5.5279160000000003</v>
      </c>
      <c r="AF280" s="1">
        <v>4.5836780000000001E-2</v>
      </c>
      <c r="AG280" s="1">
        <v>7.6600000000000001E-2</v>
      </c>
      <c r="AH280" s="1">
        <v>6.6E-4</v>
      </c>
      <c r="AI280" s="1">
        <v>0.44362000000000001</v>
      </c>
      <c r="AJ280" s="1">
        <v>5.5960000000000003E-2</v>
      </c>
      <c r="AK280" s="1">
        <v>9.8999999999999999E-4</v>
      </c>
      <c r="AL280" s="1">
        <v>6.1619999999999999</v>
      </c>
      <c r="AM280" s="1">
        <v>3.5000000000000003E-2</v>
      </c>
      <c r="AN280" s="1">
        <v>1090.2</v>
      </c>
      <c r="AO280" s="1">
        <v>8.1999999999999993</v>
      </c>
      <c r="AP280" s="1">
        <v>1071.9000000000001</v>
      </c>
      <c r="AQ280" s="1">
        <v>8.3000000000000007</v>
      </c>
      <c r="AR280" s="1">
        <v>1101</v>
      </c>
      <c r="AS280" s="1">
        <v>19</v>
      </c>
      <c r="AT280" s="1">
        <v>1110</v>
      </c>
      <c r="AU280" s="1">
        <v>17</v>
      </c>
      <c r="AV280" s="1">
        <v>12.81</v>
      </c>
      <c r="AW280" s="1">
        <v>0.48000000000000004</v>
      </c>
      <c r="AX280" s="1">
        <v>2.68</v>
      </c>
      <c r="AY280" s="1">
        <v>9.2999999999999999E-2</v>
      </c>
      <c r="AZ280" s="1">
        <v>12047.4</v>
      </c>
      <c r="BA280" s="1">
        <v>360.18</v>
      </c>
      <c r="BB280" s="1">
        <v>6849.63</v>
      </c>
      <c r="BC280" s="1">
        <v>211.14000000000001</v>
      </c>
      <c r="BD280" s="1">
        <v>91659.6</v>
      </c>
      <c r="BE280" s="1">
        <v>2732.3999999999996</v>
      </c>
      <c r="BF280" s="1">
        <v>37.26</v>
      </c>
      <c r="BG280" s="1">
        <v>8.0729999999999986</v>
      </c>
      <c r="BH280" s="1">
        <f>BD280/BF280</f>
        <v>2460.0000000000005</v>
      </c>
      <c r="BI280" s="1">
        <f>SQRT((BG280/BF280)^2+(BE280/BD280)^2)*BH280</f>
        <v>538.02116852199958</v>
      </c>
    </row>
    <row r="281" spans="1:61" x14ac:dyDescent="0.2">
      <c r="X281" s="4"/>
    </row>
    <row r="282" spans="1:61" x14ac:dyDescent="0.2">
      <c r="X282" s="4"/>
    </row>
    <row r="283" spans="1:61" x14ac:dyDescent="0.2">
      <c r="A283" t="s">
        <v>1004</v>
      </c>
      <c r="B283" t="s">
        <v>38</v>
      </c>
      <c r="C283" t="s">
        <v>1005</v>
      </c>
      <c r="D283" t="s">
        <v>1006</v>
      </c>
      <c r="E283">
        <v>41738</v>
      </c>
      <c r="F283">
        <v>46313</v>
      </c>
      <c r="G283" t="s">
        <v>1006</v>
      </c>
      <c r="H283" s="1">
        <v>235</v>
      </c>
      <c r="I283" s="1">
        <v>9.5299999999999994</v>
      </c>
      <c r="J283" s="11">
        <v>0.81540000000000001</v>
      </c>
      <c r="K283" s="11">
        <f ca="1">SQRT(K$2^2+(AA283/Z283)^2)*J283</f>
        <v>1.7746855045331272E-2</v>
      </c>
      <c r="L283" s="8">
        <v>9.8750000000000004E-2</v>
      </c>
      <c r="M283" s="8">
        <f ca="1">SQRT(M$2^2+(AC283/AB283)^2)*L283</f>
        <v>2.067057086778205E-3</v>
      </c>
      <c r="N283" s="8">
        <v>0.65356000000000003</v>
      </c>
      <c r="O283" s="9">
        <v>10.126580000000001</v>
      </c>
      <c r="P283" s="9">
        <f ca="1">SQRT(P$2^2+(AF283/AE283)^2)*O283</f>
        <v>0.21197184228856061</v>
      </c>
      <c r="Q283" s="10">
        <v>5.9709999999999999E-2</v>
      </c>
      <c r="R283" s="10">
        <f ca="1">SQRT(R$2^2+(AH283/AG283)^2)*Q283</f>
        <v>1.2472825020820265E-3</v>
      </c>
      <c r="S283" s="9">
        <f>(((BE283/BD283)^2+(AW283/AV283)^2)+((BE283/BD283)^2+(BC283/BB283)^2)-((BC283/BB283)^2+(AW283/AV283)^2))/(2*SQRT((BE283/BD283)^2+(AW283/AV283)^2)*SQRT((BE283/BD283)^2+(BC283/BB283)^2))</f>
        <v>0.48070466447326615</v>
      </c>
      <c r="T283" s="12">
        <v>3.0800000000000001E-2</v>
      </c>
      <c r="U283" s="12">
        <f ca="1">SQRT(U$2^2+(AK283/AJ283)^2)*T283</f>
        <v>1.7144841789879547E-3</v>
      </c>
      <c r="V283" s="6" t="e">
        <f ca="1">IF(agePb6U8(1/O283)&lt;1400,age7corr(1/O283,Q283,$W$2),agePb76(Q283))</f>
        <v>#NAME?</v>
      </c>
      <c r="W283" s="6" t="e">
        <f ca="1">IF(agePb6U8(1/O283)&lt;1400,ageer7corr(V283,1/O283,P283/O283*(1/O283),Q283,R283,$W$2,0.05),ageerPb76(Q283,R283))</f>
        <v>#NAME?</v>
      </c>
      <c r="X283" s="4" t="e">
        <f ca="1">agePb6U8(L283)/agePb7u5(J283)</f>
        <v>#NAME?</v>
      </c>
      <c r="Z283" s="1">
        <v>0.81540000000000001</v>
      </c>
      <c r="AA283" s="1">
        <v>7.0000000000000001E-3</v>
      </c>
      <c r="AB283" s="1">
        <v>9.8750000000000004E-2</v>
      </c>
      <c r="AC283" s="1">
        <v>6.0999999999999997E-4</v>
      </c>
      <c r="AD283" s="1">
        <v>0.65356000000000003</v>
      </c>
      <c r="AE283" s="1">
        <v>10.126580000000001</v>
      </c>
      <c r="AF283" s="1">
        <v>6.2554079999999998E-2</v>
      </c>
      <c r="AG283" s="1">
        <v>5.9709999999999999E-2</v>
      </c>
      <c r="AH283" s="1">
        <v>3.6000000000000002E-4</v>
      </c>
      <c r="AI283" s="1">
        <v>0.112</v>
      </c>
      <c r="AJ283" s="1">
        <v>3.0800000000000001E-2</v>
      </c>
      <c r="AK283" s="1">
        <v>1.6000000000000001E-3</v>
      </c>
      <c r="AL283" s="1">
        <v>87.47</v>
      </c>
      <c r="AM283" s="1">
        <v>0.9</v>
      </c>
      <c r="AN283" s="1">
        <v>605.4</v>
      </c>
      <c r="AO283" s="1">
        <v>3.9</v>
      </c>
      <c r="AP283" s="1">
        <v>607.1</v>
      </c>
      <c r="AQ283" s="1">
        <v>3.6</v>
      </c>
      <c r="AR283" s="1">
        <v>613</v>
      </c>
      <c r="AS283" s="1">
        <v>30</v>
      </c>
      <c r="AT283" s="1">
        <v>593</v>
      </c>
      <c r="AU283" s="1">
        <v>13</v>
      </c>
      <c r="AV283" s="1">
        <v>49.2</v>
      </c>
      <c r="AW283" s="1">
        <v>2.1</v>
      </c>
      <c r="AX283" s="1">
        <v>0.72000000000000008</v>
      </c>
      <c r="AY283" s="1">
        <v>0.04</v>
      </c>
      <c r="AZ283" s="1">
        <v>1757.4299999999998</v>
      </c>
      <c r="BA283" s="1">
        <v>68.31</v>
      </c>
      <c r="BB283" s="1">
        <v>11115.9</v>
      </c>
      <c r="BC283" s="1">
        <v>434.7</v>
      </c>
      <c r="BD283" s="1">
        <v>189405.00000000003</v>
      </c>
      <c r="BE283" s="1">
        <v>7452.0000000000009</v>
      </c>
      <c r="BF283" s="1">
        <v>-7.0173000000000005</v>
      </c>
      <c r="BG283" s="1">
        <v>5.5269000000000004</v>
      </c>
      <c r="BH283" s="1">
        <f>BD283/BF283</f>
        <v>-26991.15044247788</v>
      </c>
      <c r="BI283" s="1">
        <f>SQRT((BG283/BF283)^2+(BE283/BD283)^2)*BH283</f>
        <v>-21285.024415450003</v>
      </c>
    </row>
    <row r="284" spans="1:61" x14ac:dyDescent="0.2">
      <c r="A284" t="s">
        <v>812</v>
      </c>
      <c r="B284" t="s">
        <v>38</v>
      </c>
      <c r="C284" t="s">
        <v>813</v>
      </c>
      <c r="D284" t="s">
        <v>814</v>
      </c>
      <c r="E284">
        <v>41578</v>
      </c>
      <c r="F284">
        <v>46219</v>
      </c>
      <c r="G284" t="s">
        <v>814</v>
      </c>
      <c r="H284" s="1">
        <v>236.9</v>
      </c>
      <c r="I284" s="1">
        <v>9.7100000000000009</v>
      </c>
      <c r="J284" s="11">
        <v>0.82399999999999995</v>
      </c>
      <c r="K284" s="11">
        <f ca="1">SQRT(K$2^2+(AA284/Z284)^2)*J284</f>
        <v>2.0386034435367757E-2</v>
      </c>
      <c r="L284" s="8">
        <v>9.8400000000000001E-2</v>
      </c>
      <c r="M284" s="8">
        <f ca="1">SQRT(M$2^2+(AC284/AB284)^2)*L284</f>
        <v>2.2545562756338552E-3</v>
      </c>
      <c r="N284" s="8">
        <v>0.91156000000000004</v>
      </c>
      <c r="O284" s="9">
        <v>10.162599999999999</v>
      </c>
      <c r="P284" s="9">
        <f ca="1">SQRT(P$2^2+(AF284/AE284)^2)*O284</f>
        <v>0.23284708910289173</v>
      </c>
      <c r="Q284" s="10">
        <v>6.0350000000000001E-2</v>
      </c>
      <c r="R284" s="10">
        <f ca="1">SQRT(R$2^2+(AH284/AG284)^2)*Q284</f>
        <v>1.2846980189912336E-3</v>
      </c>
      <c r="S284" s="9">
        <f>(((BE284/BD284)^2+(AW284/AV284)^2)+((BE284/BD284)^2+(BC284/BB284)^2)-((BC284/BB284)^2+(AW284/AV284)^2))/(2*SQRT((BE284/BD284)^2+(AW284/AV284)^2)*SQRT((BE284/BD284)^2+(BC284/BB284)^2))</f>
        <v>0.44001682765151767</v>
      </c>
      <c r="T284" s="12">
        <v>3.0200000000000001E-2</v>
      </c>
      <c r="U284" s="12">
        <f ca="1">SQRT(U$2^2+(AK284/AJ284)^2)*T284</f>
        <v>1.433462939876717E-3</v>
      </c>
      <c r="V284" s="6" t="e">
        <f ca="1">IF(agePb6U8(1/O284)&lt;1400,age7corr(1/O284,Q284,$W$2),agePb76(Q284))</f>
        <v>#NAME?</v>
      </c>
      <c r="W284" s="6" t="e">
        <f ca="1">IF(agePb6U8(1/O284)&lt;1400,ageer7corr(V284,1/O284,P284/O284*(1/O284),Q284,R284,$W$2,0.05),ageerPb76(Q284,R284))</f>
        <v>#NAME?</v>
      </c>
      <c r="X284" s="4" t="e">
        <f ca="1">agePb6U8(L284)/agePb7u5(J284)</f>
        <v>#NAME?</v>
      </c>
      <c r="Z284" s="1">
        <v>0.82399999999999995</v>
      </c>
      <c r="AA284" s="1">
        <v>1.2E-2</v>
      </c>
      <c r="AB284" s="1">
        <v>9.8400000000000001E-2</v>
      </c>
      <c r="AC284" s="1">
        <v>1.1000000000000001E-3</v>
      </c>
      <c r="AD284" s="1">
        <v>0.91156000000000004</v>
      </c>
      <c r="AE284" s="1">
        <v>10.162599999999999</v>
      </c>
      <c r="AF284" s="1">
        <v>0.11360629999999999</v>
      </c>
      <c r="AG284" s="1">
        <v>6.0350000000000001E-2</v>
      </c>
      <c r="AH284" s="1">
        <v>4.4000000000000002E-4</v>
      </c>
      <c r="AI284" s="1">
        <v>-1.5249E-2</v>
      </c>
      <c r="AJ284" s="1">
        <v>3.0200000000000001E-2</v>
      </c>
      <c r="AK284" s="1">
        <v>1.2999999999999999E-3</v>
      </c>
      <c r="AL284" s="1">
        <v>88.9</v>
      </c>
      <c r="AM284" s="1">
        <v>1.6</v>
      </c>
      <c r="AN284" s="1">
        <v>610.1</v>
      </c>
      <c r="AO284" s="1">
        <v>6.8</v>
      </c>
      <c r="AP284" s="1">
        <v>605.29999999999995</v>
      </c>
      <c r="AQ284" s="1">
        <v>6.4</v>
      </c>
      <c r="AR284" s="1">
        <v>601</v>
      </c>
      <c r="AS284" s="1">
        <v>25</v>
      </c>
      <c r="AT284" s="1">
        <v>616</v>
      </c>
      <c r="AU284" s="1">
        <v>16</v>
      </c>
      <c r="AV284" s="1">
        <v>49.9</v>
      </c>
      <c r="AW284" s="1">
        <v>1.5</v>
      </c>
      <c r="AX284" s="1">
        <v>0.73699999999999999</v>
      </c>
      <c r="AY284" s="1">
        <v>3.9E-2</v>
      </c>
      <c r="AZ284" s="1">
        <v>1761.777</v>
      </c>
      <c r="BA284" s="1">
        <v>58.994999999999997</v>
      </c>
      <c r="BB284" s="1">
        <v>11395.35</v>
      </c>
      <c r="BC284" s="1">
        <v>304.28999999999996</v>
      </c>
      <c r="BD284" s="1">
        <v>192572.1</v>
      </c>
      <c r="BE284" s="1">
        <v>4843.8</v>
      </c>
      <c r="BF284" s="1">
        <v>-2.9807999999999999</v>
      </c>
      <c r="BG284" s="1">
        <v>5.4027000000000003</v>
      </c>
      <c r="BH284" s="1">
        <f>BD284/BF284</f>
        <v>-64604.166666666672</v>
      </c>
      <c r="BI284" s="1">
        <f>SQRT((BG284/BF284)^2+(BE284/BD284)^2)*BH284</f>
        <v>-117106.32710233274</v>
      </c>
    </row>
    <row r="285" spans="1:61" x14ac:dyDescent="0.2">
      <c r="A285" t="s">
        <v>161</v>
      </c>
      <c r="B285" t="s">
        <v>38</v>
      </c>
      <c r="C285" t="s">
        <v>162</v>
      </c>
      <c r="D285" t="s">
        <v>163</v>
      </c>
      <c r="E285">
        <v>41708</v>
      </c>
      <c r="F285">
        <v>46401</v>
      </c>
      <c r="G285" t="s">
        <v>163</v>
      </c>
      <c r="H285" s="1">
        <v>239.5</v>
      </c>
      <c r="I285" s="1">
        <v>8.94</v>
      </c>
      <c r="J285" s="11">
        <v>0.81</v>
      </c>
      <c r="K285" s="11">
        <f ca="1">SQRT(K$2^2+(AA285/Z285)^2)*J285</f>
        <v>2.496878050686497E-2</v>
      </c>
      <c r="L285" s="8">
        <v>9.7600000000000006E-2</v>
      </c>
      <c r="M285" s="8">
        <f ca="1">SQRT(M$2^2+(AC285/AB285)^2)*L285</f>
        <v>3.0166710128882138E-3</v>
      </c>
      <c r="N285" s="8">
        <v>0.96916000000000002</v>
      </c>
      <c r="O285" s="9">
        <v>10.245900000000001</v>
      </c>
      <c r="P285" s="9">
        <f ca="1">SQRT(P$2^2+(AF285/AE285)^2)*O285</f>
        <v>0.31668561534171391</v>
      </c>
      <c r="Q285" s="10">
        <v>5.935E-2</v>
      </c>
      <c r="R285" s="10">
        <f ca="1">SQRT(R$2^2+(AH285/AG285)^2)*Q285</f>
        <v>1.2375253532756411E-3</v>
      </c>
      <c r="S285" s="9">
        <f>(((BE285/BD285)^2+(AW285/AV285)^2)+((BE285/BD285)^2+(BC285/BB285)^2)-((BC285/BB285)^2+(AW285/AV285)^2))/(2*SQRT((BE285/BD285)^2+(AW285/AV285)^2)*SQRT((BE285/BD285)^2+(BC285/BB285)^2))</f>
        <v>0.52042171684446192</v>
      </c>
      <c r="T285" s="12">
        <v>3.09E-2</v>
      </c>
      <c r="U285" s="12">
        <f ca="1">SQRT(U$2^2+(AK285/AJ285)^2)*T285</f>
        <v>1.26171470626287E-3</v>
      </c>
      <c r="V285" s="6" t="e">
        <f ca="1">IF(agePb6U8(1/O285)&lt;1400,age7corr(1/O285,Q285,$W$2),agePb76(Q285))</f>
        <v>#NAME?</v>
      </c>
      <c r="W285" s="6" t="e">
        <f ca="1">IF(agePb6U8(1/O285)&lt;1400,ageer7corr(V285,1/O285,P285/O285*(1/O285),Q285,R285,$W$2,0.05),ageerPb76(Q285,R285))</f>
        <v>#NAME?</v>
      </c>
      <c r="X285" s="4" t="e">
        <f ca="1">agePb6U8(L285)/agePb7u5(J285)</f>
        <v>#NAME?</v>
      </c>
      <c r="Z285" s="1">
        <v>0.81</v>
      </c>
      <c r="AA285" s="1">
        <v>1.9E-2</v>
      </c>
      <c r="AB285" s="1">
        <v>9.7600000000000006E-2</v>
      </c>
      <c r="AC285" s="1">
        <v>2.3E-3</v>
      </c>
      <c r="AD285" s="1">
        <v>0.96916000000000002</v>
      </c>
      <c r="AE285" s="1">
        <v>10.245900000000001</v>
      </c>
      <c r="AF285" s="1">
        <v>0.24145059999999999</v>
      </c>
      <c r="AG285" s="1">
        <v>5.935E-2</v>
      </c>
      <c r="AH285" s="1">
        <v>3.5E-4</v>
      </c>
      <c r="AI285" s="1">
        <v>0.23308000000000001</v>
      </c>
      <c r="AJ285" s="1">
        <v>3.09E-2</v>
      </c>
      <c r="AK285" s="1">
        <v>1.1000000000000001E-3</v>
      </c>
      <c r="AL285" s="1">
        <v>89.3</v>
      </c>
      <c r="AM285" s="1">
        <v>1.5</v>
      </c>
      <c r="AN285" s="1">
        <v>602</v>
      </c>
      <c r="AO285" s="1">
        <v>11</v>
      </c>
      <c r="AP285" s="1">
        <v>600</v>
      </c>
      <c r="AQ285" s="1">
        <v>13</v>
      </c>
      <c r="AR285" s="1">
        <v>615</v>
      </c>
      <c r="AS285" s="1">
        <v>21</v>
      </c>
      <c r="AT285" s="1">
        <v>580</v>
      </c>
      <c r="AU285" s="1">
        <v>13</v>
      </c>
      <c r="AV285" s="1">
        <v>51.48</v>
      </c>
      <c r="AW285" s="1">
        <v>0.80999999999999994</v>
      </c>
      <c r="AX285" s="1">
        <v>0.69099999999999995</v>
      </c>
      <c r="AY285" s="1">
        <v>2.3E-2</v>
      </c>
      <c r="AZ285" s="1">
        <v>1767.9869999999999</v>
      </c>
      <c r="BA285" s="1">
        <v>31.05</v>
      </c>
      <c r="BB285" s="1">
        <v>11420.19</v>
      </c>
      <c r="BC285" s="1">
        <v>167.67000000000002</v>
      </c>
      <c r="BD285" s="1">
        <v>195987.6</v>
      </c>
      <c r="BE285" s="1">
        <v>3105</v>
      </c>
      <c r="BF285" s="1">
        <v>0.86939999999999995</v>
      </c>
      <c r="BG285" s="1">
        <v>4.5953999999999997</v>
      </c>
      <c r="BH285" s="1">
        <f>BD285/BF285</f>
        <v>225428.57142857145</v>
      </c>
      <c r="BI285" s="1">
        <f>SQRT((BG285/BF285)^2+(BE285/BD285)^2)*BH285</f>
        <v>1191556.3727066279</v>
      </c>
    </row>
    <row r="286" spans="1:61" x14ac:dyDescent="0.2">
      <c r="A286" t="s">
        <v>377</v>
      </c>
      <c r="B286" t="s">
        <v>38</v>
      </c>
      <c r="C286" t="s">
        <v>378</v>
      </c>
      <c r="D286" t="s">
        <v>379</v>
      </c>
      <c r="E286">
        <v>41744</v>
      </c>
      <c r="F286">
        <v>46403</v>
      </c>
      <c r="G286" t="s">
        <v>379</v>
      </c>
      <c r="H286" s="1">
        <v>244</v>
      </c>
      <c r="I286" s="1">
        <v>9.2100000000000009</v>
      </c>
      <c r="J286" s="11">
        <v>0.79500000000000004</v>
      </c>
      <c r="K286" s="11">
        <f ca="1">SQRT(K$2^2+(AA286/Z286)^2)*J286</f>
        <v>2.477518920210298E-2</v>
      </c>
      <c r="L286" s="8">
        <v>9.6500000000000002E-2</v>
      </c>
      <c r="M286" s="8">
        <f ca="1">SQRT(M$2^2+(AC286/AB286)^2)*L286</f>
        <v>3.0797564838798536E-3</v>
      </c>
      <c r="N286" s="8">
        <v>0.96960000000000002</v>
      </c>
      <c r="O286" s="9">
        <v>10.362690000000001</v>
      </c>
      <c r="P286" s="9">
        <f ca="1">SQRT(P$2^2+(AF286/AE286)^2)*O286</f>
        <v>0.33072089930852566</v>
      </c>
      <c r="Q286" s="10">
        <v>6.012E-2</v>
      </c>
      <c r="R286" s="10">
        <f ca="1">SQRT(R$2^2+(AH286/AG286)^2)*Q286</f>
        <v>1.2736427128516067E-3</v>
      </c>
      <c r="S286" s="9">
        <f>(((BE286/BD286)^2+(AW286/AV286)^2)+((BE286/BD286)^2+(BC286/BB286)^2)-((BC286/BB286)^2+(AW286/AV286)^2))/(2*SQRT((BE286/BD286)^2+(AW286/AV286)^2)*SQRT((BE286/BD286)^2+(BC286/BB286)^2))</f>
        <v>0.43680022443976885</v>
      </c>
      <c r="T286" s="12">
        <v>2.98E-2</v>
      </c>
      <c r="U286" s="12">
        <f ca="1">SQRT(U$2^2+(AK286/AJ286)^2)*T286</f>
        <v>1.6140681522166284E-3</v>
      </c>
      <c r="V286" s="6" t="e">
        <f ca="1">IF(agePb6U8(1/O286)&lt;1400,age7corr(1/O286,Q286,$W$2),agePb76(Q286))</f>
        <v>#NAME?</v>
      </c>
      <c r="W286" s="6" t="e">
        <f ca="1">IF(agePb6U8(1/O286)&lt;1400,ageer7corr(V286,1/O286,P286/O286*(1/O286),Q286,R286,$W$2,0.05),ageerPb76(Q286,R286))</f>
        <v>#NAME?</v>
      </c>
      <c r="X286" s="4" t="e">
        <f ca="1">agePb6U8(L286)/agePb7u5(J286)</f>
        <v>#NAME?</v>
      </c>
      <c r="Z286" s="1">
        <v>0.79500000000000004</v>
      </c>
      <c r="AA286" s="1">
        <v>1.9E-2</v>
      </c>
      <c r="AB286" s="1">
        <v>9.6500000000000002E-2</v>
      </c>
      <c r="AC286" s="1">
        <v>2.3999999999999998E-3</v>
      </c>
      <c r="AD286" s="1">
        <v>0.96960000000000002</v>
      </c>
      <c r="AE286" s="1">
        <v>10.362690000000001</v>
      </c>
      <c r="AF286" s="1">
        <v>0.25772499999999998</v>
      </c>
      <c r="AG286" s="1">
        <v>6.012E-2</v>
      </c>
      <c r="AH286" s="1">
        <v>4.2000000000000002E-4</v>
      </c>
      <c r="AI286" s="1">
        <v>-0.23912</v>
      </c>
      <c r="AJ286" s="1">
        <v>2.98E-2</v>
      </c>
      <c r="AK286" s="1">
        <v>1.5E-3</v>
      </c>
      <c r="AL286" s="1">
        <v>88.6</v>
      </c>
      <c r="AM286" s="1">
        <v>1.3</v>
      </c>
      <c r="AN286" s="1">
        <v>601</v>
      </c>
      <c r="AO286" s="1">
        <v>14</v>
      </c>
      <c r="AP286" s="1">
        <v>594</v>
      </c>
      <c r="AQ286" s="1">
        <v>14</v>
      </c>
      <c r="AR286" s="1">
        <v>594</v>
      </c>
      <c r="AS286" s="1">
        <v>29</v>
      </c>
      <c r="AT286" s="1">
        <v>608</v>
      </c>
      <c r="AU286" s="1">
        <v>15</v>
      </c>
      <c r="AV286" s="1">
        <v>52.1</v>
      </c>
      <c r="AW286" s="1">
        <v>1</v>
      </c>
      <c r="AX286" s="1">
        <v>0.70799999999999996</v>
      </c>
      <c r="AY286" s="1">
        <v>3.6000000000000004E-2</v>
      </c>
      <c r="AZ286" s="1">
        <v>1785.9959999999999</v>
      </c>
      <c r="BA286" s="1">
        <v>27.945</v>
      </c>
      <c r="BB286" s="1">
        <v>11668.589999999998</v>
      </c>
      <c r="BC286" s="1">
        <v>254.60999999999996</v>
      </c>
      <c r="BD286" s="1">
        <v>196049.7</v>
      </c>
      <c r="BE286" s="1">
        <v>3539.7000000000003</v>
      </c>
      <c r="BF286" s="1">
        <v>43.47</v>
      </c>
      <c r="BG286" s="1">
        <v>8.0729999999999986</v>
      </c>
      <c r="BH286" s="1">
        <f>BD286/BF286</f>
        <v>4510</v>
      </c>
      <c r="BI286" s="1">
        <f>SQRT((BG286/BF286)^2+(BE286/BD286)^2)*BH286</f>
        <v>841.52035638128291</v>
      </c>
    </row>
    <row r="287" spans="1:61" x14ac:dyDescent="0.2">
      <c r="A287" t="s">
        <v>596</v>
      </c>
      <c r="B287" t="s">
        <v>38</v>
      </c>
      <c r="C287" t="s">
        <v>597</v>
      </c>
      <c r="D287" t="s">
        <v>598</v>
      </c>
      <c r="E287">
        <v>41782</v>
      </c>
      <c r="F287">
        <v>46404</v>
      </c>
      <c r="G287" t="s">
        <v>598</v>
      </c>
      <c r="H287" s="1">
        <v>233.3</v>
      </c>
      <c r="I287" s="1">
        <v>9.9</v>
      </c>
      <c r="J287" s="11">
        <v>0.81399999999999995</v>
      </c>
      <c r="K287" s="11">
        <f ca="1">SQRT(K$2^2+(AA287/Z287)^2)*J287</f>
        <v>2.2136810971772787E-2</v>
      </c>
      <c r="L287" s="8">
        <v>9.8799999999999999E-2</v>
      </c>
      <c r="M287" s="8">
        <f ca="1">SQRT(M$2^2+(AC287/AB287)^2)*L287</f>
        <v>2.8115077805334274E-3</v>
      </c>
      <c r="N287" s="8">
        <v>0.99058999999999997</v>
      </c>
      <c r="O287" s="9">
        <v>10.121460000000001</v>
      </c>
      <c r="P287" s="9">
        <f ca="1">SQRT(P$2^2+(AF287/AE287)^2)*O287</f>
        <v>0.28802185958964993</v>
      </c>
      <c r="Q287" s="10">
        <v>5.9769999999999997E-2</v>
      </c>
      <c r="R287" s="10">
        <f ca="1">SQRT(R$2^2+(AH287/AG287)^2)*Q287</f>
        <v>1.2484314798978757E-3</v>
      </c>
      <c r="S287" s="9">
        <f>(((BE287/BD287)^2+(AW287/AV287)^2)+((BE287/BD287)^2+(BC287/BB287)^2)-((BC287/BB287)^2+(AW287/AV287)^2))/(2*SQRT((BE287/BD287)^2+(AW287/AV287)^2)*SQRT((BE287/BD287)^2+(BC287/BB287)^2))</f>
        <v>0.37915721534109359</v>
      </c>
      <c r="T287" s="12">
        <v>0.03</v>
      </c>
      <c r="U287" s="12">
        <f ca="1">SQRT(U$2^2+(AK287/AJ287)^2)*T287</f>
        <v>1.4317821063276352E-3</v>
      </c>
      <c r="V287" s="6" t="e">
        <f ca="1">IF(agePb6U8(1/O287)&lt;1400,age7corr(1/O287,Q287,$W$2),agePb76(Q287))</f>
        <v>#NAME?</v>
      </c>
      <c r="W287" s="6" t="e">
        <f ca="1">IF(agePb6U8(1/O287)&lt;1400,ageer7corr(V287,1/O287,P287/O287*(1/O287),Q287,R287,$W$2,0.05),ageerPb76(Q287,R287))</f>
        <v>#NAME?</v>
      </c>
      <c r="X287" s="4" t="e">
        <f ca="1">agePb6U8(L287)/agePb7u5(J287)</f>
        <v>#NAME?</v>
      </c>
      <c r="Z287" s="1">
        <v>0.81399999999999995</v>
      </c>
      <c r="AA287" s="1">
        <v>1.4999999999999999E-2</v>
      </c>
      <c r="AB287" s="1">
        <v>9.8799999999999999E-2</v>
      </c>
      <c r="AC287" s="1">
        <v>2E-3</v>
      </c>
      <c r="AD287" s="1">
        <v>0.99058999999999997</v>
      </c>
      <c r="AE287" s="1">
        <v>10.121460000000001</v>
      </c>
      <c r="AF287" s="1">
        <v>0.20488780000000001</v>
      </c>
      <c r="AG287" s="1">
        <v>5.9769999999999997E-2</v>
      </c>
      <c r="AH287" s="1">
        <v>3.6000000000000002E-4</v>
      </c>
      <c r="AI287" s="1">
        <v>-0.3427</v>
      </c>
      <c r="AJ287" s="1">
        <v>0.03</v>
      </c>
      <c r="AK287" s="1">
        <v>1.2999999999999999E-3</v>
      </c>
      <c r="AL287" s="1">
        <v>87.3</v>
      </c>
      <c r="AM287" s="1">
        <v>1.4</v>
      </c>
      <c r="AN287" s="1">
        <v>604.79999999999995</v>
      </c>
      <c r="AO287" s="1">
        <v>8.1</v>
      </c>
      <c r="AP287" s="1">
        <v>607</v>
      </c>
      <c r="AQ287" s="1">
        <v>12</v>
      </c>
      <c r="AR287" s="1">
        <v>604</v>
      </c>
      <c r="AS287" s="1">
        <v>27</v>
      </c>
      <c r="AT287" s="1">
        <v>595</v>
      </c>
      <c r="AU287" s="1">
        <v>13</v>
      </c>
      <c r="AV287" s="1">
        <v>49.5</v>
      </c>
      <c r="AW287" s="1">
        <v>2</v>
      </c>
      <c r="AX287" s="1">
        <v>0.75600000000000001</v>
      </c>
      <c r="AY287" s="1">
        <v>3.6000000000000004E-2</v>
      </c>
      <c r="AZ287" s="1">
        <v>1780.4070000000002</v>
      </c>
      <c r="BA287" s="1">
        <v>52.785000000000004</v>
      </c>
      <c r="BB287" s="1">
        <v>11320.830000000002</v>
      </c>
      <c r="BC287" s="1">
        <v>329.13</v>
      </c>
      <c r="BD287" s="1">
        <v>192758.39999999999</v>
      </c>
      <c r="BE287" s="1">
        <v>5216.3999999999996</v>
      </c>
      <c r="BF287" s="1">
        <v>7.4519999999999991</v>
      </c>
      <c r="BG287" s="1">
        <v>6.8310000000000004</v>
      </c>
      <c r="BH287" s="1">
        <f>BD287/BF287</f>
        <v>25866.666666666668</v>
      </c>
      <c r="BI287" s="1">
        <f>SQRT((BG287/BF287)^2+(BE287/BD287)^2)*BH287</f>
        <v>23721.441569252427</v>
      </c>
    </row>
    <row r="288" spans="1:61" x14ac:dyDescent="0.2">
      <c r="X288" s="4"/>
    </row>
    <row r="289" spans="1:61" x14ac:dyDescent="0.2">
      <c r="X289" s="4"/>
    </row>
    <row r="290" spans="1:61" x14ac:dyDescent="0.2">
      <c r="A290" t="s">
        <v>971</v>
      </c>
      <c r="B290" t="s">
        <v>38</v>
      </c>
      <c r="C290" t="s">
        <v>972</v>
      </c>
      <c r="D290" t="s">
        <v>973</v>
      </c>
      <c r="E290">
        <v>43582</v>
      </c>
      <c r="F290">
        <v>23621</v>
      </c>
      <c r="G290" t="s">
        <v>973</v>
      </c>
      <c r="H290" s="1">
        <v>403.6</v>
      </c>
      <c r="I290" s="1">
        <v>151.9</v>
      </c>
      <c r="J290" s="11">
        <v>2.886E-2</v>
      </c>
      <c r="K290" s="11">
        <f t="shared" ref="K290:K297" ca="1" si="86">SQRT(K$2^2+(AA290/Z290)^2)*J290</f>
        <v>9.1501903805330735E-4</v>
      </c>
      <c r="L290" s="8">
        <v>4.2960000000000003E-3</v>
      </c>
      <c r="M290" s="8">
        <f t="shared" ref="M290:M297" ca="1" si="87">SQRT(M$2^2+(AC290/AB290)^2)*L290</f>
        <v>9.9409488480728045E-5</v>
      </c>
      <c r="N290" s="8">
        <v>-0.10151</v>
      </c>
      <c r="O290" s="9">
        <v>232.7747</v>
      </c>
      <c r="P290" s="9">
        <f t="shared" ref="P290:P297" ca="1" si="88">SQRT(P$2^2+(AF290/AE290)^2)*O290</f>
        <v>5.3864088092940001</v>
      </c>
      <c r="Q290" s="10">
        <v>4.7620000000000003E-2</v>
      </c>
      <c r="R290" s="10">
        <f t="shared" ref="R290:R297" ca="1" si="89">SQRT(R$2^2+(AH290/AG290)^2)*Q290</f>
        <v>1.3452010110017016E-3</v>
      </c>
      <c r="S290" s="9">
        <f t="shared" ref="S290:S297" si="90">(((BE290/BD290)^2+(AW290/AV290)^2)+((BE290/BD290)^2+(BC290/BB290)^2)-((BC290/BB290)^2+(AW290/AV290)^2))/(2*SQRT((BE290/BD290)^2+(AW290/AV290)^2)*SQRT((BE290/BD290)^2+(BC290/BB290)^2))</f>
        <v>0.48524905147158887</v>
      </c>
      <c r="T290" s="12">
        <v>1.5449999999999999E-3</v>
      </c>
      <c r="U290" s="12">
        <f t="shared" ref="U290:U297" ca="1" si="91">SQRT(U$2^2+(AK290/AJ290)^2)*T290</f>
        <v>5.5414889695820924E-5</v>
      </c>
      <c r="V290" s="6" t="e">
        <f ca="1">IF(agePb6U8(1/O290)&lt;1400,age7corr(1/O290,Q290,$W$2),agePb76(Q290))</f>
        <v>#NAME?</v>
      </c>
      <c r="W290" s="6" t="e">
        <f ca="1">IF(agePb6U8(1/O290)&lt;1400,ageer7corr(V290,1/O290,P290/O290*(1/O290),Q290,R290,$W$2,0.05),ageerPb76(Q290,R290))</f>
        <v>#NAME?</v>
      </c>
      <c r="X290" s="4" t="e">
        <f ca="1">agePb6U8(L290)/agePb7u5(J290)</f>
        <v>#NAME?</v>
      </c>
      <c r="Z290" s="1">
        <v>2.886E-2</v>
      </c>
      <c r="AA290" s="1">
        <v>7.1000000000000002E-4</v>
      </c>
      <c r="AB290" s="1">
        <v>4.2960000000000003E-3</v>
      </c>
      <c r="AC290" s="1">
        <v>5.0000000000000002E-5</v>
      </c>
      <c r="AD290" s="1">
        <v>-0.10151</v>
      </c>
      <c r="AE290" s="1">
        <v>232.7747</v>
      </c>
      <c r="AF290" s="1">
        <v>2.7092019999999999</v>
      </c>
      <c r="AG290" s="1">
        <v>4.7620000000000003E-2</v>
      </c>
      <c r="AH290" s="1">
        <v>9.5E-4</v>
      </c>
      <c r="AI290" s="1">
        <v>0.50460000000000005</v>
      </c>
      <c r="AJ290" s="1">
        <v>1.5449999999999999E-3</v>
      </c>
      <c r="AK290" s="1">
        <v>4.6E-5</v>
      </c>
      <c r="AL290" s="1">
        <v>7.77</v>
      </c>
      <c r="AM290" s="1">
        <v>0.15</v>
      </c>
      <c r="AN290" s="1">
        <v>28.89</v>
      </c>
      <c r="AO290" s="1">
        <v>0.7</v>
      </c>
      <c r="AP290" s="1">
        <v>27.63</v>
      </c>
      <c r="AQ290" s="1">
        <v>0.32</v>
      </c>
      <c r="AR290" s="1">
        <v>31.2</v>
      </c>
      <c r="AS290" s="1">
        <v>0.93</v>
      </c>
      <c r="AT290" s="1">
        <v>64</v>
      </c>
      <c r="AU290" s="1">
        <v>53</v>
      </c>
      <c r="AV290" s="1">
        <v>84.6</v>
      </c>
      <c r="AW290" s="1">
        <v>2.1</v>
      </c>
      <c r="AX290" s="1">
        <v>11.48</v>
      </c>
      <c r="AY290" s="1">
        <v>0.22</v>
      </c>
      <c r="AZ290" s="1">
        <v>1455.0029999999999</v>
      </c>
      <c r="BA290" s="1">
        <v>46.575000000000003</v>
      </c>
      <c r="BB290" s="1">
        <v>673.78499999999997</v>
      </c>
      <c r="BC290" s="1">
        <v>21.734999999999999</v>
      </c>
      <c r="BD290" s="1">
        <v>14121.539999999999</v>
      </c>
      <c r="BE290" s="1">
        <v>391.23</v>
      </c>
      <c r="BF290" s="1">
        <v>-31.05</v>
      </c>
      <c r="BG290" s="1">
        <v>8.6940000000000008</v>
      </c>
      <c r="BH290" s="1">
        <f t="shared" ref="BH290:BH297" si="92">BD290/BF290</f>
        <v>-454.79999999999995</v>
      </c>
      <c r="BI290" s="1">
        <f t="shared" ref="BI290:BI297" si="93">SQRT((BG290/BF290)^2+(BE290/BD290)^2)*BH290</f>
        <v>-127.96583268982387</v>
      </c>
    </row>
    <row r="291" spans="1:61" x14ac:dyDescent="0.2">
      <c r="A291" t="s">
        <v>974</v>
      </c>
      <c r="B291" t="s">
        <v>38</v>
      </c>
      <c r="C291" t="s">
        <v>975</v>
      </c>
      <c r="D291" t="s">
        <v>976</v>
      </c>
      <c r="E291">
        <v>43565</v>
      </c>
      <c r="F291">
        <v>23030</v>
      </c>
      <c r="G291" t="s">
        <v>976</v>
      </c>
      <c r="H291" s="1">
        <v>884</v>
      </c>
      <c r="I291" s="1">
        <v>614</v>
      </c>
      <c r="J291" s="11">
        <v>2.7470000000000001E-2</v>
      </c>
      <c r="K291" s="11">
        <f t="shared" ca="1" si="86"/>
        <v>7.0387524462790991E-4</v>
      </c>
      <c r="L291" s="8">
        <v>4.1669999999999997E-3</v>
      </c>
      <c r="M291" s="8">
        <f t="shared" ca="1" si="87"/>
        <v>8.9635682626953869E-5</v>
      </c>
      <c r="N291" s="8">
        <v>0.54607000000000006</v>
      </c>
      <c r="O291" s="9">
        <v>239.98079999999999</v>
      </c>
      <c r="P291" s="9">
        <f t="shared" ca="1" si="88"/>
        <v>5.1621893411102233</v>
      </c>
      <c r="Q291" s="10">
        <v>4.7230000000000001E-2</v>
      </c>
      <c r="R291" s="10">
        <f t="shared" ca="1" si="89"/>
        <v>1.2061381181274391E-3</v>
      </c>
      <c r="S291" s="9">
        <f t="shared" si="90"/>
        <v>0.47309085848786364</v>
      </c>
      <c r="T291" s="12">
        <v>1.4909999999999999E-3</v>
      </c>
      <c r="U291" s="12">
        <f t="shared" ca="1" si="91"/>
        <v>4.3014327845498177E-5</v>
      </c>
      <c r="V291" s="6" t="e">
        <f ca="1">IF(agePb6U8(1/O291)&lt;1400,age7corr(1/O291,Q291,$W$2),agePb76(Q291))</f>
        <v>#NAME?</v>
      </c>
      <c r="W291" s="6" t="e">
        <f ca="1">IF(agePb6U8(1/O291)&lt;1400,ageer7corr(V291,1/O291,P291/O291*(1/O291),Q291,R291,$W$2,0.05),ageerPb76(Q291,R291))</f>
        <v>#NAME?</v>
      </c>
      <c r="X291" s="4" t="e">
        <f ca="1">agePb6U8(L291)/agePb7u5(J291)</f>
        <v>#NAME?</v>
      </c>
      <c r="Z291" s="1">
        <v>2.7470000000000001E-2</v>
      </c>
      <c r="AA291" s="1">
        <v>4.4000000000000002E-4</v>
      </c>
      <c r="AB291" s="1">
        <v>4.1669999999999997E-3</v>
      </c>
      <c r="AC291" s="1">
        <v>3.3000000000000003E-5</v>
      </c>
      <c r="AD291" s="1">
        <v>0.54607000000000006</v>
      </c>
      <c r="AE291" s="1">
        <v>239.98079999999999</v>
      </c>
      <c r="AF291" s="1">
        <v>1.900496</v>
      </c>
      <c r="AG291" s="1">
        <v>4.7230000000000001E-2</v>
      </c>
      <c r="AH291" s="1">
        <v>7.5000000000000002E-4</v>
      </c>
      <c r="AI291" s="1">
        <v>2.5602E-2</v>
      </c>
      <c r="AJ291" s="1">
        <v>1.4909999999999999E-3</v>
      </c>
      <c r="AK291" s="1">
        <v>3.1000000000000001E-5</v>
      </c>
      <c r="AL291" s="1">
        <v>4.1760000000000002</v>
      </c>
      <c r="AM291" s="1">
        <v>4.4999999999999998E-2</v>
      </c>
      <c r="AN291" s="1">
        <v>27.51</v>
      </c>
      <c r="AO291" s="1">
        <v>0.44</v>
      </c>
      <c r="AP291" s="1">
        <v>26.81</v>
      </c>
      <c r="AQ291" s="1">
        <v>0.21</v>
      </c>
      <c r="AR291" s="1">
        <v>30.12</v>
      </c>
      <c r="AS291" s="1">
        <v>0.63</v>
      </c>
      <c r="AT291" s="1">
        <v>63</v>
      </c>
      <c r="AU291" s="1">
        <v>35</v>
      </c>
      <c r="AV291" s="1">
        <v>185.29999999999998</v>
      </c>
      <c r="AW291" s="1">
        <v>4.5999999999999996</v>
      </c>
      <c r="AX291" s="1">
        <v>46.4</v>
      </c>
      <c r="AY291" s="1">
        <v>1.5</v>
      </c>
      <c r="AZ291" s="1">
        <v>5781.51</v>
      </c>
      <c r="BA291" s="1">
        <v>155.25</v>
      </c>
      <c r="BB291" s="1">
        <v>1388.5559999999998</v>
      </c>
      <c r="BC291" s="1">
        <v>38.502000000000002</v>
      </c>
      <c r="BD291" s="1">
        <v>29932.2</v>
      </c>
      <c r="BE291" s="1">
        <v>745.2</v>
      </c>
      <c r="BF291" s="1">
        <v>-2.9807999999999999</v>
      </c>
      <c r="BG291" s="1">
        <v>6.0858000000000008</v>
      </c>
      <c r="BH291" s="1">
        <f t="shared" si="92"/>
        <v>-10041.666666666668</v>
      </c>
      <c r="BI291" s="1">
        <f t="shared" si="93"/>
        <v>-20503.260315609259</v>
      </c>
    </row>
    <row r="292" spans="1:61" x14ac:dyDescent="0.2">
      <c r="A292" t="s">
        <v>977</v>
      </c>
      <c r="B292" t="s">
        <v>38</v>
      </c>
      <c r="C292" t="s">
        <v>978</v>
      </c>
      <c r="D292" t="s">
        <v>979</v>
      </c>
      <c r="E292">
        <v>43617</v>
      </c>
      <c r="F292">
        <v>22643</v>
      </c>
      <c r="G292" t="s">
        <v>979</v>
      </c>
      <c r="H292" s="1">
        <v>229.5</v>
      </c>
      <c r="I292" s="1">
        <v>167.2</v>
      </c>
      <c r="J292" s="11">
        <v>2.843E-2</v>
      </c>
      <c r="K292" s="11">
        <f t="shared" ca="1" si="86"/>
        <v>9.6524916990381297E-4</v>
      </c>
      <c r="L292" s="8">
        <v>4.2960000000000003E-3</v>
      </c>
      <c r="M292" s="8">
        <f t="shared" ca="1" si="87"/>
        <v>1.0310793567907372E-4</v>
      </c>
      <c r="N292" s="8">
        <v>0.35010000000000002</v>
      </c>
      <c r="O292" s="9">
        <v>232.7747</v>
      </c>
      <c r="P292" s="9">
        <f t="shared" ca="1" si="88"/>
        <v>5.5868059784743735</v>
      </c>
      <c r="Q292" s="10">
        <v>4.82E-2</v>
      </c>
      <c r="R292" s="10">
        <f t="shared" ca="1" si="89"/>
        <v>1.699792928565124E-3</v>
      </c>
      <c r="S292" s="9">
        <f t="shared" si="90"/>
        <v>0.37597902555897456</v>
      </c>
      <c r="T292" s="12">
        <v>1.519E-3</v>
      </c>
      <c r="U292" s="12">
        <f t="shared" ca="1" si="91"/>
        <v>4.0644118885762555E-5</v>
      </c>
      <c r="V292" s="6" t="e">
        <f ca="1">IF(agePb6U8(1/O292)&lt;1400,age7corr(1/O292,Q292,$W$2),agePb76(Q292))</f>
        <v>#NAME?</v>
      </c>
      <c r="W292" s="6" t="e">
        <f ca="1">IF(agePb6U8(1/O292)&lt;1400,ageer7corr(V292,1/O292,P292/O292*(1/O292),Q292,R292,$W$2,0.05),ageerPb76(Q292,R292))</f>
        <v>#NAME?</v>
      </c>
      <c r="X292" s="4" t="e">
        <f ca="1">agePb6U8(L292)/agePb7u5(J292)</f>
        <v>#NAME?</v>
      </c>
      <c r="Z292" s="1">
        <v>2.843E-2</v>
      </c>
      <c r="AA292" s="1">
        <v>7.7999999999999999E-4</v>
      </c>
      <c r="AB292" s="1">
        <v>4.2960000000000003E-3</v>
      </c>
      <c r="AC292" s="1">
        <v>5.7000000000000003E-5</v>
      </c>
      <c r="AD292" s="1">
        <v>0.35010000000000002</v>
      </c>
      <c r="AE292" s="1">
        <v>232.7747</v>
      </c>
      <c r="AF292" s="1">
        <v>3.0884909999999999</v>
      </c>
      <c r="AG292" s="1">
        <v>4.82E-2</v>
      </c>
      <c r="AH292" s="1">
        <v>1.4E-3</v>
      </c>
      <c r="AI292" s="1">
        <v>-2.0015000000000002E-2</v>
      </c>
      <c r="AJ292" s="1">
        <v>1.519E-3</v>
      </c>
      <c r="AK292" s="1">
        <v>2.6999999999999999E-5</v>
      </c>
      <c r="AL292" s="1">
        <v>3.968</v>
      </c>
      <c r="AM292" s="1">
        <v>5.7000000000000002E-2</v>
      </c>
      <c r="AN292" s="1">
        <v>28.46</v>
      </c>
      <c r="AO292" s="1">
        <v>0.77</v>
      </c>
      <c r="AP292" s="1">
        <v>27.64</v>
      </c>
      <c r="AQ292" s="1">
        <v>0.36</v>
      </c>
      <c r="AR292" s="1">
        <v>30.67</v>
      </c>
      <c r="AS292" s="1">
        <v>0.54</v>
      </c>
      <c r="AT292" s="1">
        <v>91</v>
      </c>
      <c r="AU292" s="1">
        <v>67</v>
      </c>
      <c r="AV292" s="1">
        <v>48.11</v>
      </c>
      <c r="AW292" s="1">
        <v>0.73</v>
      </c>
      <c r="AX292" s="1">
        <v>12.63</v>
      </c>
      <c r="AY292" s="1">
        <v>0.33</v>
      </c>
      <c r="AZ292" s="1">
        <v>1613.979</v>
      </c>
      <c r="BA292" s="1">
        <v>30.428999999999998</v>
      </c>
      <c r="BB292" s="1">
        <v>370.73699999999997</v>
      </c>
      <c r="BC292" s="1">
        <v>11.799000000000001</v>
      </c>
      <c r="BD292" s="1">
        <v>7942.5899999999992</v>
      </c>
      <c r="BE292" s="1">
        <v>142.82999999999998</v>
      </c>
      <c r="BF292" s="1">
        <v>-7.9488000000000012</v>
      </c>
      <c r="BG292" s="1">
        <v>5.0301</v>
      </c>
      <c r="BH292" s="1">
        <f t="shared" si="92"/>
        <v>-999.21874999999977</v>
      </c>
      <c r="BI292" s="1">
        <f t="shared" si="93"/>
        <v>-632.57337505629687</v>
      </c>
    </row>
    <row r="293" spans="1:61" x14ac:dyDescent="0.2">
      <c r="A293" t="s">
        <v>980</v>
      </c>
      <c r="B293" t="s">
        <v>38</v>
      </c>
      <c r="C293" t="s">
        <v>981</v>
      </c>
      <c r="D293" t="s">
        <v>982</v>
      </c>
      <c r="E293">
        <v>43557</v>
      </c>
      <c r="F293">
        <v>22717</v>
      </c>
      <c r="G293" t="s">
        <v>982</v>
      </c>
      <c r="H293" s="1">
        <v>109.8</v>
      </c>
      <c r="I293" s="1">
        <v>46.4</v>
      </c>
      <c r="J293" s="11">
        <v>0.03</v>
      </c>
      <c r="K293" s="11">
        <f t="shared" ca="1" si="86"/>
        <v>1.6155494421403514E-3</v>
      </c>
      <c r="L293" s="8">
        <v>4.2820000000000002E-3</v>
      </c>
      <c r="M293" s="8">
        <f t="shared" ca="1" si="87"/>
        <v>9.9167583413129514E-5</v>
      </c>
      <c r="N293" s="8">
        <v>0.11940000000000001</v>
      </c>
      <c r="O293" s="9">
        <v>233.53569999999999</v>
      </c>
      <c r="P293" s="9">
        <f t="shared" ca="1" si="88"/>
        <v>5.4084941721892434</v>
      </c>
      <c r="Q293" s="10">
        <v>5.0500000000000003E-2</v>
      </c>
      <c r="R293" s="10">
        <f t="shared" ca="1" si="89"/>
        <v>2.7892830620071534E-3</v>
      </c>
      <c r="S293" s="9">
        <f t="shared" si="90"/>
        <v>0.40491676574563112</v>
      </c>
      <c r="T293" s="12">
        <v>1.542E-3</v>
      </c>
      <c r="U293" s="12">
        <f t="shared" ca="1" si="91"/>
        <v>5.959954362241375E-5</v>
      </c>
      <c r="V293" s="6" t="e">
        <f ca="1">IF(agePb6U8(1/O293)&lt;1400,age7corr(1/O293,Q293,$W$2),agePb76(Q293))</f>
        <v>#NAME?</v>
      </c>
      <c r="W293" s="6" t="e">
        <f ca="1">IF(agePb6U8(1/O293)&lt;1400,ageer7corr(V293,1/O293,P293/O293*(1/O293),Q293,R293,$W$2,0.05),ageerPb76(Q293,R293))</f>
        <v>#NAME?</v>
      </c>
      <c r="X293" s="4" t="e">
        <f ca="1">agePb6U8(L293)/agePb7u5(J293)</f>
        <v>#NAME?</v>
      </c>
      <c r="Z293" s="1">
        <v>0.03</v>
      </c>
      <c r="AA293" s="1">
        <v>1.5E-3</v>
      </c>
      <c r="AB293" s="1">
        <v>4.2820000000000002E-3</v>
      </c>
      <c r="AC293" s="1">
        <v>5.0000000000000002E-5</v>
      </c>
      <c r="AD293" s="1">
        <v>0.11940000000000001</v>
      </c>
      <c r="AE293" s="1">
        <v>233.53569999999999</v>
      </c>
      <c r="AF293" s="1">
        <v>2.726947</v>
      </c>
      <c r="AG293" s="1">
        <v>5.0500000000000003E-2</v>
      </c>
      <c r="AH293" s="1">
        <v>2.5999999999999999E-3</v>
      </c>
      <c r="AI293" s="1">
        <v>0.11233</v>
      </c>
      <c r="AJ293" s="1">
        <v>1.542E-3</v>
      </c>
      <c r="AK293" s="1">
        <v>5.1E-5</v>
      </c>
      <c r="AL293" s="1">
        <v>6.78</v>
      </c>
      <c r="AM293" s="1">
        <v>0.19</v>
      </c>
      <c r="AN293" s="1">
        <v>30</v>
      </c>
      <c r="AO293" s="1">
        <v>1.5</v>
      </c>
      <c r="AP293" s="1">
        <v>27.55</v>
      </c>
      <c r="AQ293" s="1">
        <v>0.32</v>
      </c>
      <c r="AR293" s="1">
        <v>31.1</v>
      </c>
      <c r="AS293" s="1">
        <v>1</v>
      </c>
      <c r="AT293" s="1">
        <v>210</v>
      </c>
      <c r="AU293" s="1">
        <v>110</v>
      </c>
      <c r="AV293" s="1">
        <v>23</v>
      </c>
      <c r="AW293" s="1">
        <v>0.84000000000000008</v>
      </c>
      <c r="AX293" s="1">
        <v>3.5100000000000002</v>
      </c>
      <c r="AY293" s="1">
        <v>0.21000000000000002</v>
      </c>
      <c r="AZ293" s="1">
        <v>437.80500000000001</v>
      </c>
      <c r="BA293" s="1">
        <v>18.63</v>
      </c>
      <c r="BB293" s="1">
        <v>189.405</v>
      </c>
      <c r="BC293" s="1">
        <v>13.662000000000001</v>
      </c>
      <c r="BD293" s="1">
        <v>3775.68</v>
      </c>
      <c r="BE293" s="1">
        <v>167.67000000000002</v>
      </c>
      <c r="BF293" s="1">
        <v>-1.6146</v>
      </c>
      <c r="BG293" s="1">
        <v>5.4647999999999994</v>
      </c>
      <c r="BH293" s="1">
        <f t="shared" si="92"/>
        <v>-2338.4615384615381</v>
      </c>
      <c r="BI293" s="1">
        <f t="shared" si="93"/>
        <v>-7915.4741275676215</v>
      </c>
    </row>
    <row r="294" spans="1:61" x14ac:dyDescent="0.2">
      <c r="A294" t="s">
        <v>983</v>
      </c>
      <c r="B294" t="s">
        <v>38</v>
      </c>
      <c r="C294" t="s">
        <v>984</v>
      </c>
      <c r="D294" t="s">
        <v>985</v>
      </c>
      <c r="E294">
        <v>43579</v>
      </c>
      <c r="F294">
        <v>22452</v>
      </c>
      <c r="G294" t="s">
        <v>985</v>
      </c>
      <c r="H294" s="1">
        <v>3.15</v>
      </c>
      <c r="I294" s="1">
        <v>6.05</v>
      </c>
      <c r="J294" s="11" t="s">
        <v>575</v>
      </c>
      <c r="K294" s="11" t="e">
        <f t="shared" ca="1" si="86"/>
        <v>#VALUE!</v>
      </c>
      <c r="L294" s="8" t="s">
        <v>575</v>
      </c>
      <c r="M294" s="8" t="e">
        <f t="shared" ca="1" si="87"/>
        <v>#VALUE!</v>
      </c>
      <c r="N294" s="8" t="s">
        <v>577</v>
      </c>
      <c r="P294" s="9" t="e">
        <f t="shared" ca="1" si="88"/>
        <v>#DIV/0!</v>
      </c>
      <c r="Q294" s="10" t="s">
        <v>575</v>
      </c>
      <c r="R294" s="10" t="e">
        <f t="shared" ca="1" si="89"/>
        <v>#VALUE!</v>
      </c>
      <c r="S294" s="9">
        <f t="shared" si="90"/>
        <v>0.35150890917298333</v>
      </c>
      <c r="T294" s="12" t="s">
        <v>575</v>
      </c>
      <c r="U294" s="12" t="e">
        <f t="shared" ca="1" si="91"/>
        <v>#VALUE!</v>
      </c>
      <c r="V294" s="6" t="e">
        <f ca="1">IF(agePb6U8(1/O294)&lt;1400,age7corr(1/O294,Q294,$W$2),agePb76(Q294))</f>
        <v>#NAME?</v>
      </c>
      <c r="W294" s="6" t="e">
        <f ca="1">IF(agePb6U8(1/O294)&lt;1400,ageer7corr(V294,1/O294,P294/O294*(1/O294),Q294,R294,$W$2,0.05),ageerPb76(Q294,R294))</f>
        <v>#NAME?</v>
      </c>
      <c r="X294" s="4" t="e">
        <f ca="1">agePb6U8(L294)/agePb7u5(J294)</f>
        <v>#NAME?</v>
      </c>
      <c r="Z294" s="1" t="s">
        <v>575</v>
      </c>
      <c r="AA294" s="1" t="s">
        <v>576</v>
      </c>
      <c r="AB294" s="1" t="s">
        <v>575</v>
      </c>
      <c r="AC294" s="1" t="s">
        <v>576</v>
      </c>
      <c r="AD294" s="1" t="s">
        <v>577</v>
      </c>
      <c r="AG294" s="1" t="s">
        <v>575</v>
      </c>
      <c r="AH294" s="1" t="s">
        <v>576</v>
      </c>
      <c r="AI294" s="1" t="s">
        <v>577</v>
      </c>
      <c r="AJ294" s="1" t="s">
        <v>575</v>
      </c>
      <c r="AK294" s="1" t="s">
        <v>576</v>
      </c>
      <c r="AL294" s="1" t="s">
        <v>575</v>
      </c>
      <c r="AM294" s="1" t="s">
        <v>576</v>
      </c>
      <c r="AN294" s="1" t="s">
        <v>575</v>
      </c>
      <c r="AO294" s="1" t="s">
        <v>576</v>
      </c>
      <c r="AP294" s="1" t="s">
        <v>575</v>
      </c>
      <c r="AQ294" s="1" t="s">
        <v>576</v>
      </c>
      <c r="AR294" s="1" t="s">
        <v>575</v>
      </c>
      <c r="AS294" s="1" t="s">
        <v>576</v>
      </c>
      <c r="AT294" s="1" t="s">
        <v>575</v>
      </c>
      <c r="AU294" s="1" t="s">
        <v>576</v>
      </c>
      <c r="AV294" s="1">
        <v>0.65899999999999992</v>
      </c>
      <c r="AW294" s="1">
        <v>0.04</v>
      </c>
      <c r="AX294" s="1">
        <v>0.45700000000000002</v>
      </c>
      <c r="AY294" s="1">
        <v>3.1E-2</v>
      </c>
      <c r="AZ294" s="1">
        <v>121.095</v>
      </c>
      <c r="BA294" s="1">
        <v>9.9359999999999999</v>
      </c>
      <c r="BB294" s="1">
        <v>35.148600000000002</v>
      </c>
      <c r="BC294" s="1">
        <v>5.8373999999999997</v>
      </c>
      <c r="BD294" s="1">
        <v>283.17600000000004</v>
      </c>
      <c r="BE294" s="1">
        <v>22.977</v>
      </c>
      <c r="BF294" s="1">
        <v>-18.63</v>
      </c>
      <c r="BG294" s="1">
        <v>6.2099999999999991</v>
      </c>
      <c r="BH294" s="1">
        <f t="shared" si="92"/>
        <v>-15.200000000000003</v>
      </c>
      <c r="BI294" s="1">
        <f t="shared" si="93"/>
        <v>-5.214616210443701</v>
      </c>
    </row>
    <row r="295" spans="1:61" x14ac:dyDescent="0.2">
      <c r="A295" t="s">
        <v>986</v>
      </c>
      <c r="B295" t="s">
        <v>38</v>
      </c>
      <c r="C295" t="s">
        <v>987</v>
      </c>
      <c r="D295" t="s">
        <v>988</v>
      </c>
      <c r="E295">
        <v>43595</v>
      </c>
      <c r="F295">
        <v>22262</v>
      </c>
      <c r="G295" t="s">
        <v>988</v>
      </c>
      <c r="H295" s="1">
        <v>655</v>
      </c>
      <c r="I295" s="1">
        <v>351</v>
      </c>
      <c r="J295" s="11">
        <v>2.8709999999999999E-2</v>
      </c>
      <c r="K295" s="11">
        <f t="shared" ca="1" si="86"/>
        <v>9.0537596610468956E-4</v>
      </c>
      <c r="L295" s="8">
        <v>4.3680000000000004E-3</v>
      </c>
      <c r="M295" s="8">
        <f t="shared" ca="1" si="87"/>
        <v>9.6502692190425453E-5</v>
      </c>
      <c r="N295" s="8">
        <v>0.43725999999999998</v>
      </c>
      <c r="O295" s="9">
        <v>228.93770000000001</v>
      </c>
      <c r="P295" s="9">
        <f t="shared" ca="1" si="88"/>
        <v>5.0579453314819451</v>
      </c>
      <c r="Q295" s="10">
        <v>4.7390000000000002E-2</v>
      </c>
      <c r="R295" s="10">
        <f t="shared" ca="1" si="89"/>
        <v>1.3070290126848754E-3</v>
      </c>
      <c r="S295" s="9">
        <f t="shared" si="90"/>
        <v>0.46492079320309238</v>
      </c>
      <c r="T295" s="12">
        <v>1.64E-3</v>
      </c>
      <c r="U295" s="12">
        <f t="shared" ca="1" si="91"/>
        <v>6.0636952430015809E-5</v>
      </c>
      <c r="V295" s="6" t="e">
        <f ca="1">IF(agePb6U8(1/O295)&lt;1400,age7corr(1/O295,Q295,$W$2),agePb76(Q295))</f>
        <v>#NAME?</v>
      </c>
      <c r="W295" s="6" t="e">
        <f ca="1">IF(agePb6U8(1/O295)&lt;1400,ageer7corr(V295,1/O295,P295/O295*(1/O295),Q295,R295,$W$2,0.05),ageerPb76(Q295,R295))</f>
        <v>#NAME?</v>
      </c>
      <c r="X295" s="4" t="e">
        <f ca="1">agePb6U8(L295)/agePb7u5(J295)</f>
        <v>#NAME?</v>
      </c>
      <c r="Z295" s="1">
        <v>2.8709999999999999E-2</v>
      </c>
      <c r="AA295" s="1">
        <v>6.9999999999999999E-4</v>
      </c>
      <c r="AB295" s="1">
        <v>4.3680000000000004E-3</v>
      </c>
      <c r="AC295" s="1">
        <v>4.1E-5</v>
      </c>
      <c r="AD295" s="1">
        <v>0.43725999999999998</v>
      </c>
      <c r="AE295" s="1">
        <v>228.93770000000001</v>
      </c>
      <c r="AF295" s="1">
        <v>2.1489120000000002</v>
      </c>
      <c r="AG295" s="1">
        <v>4.7390000000000002E-2</v>
      </c>
      <c r="AH295" s="1">
        <v>8.9999999999999998E-4</v>
      </c>
      <c r="AI295" s="1">
        <v>-8.251E-2</v>
      </c>
      <c r="AJ295" s="1">
        <v>1.64E-3</v>
      </c>
      <c r="AK295" s="1">
        <v>5.1E-5</v>
      </c>
      <c r="AL295" s="1">
        <v>5.0999999999999996</v>
      </c>
      <c r="AM295" s="1">
        <v>0.14000000000000001</v>
      </c>
      <c r="AN295" s="1">
        <v>28.74</v>
      </c>
      <c r="AO295" s="1">
        <v>0.69</v>
      </c>
      <c r="AP295" s="1">
        <v>28.1</v>
      </c>
      <c r="AQ295" s="1">
        <v>0.26</v>
      </c>
      <c r="AR295" s="1">
        <v>33.1</v>
      </c>
      <c r="AS295" s="1">
        <v>1</v>
      </c>
      <c r="AT295" s="1">
        <v>71</v>
      </c>
      <c r="AU295" s="1">
        <v>42</v>
      </c>
      <c r="AV295" s="1">
        <v>137.30000000000001</v>
      </c>
      <c r="AW295" s="1">
        <v>7.8</v>
      </c>
      <c r="AX295" s="1">
        <v>26.540000000000003</v>
      </c>
      <c r="AY295" s="1">
        <v>0.82</v>
      </c>
      <c r="AZ295" s="1">
        <v>3552.12</v>
      </c>
      <c r="BA295" s="1">
        <v>105.57000000000001</v>
      </c>
      <c r="BB295" s="1">
        <v>1082.403</v>
      </c>
      <c r="BC295" s="1">
        <v>57.132000000000005</v>
      </c>
      <c r="BD295" s="1">
        <v>23101.200000000001</v>
      </c>
      <c r="BE295" s="1">
        <v>1179.8999999999999</v>
      </c>
      <c r="BF295" s="1">
        <v>49.679999999999993</v>
      </c>
      <c r="BG295" s="1">
        <v>6.2099999999999991</v>
      </c>
      <c r="BH295" s="1">
        <f t="shared" si="92"/>
        <v>465.00000000000006</v>
      </c>
      <c r="BI295" s="1">
        <f t="shared" si="93"/>
        <v>62.789952420749614</v>
      </c>
    </row>
    <row r="296" spans="1:61" x14ac:dyDescent="0.2">
      <c r="A296" t="s">
        <v>989</v>
      </c>
      <c r="B296" t="s">
        <v>38</v>
      </c>
      <c r="C296" t="s">
        <v>990</v>
      </c>
      <c r="D296" t="s">
        <v>991</v>
      </c>
      <c r="E296">
        <v>43570</v>
      </c>
      <c r="F296">
        <v>21936</v>
      </c>
      <c r="G296" t="s">
        <v>991</v>
      </c>
      <c r="H296" s="1">
        <v>545</v>
      </c>
      <c r="I296" s="1">
        <v>471</v>
      </c>
      <c r="J296" s="11">
        <v>2.7609999999999999E-2</v>
      </c>
      <c r="K296" s="11">
        <f t="shared" ca="1" si="86"/>
        <v>7.9361504522028814E-4</v>
      </c>
      <c r="L296" s="8">
        <v>4.2500000000000003E-3</v>
      </c>
      <c r="M296" s="8">
        <f t="shared" ca="1" si="87"/>
        <v>9.394147114027969E-5</v>
      </c>
      <c r="N296" s="8">
        <v>0.47434999999999999</v>
      </c>
      <c r="O296" s="9">
        <v>235.29409999999999</v>
      </c>
      <c r="P296" s="9">
        <f t="shared" ca="1" si="88"/>
        <v>5.2009116322057425</v>
      </c>
      <c r="Q296" s="10">
        <v>4.6330000000000003E-2</v>
      </c>
      <c r="R296" s="10">
        <f t="shared" ca="1" si="89"/>
        <v>1.2778840166462685E-3</v>
      </c>
      <c r="S296" s="9">
        <f t="shared" si="90"/>
        <v>0.38803577648251358</v>
      </c>
      <c r="T296" s="12">
        <v>1.4679999999999999E-3</v>
      </c>
      <c r="U296" s="12">
        <f t="shared" ca="1" si="91"/>
        <v>3.9217465496893087E-5</v>
      </c>
      <c r="V296" s="6" t="e">
        <f ca="1">IF(agePb6U8(1/O296)&lt;1400,age7corr(1/O296,Q296,$W$2),agePb76(Q296))</f>
        <v>#NAME?</v>
      </c>
      <c r="W296" s="6" t="e">
        <f ca="1">IF(agePb6U8(1/O296)&lt;1400,ageer7corr(V296,1/O296,P296/O296*(1/O296),Q296,R296,$W$2,0.05),ageerPb76(Q296,R296))</f>
        <v>#NAME?</v>
      </c>
      <c r="X296" s="4" t="e">
        <f ca="1">agePb6U8(L296)/agePb7u5(J296)</f>
        <v>#NAME?</v>
      </c>
      <c r="Z296" s="1">
        <v>2.7609999999999999E-2</v>
      </c>
      <c r="AA296" s="1">
        <v>5.6999999999999998E-4</v>
      </c>
      <c r="AB296" s="1">
        <v>4.2500000000000003E-3</v>
      </c>
      <c r="AC296" s="1">
        <v>4.0000000000000003E-5</v>
      </c>
      <c r="AD296" s="1">
        <v>0.47434999999999999</v>
      </c>
      <c r="AE296" s="1">
        <v>235.29409999999999</v>
      </c>
      <c r="AF296" s="1">
        <v>2.2145329999999999</v>
      </c>
      <c r="AG296" s="1">
        <v>4.6330000000000003E-2</v>
      </c>
      <c r="AH296" s="1">
        <v>8.8000000000000003E-4</v>
      </c>
      <c r="AI296" s="1">
        <v>-8.3045999999999995E-2</v>
      </c>
      <c r="AJ296" s="1">
        <v>1.4679999999999999E-3</v>
      </c>
      <c r="AK296" s="1">
        <v>2.5999999999999998E-5</v>
      </c>
      <c r="AL296" s="1">
        <v>3.5510000000000002</v>
      </c>
      <c r="AM296" s="1">
        <v>2.5000000000000001E-2</v>
      </c>
      <c r="AN296" s="1">
        <v>27.66</v>
      </c>
      <c r="AO296" s="1">
        <v>0.56000000000000005</v>
      </c>
      <c r="AP296" s="1">
        <v>27.34</v>
      </c>
      <c r="AQ296" s="1">
        <v>0.26</v>
      </c>
      <c r="AR296" s="1">
        <v>29.65</v>
      </c>
      <c r="AS296" s="1">
        <v>0.52</v>
      </c>
      <c r="AT296" s="1">
        <v>23</v>
      </c>
      <c r="AU296" s="1">
        <v>39</v>
      </c>
      <c r="AV296" s="1">
        <v>114.2</v>
      </c>
      <c r="AW296" s="1">
        <v>2.4</v>
      </c>
      <c r="AX296" s="1">
        <v>35.56</v>
      </c>
      <c r="AY296" s="1">
        <v>0.79</v>
      </c>
      <c r="AZ296" s="1">
        <v>4235.22</v>
      </c>
      <c r="BA296" s="1">
        <v>93.15</v>
      </c>
      <c r="BB296" s="1">
        <v>863.19</v>
      </c>
      <c r="BC296" s="1">
        <v>31.05</v>
      </c>
      <c r="BD296" s="1">
        <v>18747.990000000002</v>
      </c>
      <c r="BE296" s="1">
        <v>422.28000000000003</v>
      </c>
      <c r="BF296" s="1">
        <v>-2.9807999999999999</v>
      </c>
      <c r="BG296" s="1">
        <v>5.1543000000000001</v>
      </c>
      <c r="BH296" s="1">
        <f t="shared" si="92"/>
        <v>-6289.5833333333339</v>
      </c>
      <c r="BI296" s="1">
        <f t="shared" si="93"/>
        <v>-10876.660478563552</v>
      </c>
    </row>
    <row r="297" spans="1:61" x14ac:dyDescent="0.2">
      <c r="A297" t="s">
        <v>998</v>
      </c>
      <c r="B297" t="s">
        <v>38</v>
      </c>
      <c r="C297" t="s">
        <v>999</v>
      </c>
      <c r="D297" t="s">
        <v>1000</v>
      </c>
      <c r="E297">
        <v>43550</v>
      </c>
      <c r="F297">
        <v>21547</v>
      </c>
      <c r="G297" t="s">
        <v>1000</v>
      </c>
      <c r="H297" s="1">
        <v>467</v>
      </c>
      <c r="I297" s="1">
        <v>337.1</v>
      </c>
      <c r="J297" s="11">
        <v>2.75E-2</v>
      </c>
      <c r="K297" s="11">
        <f t="shared" ca="1" si="86"/>
        <v>8.3630138108220303E-4</v>
      </c>
      <c r="L297" s="8">
        <v>4.261E-3</v>
      </c>
      <c r="M297" s="8">
        <f t="shared" ca="1" si="87"/>
        <v>9.034626943045297E-5</v>
      </c>
      <c r="N297" s="8">
        <v>-0.13483999999999999</v>
      </c>
      <c r="O297" s="9">
        <v>234.6867</v>
      </c>
      <c r="P297" s="9">
        <f t="shared" ca="1" si="88"/>
        <v>4.9760777541132741</v>
      </c>
      <c r="Q297" s="10">
        <v>4.6600000000000003E-2</v>
      </c>
      <c r="R297" s="10">
        <f t="shared" ca="1" si="89"/>
        <v>1.5194156771601377E-3</v>
      </c>
      <c r="S297" s="9">
        <f t="shared" si="90"/>
        <v>0.47712633658348858</v>
      </c>
      <c r="T297" s="12">
        <v>1.5100000000000001E-3</v>
      </c>
      <c r="U297" s="12">
        <f t="shared" ca="1" si="91"/>
        <v>3.4176600181995871E-5</v>
      </c>
      <c r="V297" s="6" t="e">
        <f ca="1">IF(agePb6U8(1/O297)&lt;1400,age7corr(1/O297,Q297,$W$2),agePb76(Q297))</f>
        <v>#NAME?</v>
      </c>
      <c r="W297" s="6" t="e">
        <f ca="1">IF(agePb6U8(1/O297)&lt;1400,ageer7corr(V297,1/O297,P297/O297*(1/O297),Q297,R297,$W$2,0.05),ageerPb76(Q297,R297))</f>
        <v>#NAME?</v>
      </c>
      <c r="X297" s="4" t="e">
        <f ca="1">agePb6U8(L297)/agePb7u5(J297)</f>
        <v>#NAME?</v>
      </c>
      <c r="Z297" s="1">
        <v>2.75E-2</v>
      </c>
      <c r="AA297" s="1">
        <v>6.3000000000000003E-4</v>
      </c>
      <c r="AB297" s="1">
        <v>4.261E-3</v>
      </c>
      <c r="AC297" s="1">
        <v>3.0000000000000001E-5</v>
      </c>
      <c r="AD297" s="1">
        <v>-0.13483999999999999</v>
      </c>
      <c r="AE297" s="1">
        <v>234.6867</v>
      </c>
      <c r="AF297" s="1">
        <v>1.6523350000000001</v>
      </c>
      <c r="AG297" s="1">
        <v>4.6600000000000003E-2</v>
      </c>
      <c r="AH297" s="1">
        <v>1.1999999999999999E-3</v>
      </c>
      <c r="AI297" s="1">
        <v>0.44219999999999998</v>
      </c>
      <c r="AJ297" s="1">
        <v>1.5100000000000001E-3</v>
      </c>
      <c r="AK297" s="1">
        <v>1.5999999999999999E-5</v>
      </c>
      <c r="AL297" s="1">
        <v>3.9020000000000001</v>
      </c>
      <c r="AM297" s="1">
        <v>3.5000000000000003E-2</v>
      </c>
      <c r="AN297" s="1">
        <v>27.55</v>
      </c>
      <c r="AO297" s="1">
        <v>0.63</v>
      </c>
      <c r="AP297" s="1">
        <v>27.41</v>
      </c>
      <c r="AQ297" s="1">
        <v>0.19</v>
      </c>
      <c r="AR297" s="1">
        <v>30.49</v>
      </c>
      <c r="AS297" s="1">
        <v>0.32</v>
      </c>
      <c r="AT297" s="1">
        <v>35</v>
      </c>
      <c r="AU297" s="1">
        <v>53</v>
      </c>
      <c r="AV297" s="1">
        <v>97.9</v>
      </c>
      <c r="AW297" s="1">
        <v>4.5</v>
      </c>
      <c r="AX297" s="1">
        <v>25.46</v>
      </c>
      <c r="AY297" s="1">
        <v>0.43</v>
      </c>
      <c r="AZ297" s="1">
        <v>3278.88</v>
      </c>
      <c r="BA297" s="1">
        <v>124.2</v>
      </c>
      <c r="BB297" s="1">
        <v>738.36899999999991</v>
      </c>
      <c r="BC297" s="1">
        <v>26.702999999999999</v>
      </c>
      <c r="BD297" s="1">
        <v>15835.5</v>
      </c>
      <c r="BE297" s="1">
        <v>621</v>
      </c>
      <c r="BF297" s="1">
        <v>-9.8118000000000016</v>
      </c>
      <c r="BG297" s="1">
        <v>5.0301</v>
      </c>
      <c r="BH297" s="1">
        <f t="shared" si="92"/>
        <v>-1613.9240506329111</v>
      </c>
      <c r="BI297" s="1">
        <f t="shared" si="93"/>
        <v>-829.80863419189086</v>
      </c>
    </row>
    <row r="298" spans="1:61" x14ac:dyDescent="0.2">
      <c r="X298" s="4"/>
    </row>
    <row r="299" spans="1:61" x14ac:dyDescent="0.2">
      <c r="X299" s="4"/>
    </row>
    <row r="300" spans="1:61" x14ac:dyDescent="0.2">
      <c r="A300" t="s">
        <v>89</v>
      </c>
      <c r="B300" t="s">
        <v>38</v>
      </c>
      <c r="C300" t="s">
        <v>90</v>
      </c>
      <c r="D300" t="s">
        <v>91</v>
      </c>
      <c r="E300">
        <v>41078</v>
      </c>
      <c r="F300">
        <v>50642</v>
      </c>
      <c r="G300" t="s">
        <v>91</v>
      </c>
      <c r="H300" s="1">
        <v>104.8</v>
      </c>
      <c r="I300" s="1">
        <v>67.900000000000006</v>
      </c>
      <c r="J300" s="11">
        <v>29.77</v>
      </c>
      <c r="K300" s="11">
        <f ca="1">SQRT(K$2^2+(AA300/Z300)^2)*J300</f>
        <v>0.99724678991711979</v>
      </c>
      <c r="L300" s="8">
        <v>0.69</v>
      </c>
      <c r="M300" s="8">
        <f ca="1">SQRT(M$2^2+(AC300/AB300)^2)*L300</f>
        <v>2.2681269805722958E-2</v>
      </c>
      <c r="N300" s="8">
        <v>0.99811000000000005</v>
      </c>
      <c r="O300" s="9">
        <v>1.4492750000000001</v>
      </c>
      <c r="P300" s="9">
        <f ca="1">SQRT(P$2^2+(AF300/AE300)^2)*O300</f>
        <v>4.7639711059182556E-2</v>
      </c>
      <c r="Q300" s="10">
        <v>0.30663000000000001</v>
      </c>
      <c r="R300" s="10">
        <f ca="1">SQRT(R$2^2+(AH300/AG300)^2)*Q300</f>
        <v>6.1807509867329224E-3</v>
      </c>
      <c r="S300" s="9">
        <f>(((BE300/BD300)^2+(AW300/AV300)^2)+((BE300/BD300)^2+(BC300/BB300)^2)-((BC300/BB300)^2+(AW300/AV300)^2))/(2*SQRT((BE300/BD300)^2+(AW300/AV300)^2)*SQRT((BE300/BD300)^2+(BC300/BB300)^2))</f>
        <v>0.46362718308997858</v>
      </c>
      <c r="T300" s="12">
        <v>0.193</v>
      </c>
      <c r="U300" s="12">
        <f ca="1">SQRT(U$2^2+(AK300/AJ300)^2)*T300</f>
        <v>7.4739280167793959E-3</v>
      </c>
      <c r="V300" s="6" t="e">
        <f ca="1">IF(agePb6U8(1/O300)&lt;1400,age7corr(1/O300,Q300,$W$2),agePb76(Q300))</f>
        <v>#NAME?</v>
      </c>
      <c r="W300" s="6" t="e">
        <f ca="1">IF(agePb6U8(1/O300)&lt;1400,ageer7corr(V300,1/O300,P300/O300*(1/O300),Q300,R300,$W$2,0.05),ageerPb76(Q300,R300))</f>
        <v>#NAME?</v>
      </c>
      <c r="X300" s="4" t="e">
        <f ca="1">agePb6U8(L300)/agePb7u5(J300)</f>
        <v>#NAME?</v>
      </c>
      <c r="Z300" s="1">
        <v>29.77</v>
      </c>
      <c r="AA300" s="1">
        <v>0.8</v>
      </c>
      <c r="AB300" s="1">
        <v>0.69</v>
      </c>
      <c r="AC300" s="1">
        <v>1.7999999999999999E-2</v>
      </c>
      <c r="AD300" s="1">
        <v>0.99811000000000005</v>
      </c>
      <c r="AE300" s="1">
        <v>1.4492750000000001</v>
      </c>
      <c r="AF300" s="1">
        <v>3.7807180000000003E-2</v>
      </c>
      <c r="AG300" s="1">
        <v>0.30663000000000001</v>
      </c>
      <c r="AH300" s="1">
        <v>7.6999999999999996E-4</v>
      </c>
      <c r="AI300" s="1">
        <v>-0.57542000000000004</v>
      </c>
      <c r="AJ300" s="1">
        <v>0.193</v>
      </c>
      <c r="AK300" s="1">
        <v>6.4000000000000003E-3</v>
      </c>
      <c r="AL300" s="1">
        <v>5.9690000000000003</v>
      </c>
      <c r="AM300" s="1">
        <v>1.4999999999999999E-2</v>
      </c>
      <c r="AN300" s="1">
        <v>3478</v>
      </c>
      <c r="AO300" s="1">
        <v>27</v>
      </c>
      <c r="AP300" s="1">
        <v>3381</v>
      </c>
      <c r="AQ300" s="1">
        <v>67</v>
      </c>
      <c r="AR300" s="1">
        <v>3570</v>
      </c>
      <c r="AS300" s="1">
        <v>110</v>
      </c>
      <c r="AT300" s="1">
        <v>3504</v>
      </c>
      <c r="AU300" s="1">
        <v>3.9</v>
      </c>
      <c r="AV300" s="1">
        <v>22.58</v>
      </c>
      <c r="AW300" s="1">
        <v>0.51999999999999991</v>
      </c>
      <c r="AX300" s="1">
        <v>5.26</v>
      </c>
      <c r="AY300" s="1">
        <v>0.12000000000000001</v>
      </c>
      <c r="AZ300" s="1">
        <v>84145.5</v>
      </c>
      <c r="BA300" s="1">
        <v>1863.0000000000002</v>
      </c>
      <c r="BB300" s="1">
        <v>187976.7</v>
      </c>
      <c r="BC300" s="1">
        <v>4222.8</v>
      </c>
      <c r="BD300" s="1">
        <v>616653</v>
      </c>
      <c r="BE300" s="1">
        <v>13041.000000000002</v>
      </c>
      <c r="BF300" s="1">
        <v>8.6940000000000008</v>
      </c>
      <c r="BG300" s="1">
        <v>7.4519999999999991</v>
      </c>
      <c r="BH300" s="1">
        <f>BD300/BF300</f>
        <v>70928.57142857142</v>
      </c>
      <c r="BI300" s="1">
        <f>SQRT((BG300/BF300)^2+(BE300/BD300)^2)*BH300</f>
        <v>60814.420083801757</v>
      </c>
    </row>
    <row r="301" spans="1:61" x14ac:dyDescent="0.2">
      <c r="A301" t="s">
        <v>305</v>
      </c>
      <c r="B301" t="s">
        <v>38</v>
      </c>
      <c r="C301" t="s">
        <v>306</v>
      </c>
      <c r="D301" t="s">
        <v>307</v>
      </c>
      <c r="E301">
        <v>41434</v>
      </c>
      <c r="F301">
        <v>50622</v>
      </c>
      <c r="G301" t="s">
        <v>307</v>
      </c>
      <c r="H301" s="1">
        <v>118.1</v>
      </c>
      <c r="I301" s="1">
        <v>79.900000000000006</v>
      </c>
      <c r="J301" s="11">
        <v>30.6</v>
      </c>
      <c r="K301" s="11">
        <f ca="1">SQRT(K$2^2+(AA301/Z301)^2)*J301</f>
        <v>1.3470501104264831</v>
      </c>
      <c r="L301" s="8">
        <v>0.71</v>
      </c>
      <c r="M301" s="8">
        <f ca="1">SQRT(M$2^2+(AC301/AB301)^2)*L301</f>
        <v>3.1394904045083494E-2</v>
      </c>
      <c r="N301" s="8">
        <v>0.99758000000000002</v>
      </c>
      <c r="O301" s="9">
        <v>1.4084509999999999</v>
      </c>
      <c r="P301" s="9">
        <f ca="1">SQRT(P$2^2+(AF301/AE301)^2)*O301</f>
        <v>6.2279117693503826E-2</v>
      </c>
      <c r="Q301" s="10">
        <v>0.30958000000000002</v>
      </c>
      <c r="R301" s="10">
        <f ca="1">SQRT(R$2^2+(AH301/AG301)^2)*Q301</f>
        <v>6.2356644040551124E-3</v>
      </c>
      <c r="S301" s="9">
        <f>(((BE301/BD301)^2+(AW301/AV301)^2)+((BE301/BD301)^2+(BC301/BB301)^2)-((BC301/BB301)^2+(AW301/AV301)^2))/(2*SQRT((BE301/BD301)^2+(AW301/AV301)^2)*SQRT((BE301/BD301)^2+(BC301/BB301)^2))</f>
        <v>0.43200045446451757</v>
      </c>
      <c r="T301" s="12">
        <v>0.19800000000000001</v>
      </c>
      <c r="U301" s="12">
        <f ca="1">SQRT(U$2^2+(AK301/AJ301)^2)*T301</f>
        <v>8.6586142078279478E-3</v>
      </c>
      <c r="V301" s="6" t="e">
        <f ca="1">IF(agePb6U8(1/O301)&lt;1400,age7corr(1/O301,Q301,$W$2),agePb76(Q301))</f>
        <v>#NAME?</v>
      </c>
      <c r="W301" s="6" t="e">
        <f ca="1">IF(agePb6U8(1/O301)&lt;1400,ageer7corr(V301,1/O301,P301/O301*(1/O301),Q301,R301,$W$2,0.05),ageerPb76(Q301,R301))</f>
        <v>#NAME?</v>
      </c>
      <c r="X301" s="4" t="e">
        <f ca="1">agePb6U8(L301)/agePb7u5(J301)</f>
        <v>#NAME?</v>
      </c>
      <c r="Z301" s="1">
        <v>30.6</v>
      </c>
      <c r="AA301" s="1">
        <v>1.2</v>
      </c>
      <c r="AB301" s="1">
        <v>0.71</v>
      </c>
      <c r="AC301" s="1">
        <v>2.8000000000000001E-2</v>
      </c>
      <c r="AD301" s="1">
        <v>0.99758000000000002</v>
      </c>
      <c r="AE301" s="1">
        <v>1.4084509999999999</v>
      </c>
      <c r="AF301" s="1">
        <v>5.5544530000000002E-2</v>
      </c>
      <c r="AG301" s="1">
        <v>0.30958000000000002</v>
      </c>
      <c r="AH301" s="1">
        <v>7.3999999999999999E-4</v>
      </c>
      <c r="AI301" s="1">
        <v>-0.13433</v>
      </c>
      <c r="AJ301" s="1">
        <v>0.19800000000000001</v>
      </c>
      <c r="AK301" s="1">
        <v>7.7000000000000002E-3</v>
      </c>
      <c r="AL301" s="1">
        <v>5.5110000000000001</v>
      </c>
      <c r="AM301" s="1">
        <v>2.4E-2</v>
      </c>
      <c r="AN301" s="1">
        <v>3502</v>
      </c>
      <c r="AO301" s="1">
        <v>40</v>
      </c>
      <c r="AP301" s="1">
        <v>3450</v>
      </c>
      <c r="AQ301" s="1">
        <v>110</v>
      </c>
      <c r="AR301" s="1">
        <v>3650</v>
      </c>
      <c r="AS301" s="1">
        <v>130</v>
      </c>
      <c r="AT301" s="1">
        <v>3518.8</v>
      </c>
      <c r="AU301" s="1">
        <v>3.7</v>
      </c>
      <c r="AV301" s="1">
        <v>25.27</v>
      </c>
      <c r="AW301" s="1">
        <v>0.76</v>
      </c>
      <c r="AX301" s="1">
        <v>6.15</v>
      </c>
      <c r="AY301" s="1">
        <v>0.2</v>
      </c>
      <c r="AZ301" s="1">
        <v>100477.8</v>
      </c>
      <c r="BA301" s="1">
        <v>2546.1</v>
      </c>
      <c r="BB301" s="1">
        <v>212009.40000000002</v>
      </c>
      <c r="BC301" s="1">
        <v>5402.7</v>
      </c>
      <c r="BD301" s="1">
        <v>692415</v>
      </c>
      <c r="BE301" s="1">
        <v>16767</v>
      </c>
      <c r="BF301" s="1">
        <v>24.839999999999996</v>
      </c>
      <c r="BG301" s="1">
        <v>6.8310000000000004</v>
      </c>
      <c r="BH301" s="1">
        <f>BD301/BF301</f>
        <v>27875.000000000004</v>
      </c>
      <c r="BI301" s="1">
        <f>SQRT((BG301/BF301)^2+(BE301/BD301)^2)*BH301</f>
        <v>7695.2863260976228</v>
      </c>
    </row>
    <row r="302" spans="1:61" x14ac:dyDescent="0.2">
      <c r="A302" t="s">
        <v>740</v>
      </c>
      <c r="B302" t="s">
        <v>38</v>
      </c>
      <c r="C302" t="s">
        <v>741</v>
      </c>
      <c r="D302" t="s">
        <v>742</v>
      </c>
      <c r="E302">
        <v>41066</v>
      </c>
      <c r="F302">
        <v>50793</v>
      </c>
      <c r="G302" t="s">
        <v>742</v>
      </c>
      <c r="H302" s="1">
        <v>249.4</v>
      </c>
      <c r="I302" s="1">
        <v>355.8</v>
      </c>
      <c r="J302" s="11">
        <v>31.03</v>
      </c>
      <c r="K302" s="11">
        <f ca="1">SQRT(K$2^2+(AA302/Z302)^2)*J302</f>
        <v>0.80965693969730157</v>
      </c>
      <c r="L302" s="8">
        <v>0.69699999999999995</v>
      </c>
      <c r="M302" s="8">
        <f ca="1">SQRT(M$2^2+(AC302/AB302)^2)*L302</f>
        <v>1.8393574965188252E-2</v>
      </c>
      <c r="N302" s="8">
        <v>0.99914000000000003</v>
      </c>
      <c r="O302" s="9">
        <v>1.43472</v>
      </c>
      <c r="P302" s="9">
        <f ca="1">SQRT(P$2^2+(AF302/AE302)^2)*O302</f>
        <v>3.786174125030306E-2</v>
      </c>
      <c r="Q302" s="10">
        <v>0.32195000000000001</v>
      </c>
      <c r="R302" s="10">
        <f ca="1">SQRT(R$2^2+(AH302/AG302)^2)*Q302</f>
        <v>6.4568661903434245E-3</v>
      </c>
      <c r="S302" s="9">
        <f>(((BE302/BD302)^2+(AW302/AV302)^2)+((BE302/BD302)^2+(BC302/BB302)^2)-((BC302/BB302)^2+(AW302/AV302)^2))/(2*SQRT((BE302/BD302)^2+(AW302/AV302)^2)*SQRT((BE302/BD302)^2+(BC302/BB302)^2))</f>
        <v>0.37475059485019452</v>
      </c>
      <c r="T302" s="12">
        <v>0.185</v>
      </c>
      <c r="U302" s="12">
        <f ca="1">SQRT(U$2^2+(AK302/AJ302)^2)*T302</f>
        <v>4.410215414239989E-3</v>
      </c>
      <c r="V302" s="6" t="e">
        <f ca="1">IF(agePb6U8(1/O302)&lt;1400,age7corr(1/O302,Q302,$W$2),agePb76(Q302))</f>
        <v>#NAME?</v>
      </c>
      <c r="W302" s="6" t="e">
        <f ca="1">IF(agePb6U8(1/O302)&lt;1400,ageer7corr(V302,1/O302,P302/O302*(1/O302),Q302,R302,$W$2,0.05),ageerPb76(Q302,R302))</f>
        <v>#NAME?</v>
      </c>
      <c r="X302" s="4" t="e">
        <f ca="1">agePb6U8(L302)/agePb7u5(J302)</f>
        <v>#NAME?</v>
      </c>
      <c r="Z302" s="1">
        <v>31.03</v>
      </c>
      <c r="AA302" s="1">
        <v>0.52</v>
      </c>
      <c r="AB302" s="1">
        <v>0.69699999999999995</v>
      </c>
      <c r="AC302" s="1">
        <v>1.2E-2</v>
      </c>
      <c r="AD302" s="1">
        <v>0.99914000000000003</v>
      </c>
      <c r="AE302" s="1">
        <v>1.43472</v>
      </c>
      <c r="AF302" s="1">
        <v>2.4701069999999999E-2</v>
      </c>
      <c r="AG302" s="1">
        <v>0.32195000000000001</v>
      </c>
      <c r="AH302" s="1">
        <v>4.8000000000000001E-4</v>
      </c>
      <c r="AI302" s="1">
        <v>0.39027000000000001</v>
      </c>
      <c r="AJ302" s="1">
        <v>0.185</v>
      </c>
      <c r="AK302" s="1">
        <v>2.3999999999999998E-3</v>
      </c>
      <c r="AL302" s="1">
        <v>2.9445000000000001</v>
      </c>
      <c r="AM302" s="1">
        <v>3.2000000000000002E-3</v>
      </c>
      <c r="AN302" s="1">
        <v>3519</v>
      </c>
      <c r="AO302" s="1">
        <v>16</v>
      </c>
      <c r="AP302" s="1">
        <v>3410</v>
      </c>
      <c r="AQ302" s="1">
        <v>44</v>
      </c>
      <c r="AR302" s="1">
        <v>3431</v>
      </c>
      <c r="AS302" s="1">
        <v>40</v>
      </c>
      <c r="AT302" s="1">
        <v>3579.2</v>
      </c>
      <c r="AU302" s="1">
        <v>2.2999999999999998</v>
      </c>
      <c r="AV302" s="1">
        <v>52.699999999999996</v>
      </c>
      <c r="AW302" s="1">
        <v>1.9</v>
      </c>
      <c r="AX302" s="1">
        <v>27.07</v>
      </c>
      <c r="AY302" s="1">
        <v>0.72000000000000008</v>
      </c>
      <c r="AZ302" s="1">
        <v>396819</v>
      </c>
      <c r="BA302" s="1">
        <v>9315</v>
      </c>
      <c r="BB302" s="1">
        <v>454572</v>
      </c>
      <c r="BC302" s="1">
        <v>10557</v>
      </c>
      <c r="BD302" s="1">
        <v>1442583</v>
      </c>
      <c r="BE302" s="1">
        <v>32913</v>
      </c>
      <c r="BF302" s="1">
        <v>13.8483</v>
      </c>
      <c r="BG302" s="1">
        <v>4.9059000000000008</v>
      </c>
      <c r="BH302" s="1">
        <f>BD302/BF302</f>
        <v>104170.40358744394</v>
      </c>
      <c r="BI302" s="1">
        <f>SQRT((BG302/BF302)^2+(BE302/BD302)^2)*BH302</f>
        <v>36979.869742360155</v>
      </c>
    </row>
    <row r="303" spans="1:61" x14ac:dyDescent="0.2">
      <c r="A303" t="s">
        <v>521</v>
      </c>
      <c r="B303" t="s">
        <v>38</v>
      </c>
      <c r="C303" t="s">
        <v>522</v>
      </c>
      <c r="D303" t="s">
        <v>523</v>
      </c>
      <c r="E303">
        <v>41543</v>
      </c>
      <c r="F303">
        <v>50979</v>
      </c>
      <c r="G303" t="s">
        <v>523</v>
      </c>
      <c r="H303" s="1">
        <v>197.5</v>
      </c>
      <c r="I303" s="1">
        <v>245</v>
      </c>
      <c r="J303" s="11">
        <v>30.41</v>
      </c>
      <c r="K303" s="11">
        <f ca="1">SQRT(K$2^2+(AA303/Z303)^2)*J303</f>
        <v>0.83355098224403756</v>
      </c>
      <c r="L303" s="8">
        <v>0.69799999999999995</v>
      </c>
      <c r="M303" s="8">
        <f ca="1">SQRT(M$2^2+(AC303/AB303)^2)*L303</f>
        <v>1.9075680852855555E-2</v>
      </c>
      <c r="N303" s="8">
        <v>0.99434999999999996</v>
      </c>
      <c r="O303" s="9">
        <v>1.4326650000000001</v>
      </c>
      <c r="P303" s="9">
        <f ca="1">SQRT(P$2^2+(AF303/AE303)^2)*O303</f>
        <v>3.9153379832741135E-2</v>
      </c>
      <c r="Q303" s="10">
        <v>0.31569000000000003</v>
      </c>
      <c r="R303" s="10">
        <f ca="1">SQRT(R$2^2+(AH303/AG303)^2)*Q303</f>
        <v>6.3305347673004693E-3</v>
      </c>
      <c r="S303" s="9">
        <f>(((BE303/BD303)^2+(AW303/AV303)^2)+((BE303/BD303)^2+(BC303/BB303)^2)-((BC303/BB303)^2+(AW303/AV303)^2))/(2*SQRT((BE303/BD303)^2+(AW303/AV303)^2)*SQRT((BE303/BD303)^2+(BC303/BB303)^2))</f>
        <v>0.51494112023184768</v>
      </c>
      <c r="T303" s="12">
        <v>0.1888</v>
      </c>
      <c r="U303" s="12">
        <f ca="1">SQRT(U$2^2+(AK303/AJ303)^2)*T303</f>
        <v>4.7611107947620798E-3</v>
      </c>
      <c r="V303" s="6" t="e">
        <f ca="1">IF(agePb6U8(1/O303)&lt;1400,age7corr(1/O303,Q303,$W$2),agePb76(Q303))</f>
        <v>#NAME?</v>
      </c>
      <c r="W303" s="6" t="e">
        <f ca="1">IF(agePb6U8(1/O303)&lt;1400,ageer7corr(V303,1/O303,P303/O303*(1/O303),Q303,R303,$W$2,0.05),ageerPb76(Q303,R303))</f>
        <v>#NAME?</v>
      </c>
      <c r="X303" s="4" t="e">
        <f ca="1">agePb6U8(L303)/agePb7u5(J303)</f>
        <v>#NAME?</v>
      </c>
      <c r="Z303" s="1">
        <v>30.41</v>
      </c>
      <c r="AA303" s="1">
        <v>0.56999999999999995</v>
      </c>
      <c r="AB303" s="1">
        <v>0.69799999999999995</v>
      </c>
      <c r="AC303" s="1">
        <v>1.2999999999999999E-2</v>
      </c>
      <c r="AD303" s="1">
        <v>0.99434999999999996</v>
      </c>
      <c r="AE303" s="1">
        <v>1.4326650000000001</v>
      </c>
      <c r="AF303" s="1">
        <v>2.6682870000000001E-2</v>
      </c>
      <c r="AG303" s="1">
        <v>0.31569000000000003</v>
      </c>
      <c r="AH303" s="1">
        <v>4.6000000000000001E-4</v>
      </c>
      <c r="AI303" s="1">
        <v>-0.24328</v>
      </c>
      <c r="AJ303" s="1">
        <v>0.1888</v>
      </c>
      <c r="AK303" s="1">
        <v>2.8999999999999998E-3</v>
      </c>
      <c r="AL303" s="1">
        <v>3.2545999999999999</v>
      </c>
      <c r="AM303" s="1">
        <v>6.4999999999999997E-3</v>
      </c>
      <c r="AN303" s="1">
        <v>3500</v>
      </c>
      <c r="AO303" s="1">
        <v>18</v>
      </c>
      <c r="AP303" s="1">
        <v>3411</v>
      </c>
      <c r="AQ303" s="1">
        <v>48</v>
      </c>
      <c r="AR303" s="1">
        <v>3495</v>
      </c>
      <c r="AS303" s="1">
        <v>50</v>
      </c>
      <c r="AT303" s="1">
        <v>3548.9</v>
      </c>
      <c r="AU303" s="1">
        <v>2.2999999999999998</v>
      </c>
      <c r="AV303" s="1">
        <v>41.99</v>
      </c>
      <c r="AW303" s="1">
        <v>0.65</v>
      </c>
      <c r="AX303" s="1">
        <v>18.73</v>
      </c>
      <c r="AY303" s="1">
        <v>0.78</v>
      </c>
      <c r="AZ303" s="1">
        <v>286467.3</v>
      </c>
      <c r="BA303" s="1">
        <v>4905.8999999999996</v>
      </c>
      <c r="BB303" s="1">
        <v>361856.7</v>
      </c>
      <c r="BC303" s="1">
        <v>6023.7</v>
      </c>
      <c r="BD303" s="1">
        <v>1163133</v>
      </c>
      <c r="BE303" s="1">
        <v>19251</v>
      </c>
      <c r="BF303" s="1">
        <v>26.082000000000001</v>
      </c>
      <c r="BG303" s="1">
        <v>9.3149999999999995</v>
      </c>
      <c r="BH303" s="1">
        <f>BD303/BF303</f>
        <v>44595.238095238092</v>
      </c>
      <c r="BI303" s="1">
        <f>SQRT((BG303/BF303)^2+(BE303/BD303)^2)*BH303</f>
        <v>15943.964262802752</v>
      </c>
    </row>
    <row r="304" spans="1:61" x14ac:dyDescent="0.2">
      <c r="A304" t="s">
        <v>959</v>
      </c>
      <c r="B304" t="s">
        <v>38</v>
      </c>
      <c r="C304" t="s">
        <v>960</v>
      </c>
      <c r="D304" t="s">
        <v>961</v>
      </c>
      <c r="E304">
        <v>41567</v>
      </c>
      <c r="F304">
        <v>51004</v>
      </c>
      <c r="G304" t="s">
        <v>961</v>
      </c>
      <c r="H304" s="1">
        <v>138.6</v>
      </c>
      <c r="I304" s="1">
        <v>131.80000000000001</v>
      </c>
      <c r="J304" s="11">
        <v>30.65</v>
      </c>
      <c r="K304" s="11">
        <f ca="1">SQRT(K$2^2+(AA304/Z304)^2)*J304</f>
        <v>0.63613599175019175</v>
      </c>
      <c r="L304" s="8">
        <v>0.70679999999999998</v>
      </c>
      <c r="M304" s="8">
        <f ca="1">SQRT(M$2^2+(AC304/AB304)^2)*L304</f>
        <v>1.4471920950585655E-2</v>
      </c>
      <c r="N304" s="8">
        <v>0.96358999999999995</v>
      </c>
      <c r="O304" s="9">
        <v>1.4148270000000001</v>
      </c>
      <c r="P304" s="9">
        <f ca="1">SQRT(P$2^2+(AF304/AE304)^2)*O304</f>
        <v>2.8968965362060985E-2</v>
      </c>
      <c r="Q304" s="10">
        <v>0.31285000000000002</v>
      </c>
      <c r="R304" s="10">
        <f ca="1">SQRT(R$2^2+(AH304/AG304)^2)*Q304</f>
        <v>6.2896461744680046E-3</v>
      </c>
      <c r="S304" s="9">
        <f>(((BE304/BD304)^2+(AW304/AV304)^2)+((BE304/BD304)^2+(BC304/BB304)^2)-((BC304/BB304)^2+(AW304/AV304)^2))/(2*SQRT((BE304/BD304)^2+(AW304/AV304)^2)*SQRT((BE304/BD304)^2+(BC304/BB304)^2))</f>
        <v>0.46586672094562953</v>
      </c>
      <c r="T304" s="12">
        <v>0.17680000000000001</v>
      </c>
      <c r="U304" s="12">
        <f ca="1">SQRT(U$2^2+(AK304/AJ304)^2)*T304</f>
        <v>3.8410019526160105E-3</v>
      </c>
      <c r="V304" s="6" t="e">
        <f ca="1">IF(agePb6U8(1/O304)&lt;1400,age7corr(1/O304,Q304,$W$2),agePb76(Q304))</f>
        <v>#NAME?</v>
      </c>
      <c r="W304" s="6" t="e">
        <f ca="1">IF(agePb6U8(1/O304)&lt;1400,ageer7corr(V304,1/O304,P304/O304*(1/O304),Q304,R304,$W$2,0.05),ageerPb76(Q304,R304))</f>
        <v>#NAME?</v>
      </c>
      <c r="X304" s="4" t="e">
        <f ca="1">agePb6U8(L304)/agePb7u5(J304)</f>
        <v>#NAME?</v>
      </c>
      <c r="Z304" s="1">
        <v>30.65</v>
      </c>
      <c r="AA304" s="1">
        <v>0.17</v>
      </c>
      <c r="AB304" s="1">
        <v>0.70679999999999998</v>
      </c>
      <c r="AC304" s="1">
        <v>3.0999999999999999E-3</v>
      </c>
      <c r="AD304" s="1">
        <v>0.96358999999999995</v>
      </c>
      <c r="AE304" s="1">
        <v>1.4148270000000001</v>
      </c>
      <c r="AF304" s="1">
        <v>6.2053830000000001E-3</v>
      </c>
      <c r="AG304" s="1">
        <v>0.31285000000000002</v>
      </c>
      <c r="AH304" s="1">
        <v>6.4000000000000005E-4</v>
      </c>
      <c r="AI304" s="1">
        <v>0.14307</v>
      </c>
      <c r="AJ304" s="1">
        <v>0.17680000000000001</v>
      </c>
      <c r="AK304" s="1">
        <v>1.5E-3</v>
      </c>
      <c r="AL304" s="1">
        <v>4.6340000000000003</v>
      </c>
      <c r="AM304" s="1">
        <v>3.5999999999999997E-2</v>
      </c>
      <c r="AN304" s="1">
        <v>3507.9</v>
      </c>
      <c r="AO304" s="1">
        <v>5.4</v>
      </c>
      <c r="AP304" s="1">
        <v>3447</v>
      </c>
      <c r="AQ304" s="1">
        <v>12</v>
      </c>
      <c r="AR304" s="1">
        <v>3291</v>
      </c>
      <c r="AS304" s="1">
        <v>26</v>
      </c>
      <c r="AT304" s="1">
        <v>3535</v>
      </c>
      <c r="AU304" s="1">
        <v>3.2</v>
      </c>
      <c r="AV304" s="1">
        <v>29.1</v>
      </c>
      <c r="AW304" s="1">
        <v>1.4</v>
      </c>
      <c r="AX304" s="1">
        <v>9.9600000000000009</v>
      </c>
      <c r="AY304" s="1">
        <v>0.45</v>
      </c>
      <c r="AZ304" s="1">
        <v>140346</v>
      </c>
      <c r="BA304" s="1">
        <v>5775.3</v>
      </c>
      <c r="BB304" s="1">
        <v>247158</v>
      </c>
      <c r="BC304" s="1">
        <v>10557</v>
      </c>
      <c r="BD304" s="1">
        <v>805437</v>
      </c>
      <c r="BE304" s="1">
        <v>34155</v>
      </c>
      <c r="BF304" s="1">
        <v>39.744</v>
      </c>
      <c r="BG304" s="1">
        <v>7.4519999999999991</v>
      </c>
      <c r="BH304" s="1">
        <f>BD304/BF304</f>
        <v>20265.625</v>
      </c>
      <c r="BI304" s="1">
        <f>SQRT((BG304/BF304)^2+(BE304/BD304)^2)*BH304</f>
        <v>3895.7722025000344</v>
      </c>
    </row>
    <row r="305" spans="1:61" x14ac:dyDescent="0.2">
      <c r="X305" s="4"/>
    </row>
    <row r="306" spans="1:61" x14ac:dyDescent="0.2">
      <c r="X306" s="4"/>
    </row>
    <row r="307" spans="1:61" x14ac:dyDescent="0.2">
      <c r="A307" t="s">
        <v>665</v>
      </c>
      <c r="B307" t="s">
        <v>38</v>
      </c>
      <c r="C307" t="s">
        <v>666</v>
      </c>
      <c r="D307" t="s">
        <v>667</v>
      </c>
      <c r="E307">
        <v>38795</v>
      </c>
      <c r="F307">
        <v>44782</v>
      </c>
      <c r="G307" t="s">
        <v>667</v>
      </c>
      <c r="H307" s="1">
        <v>596</v>
      </c>
      <c r="I307" s="1">
        <v>63.2</v>
      </c>
      <c r="J307" s="11">
        <v>0.3921</v>
      </c>
      <c r="K307" s="11">
        <f t="shared" ref="K307:K320" ca="1" si="94">SQRT(K$2^2+(AA307/Z307)^2)*J307</f>
        <v>1.1346231268575483E-2</v>
      </c>
      <c r="L307" s="8">
        <v>5.3370000000000001E-2</v>
      </c>
      <c r="M307" s="8">
        <f t="shared" ref="M307:M320" ca="1" si="95">SQRT(M$2^2+(AC307/AB307)^2)*L307</f>
        <v>1.4490489156684808E-3</v>
      </c>
      <c r="N307" s="8">
        <v>0.96733999999999998</v>
      </c>
      <c r="O307" s="9">
        <v>18.737120000000001</v>
      </c>
      <c r="P307" s="9">
        <f t="shared" ref="P307:P320" ca="1" si="96">SQRT(P$2^2+(AF307/AE307)^2)*O307</f>
        <v>0.50873153403515292</v>
      </c>
      <c r="Q307" s="10">
        <v>5.339E-2</v>
      </c>
      <c r="R307" s="10">
        <f t="shared" ref="R307:R320" ca="1" si="97">SQRT(R$2^2+(AH307/AG307)^2)*Q307</f>
        <v>1.1206234157824832E-3</v>
      </c>
      <c r="S307" s="9">
        <f t="shared" ref="S307:S320" si="98">(((BE307/BD307)^2+(AW307/AV307)^2)+((BE307/BD307)^2+(BC307/BB307)^2)-((BC307/BB307)^2+(AW307/AV307)^2))/(2*SQRT((BE307/BD307)^2+(AW307/AV307)^2)*SQRT((BE307/BD307)^2+(BC307/BB307)^2))</f>
        <v>0.32090639324818543</v>
      </c>
      <c r="T307" s="12">
        <v>1.6480000000000002E-2</v>
      </c>
      <c r="U307" s="12">
        <f t="shared" ref="U307:U320" ca="1" si="99">SQRT(U$2^2+(AK307/AJ307)^2)*T307</f>
        <v>4.6640771863252866E-4</v>
      </c>
      <c r="V307" s="6" t="e">
        <f ca="1">IF(agePb6U8(1/O307)&lt;1400,age7corr(1/O307,Q307,$W$2),agePb76(Q307))</f>
        <v>#NAME?</v>
      </c>
      <c r="W307" s="6" t="e">
        <f ca="1">IF(agePb6U8(1/O307)&lt;1400,ageer7corr(V307,1/O307,P307/O307*(1/O307),Q307,R307,$W$2,0.05),ageerPb76(Q307,R307))</f>
        <v>#NAME?</v>
      </c>
      <c r="X307" s="4" t="e">
        <f ca="1">agePb6U8(L307)/agePb7u5(J307)</f>
        <v>#NAME?</v>
      </c>
      <c r="Z307" s="1">
        <v>0.3921</v>
      </c>
      <c r="AA307" s="1">
        <v>8.2000000000000007E-3</v>
      </c>
      <c r="AB307" s="1">
        <v>5.3370000000000001E-2</v>
      </c>
      <c r="AC307" s="1">
        <v>9.7999999999999997E-4</v>
      </c>
      <c r="AD307" s="1">
        <v>0.96733999999999998</v>
      </c>
      <c r="AE307" s="1">
        <v>18.737120000000001</v>
      </c>
      <c r="AF307" s="1">
        <v>0.34405799999999997</v>
      </c>
      <c r="AG307" s="1">
        <v>5.339E-2</v>
      </c>
      <c r="AH307" s="1">
        <v>3.4000000000000002E-4</v>
      </c>
      <c r="AI307" s="1">
        <v>3.9183999999999997E-2</v>
      </c>
      <c r="AJ307" s="1">
        <v>1.6480000000000002E-2</v>
      </c>
      <c r="AK307" s="1">
        <v>3.3E-4</v>
      </c>
      <c r="AL307" s="1">
        <v>33.909999999999997</v>
      </c>
      <c r="AM307" s="1">
        <v>0.32</v>
      </c>
      <c r="AN307" s="1">
        <v>335.8</v>
      </c>
      <c r="AO307" s="1">
        <v>6</v>
      </c>
      <c r="AP307" s="1">
        <v>335.2</v>
      </c>
      <c r="AQ307" s="1">
        <v>6</v>
      </c>
      <c r="AR307" s="1">
        <v>330.4</v>
      </c>
      <c r="AS307" s="1">
        <v>6.6</v>
      </c>
      <c r="AT307" s="1">
        <v>345</v>
      </c>
      <c r="AU307" s="1">
        <v>14</v>
      </c>
      <c r="AV307" s="1">
        <v>126.2</v>
      </c>
      <c r="AW307" s="1">
        <v>4.2</v>
      </c>
      <c r="AX307" s="1">
        <v>4.8099999999999996</v>
      </c>
      <c r="AY307" s="1">
        <v>0.12999999999999998</v>
      </c>
      <c r="AZ307" s="1">
        <v>6321.7799999999988</v>
      </c>
      <c r="BA307" s="1">
        <v>149.04</v>
      </c>
      <c r="BB307" s="1">
        <v>13817.249999999998</v>
      </c>
      <c r="BC307" s="1">
        <v>353.96999999999997</v>
      </c>
      <c r="BD307" s="1">
        <v>264608.10000000003</v>
      </c>
      <c r="BE307" s="1">
        <v>5340.6</v>
      </c>
      <c r="BF307" s="1">
        <v>1.8629999999999998</v>
      </c>
      <c r="BG307" s="1">
        <v>5.9615999999999998</v>
      </c>
      <c r="BH307" s="1">
        <f t="shared" ref="BH307:BH320" si="100">BD307/BF307</f>
        <v>142033.33333333337</v>
      </c>
      <c r="BI307" s="1">
        <f t="shared" ref="BI307:BI320" si="101">SQRT((BG307/BF307)^2+(BE307/BD307)^2)*BH307</f>
        <v>454515.70690375747</v>
      </c>
    </row>
    <row r="308" spans="1:61" x14ac:dyDescent="0.2">
      <c r="A308" t="s">
        <v>1001</v>
      </c>
      <c r="B308" t="s">
        <v>38</v>
      </c>
      <c r="C308" t="s">
        <v>1002</v>
      </c>
      <c r="D308" t="s">
        <v>1003</v>
      </c>
      <c r="E308">
        <v>38832</v>
      </c>
      <c r="F308">
        <v>44783</v>
      </c>
      <c r="G308" t="s">
        <v>1003</v>
      </c>
      <c r="H308" s="1">
        <v>585</v>
      </c>
      <c r="I308" s="1">
        <v>63.3</v>
      </c>
      <c r="J308" s="11">
        <v>0.39340000000000003</v>
      </c>
      <c r="K308" s="11">
        <f t="shared" ca="1" si="94"/>
        <v>8.2258995860635207E-3</v>
      </c>
      <c r="L308" s="8">
        <v>5.3310000000000003E-2</v>
      </c>
      <c r="M308" s="8">
        <f t="shared" ca="1" si="95"/>
        <v>1.0928780535814598E-3</v>
      </c>
      <c r="N308" s="8">
        <v>0.64476999999999995</v>
      </c>
      <c r="O308" s="9">
        <v>18.758209999999998</v>
      </c>
      <c r="P308" s="9">
        <f t="shared" ca="1" si="96"/>
        <v>0.38455141437120521</v>
      </c>
      <c r="Q308" s="10">
        <v>5.3199999999999997E-2</v>
      </c>
      <c r="R308" s="10">
        <f t="shared" ca="1" si="97"/>
        <v>1.0977230980534207E-3</v>
      </c>
      <c r="S308" s="9">
        <f t="shared" si="98"/>
        <v>0.46834211413669574</v>
      </c>
      <c r="T308" s="12">
        <v>1.6060000000000001E-2</v>
      </c>
      <c r="U308" s="12">
        <f t="shared" ca="1" si="99"/>
        <v>4.0702510979053868E-4</v>
      </c>
      <c r="V308" s="6" t="e">
        <f ca="1">IF(agePb6U8(1/O308)&lt;1400,age7corr(1/O308,Q308,$W$2),agePb76(Q308))</f>
        <v>#NAME?</v>
      </c>
      <c r="W308" s="6" t="e">
        <f ca="1">IF(agePb6U8(1/O308)&lt;1400,ageer7corr(V308,1/O308,P308/O308*(1/O308),Q308,R308,$W$2,0.05),ageerPb76(Q308,R308))</f>
        <v>#NAME?</v>
      </c>
      <c r="X308" s="4" t="e">
        <f ca="1">agePb6U8(L308)/agePb7u5(J308)</f>
        <v>#NAME?</v>
      </c>
      <c r="Z308" s="1">
        <v>0.39340000000000003</v>
      </c>
      <c r="AA308" s="1">
        <v>2.3999999999999998E-3</v>
      </c>
      <c r="AB308" s="1">
        <v>5.3310000000000003E-2</v>
      </c>
      <c r="AC308" s="1">
        <v>2.4000000000000001E-4</v>
      </c>
      <c r="AD308" s="1">
        <v>0.64476999999999995</v>
      </c>
      <c r="AE308" s="1">
        <v>18.758209999999998</v>
      </c>
      <c r="AF308" s="1">
        <v>8.4448880000000004E-2</v>
      </c>
      <c r="AG308" s="1">
        <v>5.3199999999999997E-2</v>
      </c>
      <c r="AH308" s="1">
        <v>2.7E-4</v>
      </c>
      <c r="AI308" s="1">
        <v>0.22714999999999999</v>
      </c>
      <c r="AJ308" s="1">
        <v>1.6060000000000001E-2</v>
      </c>
      <c r="AK308" s="1">
        <v>2.5000000000000001E-4</v>
      </c>
      <c r="AL308" s="1">
        <v>33.44</v>
      </c>
      <c r="AM308" s="1">
        <v>0.3</v>
      </c>
      <c r="AN308" s="1">
        <v>336.9</v>
      </c>
      <c r="AO308" s="1">
        <v>1.8</v>
      </c>
      <c r="AP308" s="1">
        <v>334.8</v>
      </c>
      <c r="AQ308" s="1">
        <v>1.5</v>
      </c>
      <c r="AR308" s="1">
        <v>322.10000000000002</v>
      </c>
      <c r="AS308" s="1">
        <v>5</v>
      </c>
      <c r="AT308" s="1">
        <v>341</v>
      </c>
      <c r="AU308" s="1">
        <v>13</v>
      </c>
      <c r="AV308" s="1">
        <v>122.6</v>
      </c>
      <c r="AW308" s="1">
        <v>3.2</v>
      </c>
      <c r="AX308" s="1">
        <v>4.78</v>
      </c>
      <c r="AY308" s="1">
        <v>0.12000000000000001</v>
      </c>
      <c r="AZ308" s="1">
        <v>6154.11</v>
      </c>
      <c r="BA308" s="1">
        <v>142.82999999999998</v>
      </c>
      <c r="BB308" s="1">
        <v>13314.24</v>
      </c>
      <c r="BC308" s="1">
        <v>322.91999999999996</v>
      </c>
      <c r="BD308" s="1">
        <v>254920.50000000003</v>
      </c>
      <c r="BE308" s="1">
        <v>6023.7</v>
      </c>
      <c r="BF308" s="1">
        <v>-4.7196000000000007</v>
      </c>
      <c r="BG308" s="1">
        <v>3.9744000000000006</v>
      </c>
      <c r="BH308" s="1">
        <f t="shared" si="100"/>
        <v>-54013.15789473684</v>
      </c>
      <c r="BI308" s="1">
        <f t="shared" si="101"/>
        <v>-45502.667916516868</v>
      </c>
    </row>
    <row r="309" spans="1:61" x14ac:dyDescent="0.2">
      <c r="A309" t="s">
        <v>809</v>
      </c>
      <c r="B309" t="s">
        <v>38</v>
      </c>
      <c r="C309" t="s">
        <v>810</v>
      </c>
      <c r="D309" t="s">
        <v>811</v>
      </c>
      <c r="E309">
        <v>38720</v>
      </c>
      <c r="F309">
        <v>44781</v>
      </c>
      <c r="G309" t="s">
        <v>811</v>
      </c>
      <c r="H309" s="1">
        <v>607</v>
      </c>
      <c r="I309" s="1">
        <v>63.2</v>
      </c>
      <c r="J309" s="11">
        <v>0.39129999999999998</v>
      </c>
      <c r="K309" s="11">
        <f t="shared" ca="1" si="94"/>
        <v>9.2334325145094331E-3</v>
      </c>
      <c r="L309" s="8">
        <v>5.3330000000000002E-2</v>
      </c>
      <c r="M309" s="8">
        <f t="shared" ca="1" si="95"/>
        <v>1.2000564820040763E-3</v>
      </c>
      <c r="N309" s="8">
        <v>0.95135999999999998</v>
      </c>
      <c r="O309" s="9">
        <v>18.751169999999998</v>
      </c>
      <c r="P309" s="9">
        <f t="shared" ca="1" si="96"/>
        <v>0.42194754249765454</v>
      </c>
      <c r="Q309" s="10">
        <v>5.2850000000000001E-2</v>
      </c>
      <c r="R309" s="10">
        <f t="shared" ca="1" si="97"/>
        <v>1.1103373361280797E-3</v>
      </c>
      <c r="S309" s="9">
        <f t="shared" si="98"/>
        <v>0.61743807520713812</v>
      </c>
      <c r="T309" s="12">
        <v>1.6559999999999998E-2</v>
      </c>
      <c r="U309" s="12">
        <f t="shared" ca="1" si="99"/>
        <v>4.6053603550645194E-4</v>
      </c>
      <c r="V309" s="6" t="e">
        <f ca="1">IF(agePb6U8(1/O309)&lt;1400,age7corr(1/O309,Q309,$W$2),agePb76(Q309))</f>
        <v>#NAME?</v>
      </c>
      <c r="W309" s="6" t="e">
        <f ca="1">IF(agePb6U8(1/O309)&lt;1400,ageer7corr(V309,1/O309,P309/O309*(1/O309),Q309,R309,$W$2,0.05),ageerPb76(Q309,R309))</f>
        <v>#NAME?</v>
      </c>
      <c r="X309" s="4" t="e">
        <f ca="1">agePb6U8(L309)/agePb7u5(J309)</f>
        <v>#NAME?</v>
      </c>
      <c r="Z309" s="1">
        <v>0.39129999999999998</v>
      </c>
      <c r="AA309" s="1">
        <v>4.8999999999999998E-3</v>
      </c>
      <c r="AB309" s="1">
        <v>5.3330000000000002E-2</v>
      </c>
      <c r="AC309" s="1">
        <v>5.5000000000000003E-4</v>
      </c>
      <c r="AD309" s="1">
        <v>0.95135999999999998</v>
      </c>
      <c r="AE309" s="1">
        <v>18.751169999999998</v>
      </c>
      <c r="AF309" s="1">
        <v>0.19338350000000001</v>
      </c>
      <c r="AG309" s="1">
        <v>5.2850000000000001E-2</v>
      </c>
      <c r="AH309" s="1">
        <v>3.4000000000000002E-4</v>
      </c>
      <c r="AI309" s="1">
        <v>0.33606999999999998</v>
      </c>
      <c r="AJ309" s="1">
        <v>1.6559999999999998E-2</v>
      </c>
      <c r="AK309" s="1">
        <v>3.2000000000000003E-4</v>
      </c>
      <c r="AL309" s="1">
        <v>33.659999999999997</v>
      </c>
      <c r="AM309" s="1">
        <v>0.23</v>
      </c>
      <c r="AN309" s="1">
        <v>335.3</v>
      </c>
      <c r="AO309" s="1">
        <v>3.6</v>
      </c>
      <c r="AP309" s="1">
        <v>334.9</v>
      </c>
      <c r="AQ309" s="1">
        <v>3.4</v>
      </c>
      <c r="AR309" s="1">
        <v>331.9</v>
      </c>
      <c r="AS309" s="1">
        <v>6.4</v>
      </c>
      <c r="AT309" s="1">
        <v>322</v>
      </c>
      <c r="AU309" s="1">
        <v>14</v>
      </c>
      <c r="AV309" s="1">
        <v>128</v>
      </c>
      <c r="AW309" s="1">
        <v>3.3</v>
      </c>
      <c r="AX309" s="1">
        <v>4.8</v>
      </c>
      <c r="AY309" s="1">
        <v>0.25999999999999995</v>
      </c>
      <c r="AZ309" s="1">
        <v>6303.1500000000005</v>
      </c>
      <c r="BA309" s="1">
        <v>322.91999999999996</v>
      </c>
      <c r="BB309" s="1">
        <v>13537.800000000001</v>
      </c>
      <c r="BC309" s="1">
        <v>745.2</v>
      </c>
      <c r="BD309" s="1">
        <v>261441</v>
      </c>
      <c r="BE309" s="1">
        <v>13662</v>
      </c>
      <c r="BF309" s="1">
        <v>-12.419999999999998</v>
      </c>
      <c r="BG309" s="1">
        <v>6.8310000000000004</v>
      </c>
      <c r="BH309" s="1">
        <f t="shared" si="100"/>
        <v>-21050.000000000004</v>
      </c>
      <c r="BI309" s="1">
        <f t="shared" si="101"/>
        <v>-11629.639128107117</v>
      </c>
    </row>
    <row r="310" spans="1:61" x14ac:dyDescent="0.2">
      <c r="A310" t="s">
        <v>956</v>
      </c>
      <c r="B310" t="s">
        <v>38</v>
      </c>
      <c r="C310" t="s">
        <v>957</v>
      </c>
      <c r="D310" t="s">
        <v>958</v>
      </c>
      <c r="E310">
        <v>38965</v>
      </c>
      <c r="F310">
        <v>44694</v>
      </c>
      <c r="G310" t="s">
        <v>958</v>
      </c>
      <c r="H310" s="1">
        <v>538</v>
      </c>
      <c r="I310" s="1">
        <v>55.2</v>
      </c>
      <c r="J310" s="11">
        <v>0.3926</v>
      </c>
      <c r="K310" s="11">
        <f t="shared" ca="1" si="94"/>
        <v>9.9430329376905928E-3</v>
      </c>
      <c r="L310" s="8">
        <v>5.2970000000000003E-2</v>
      </c>
      <c r="M310" s="8">
        <f t="shared" ca="1" si="95"/>
        <v>1.1359702284831237E-3</v>
      </c>
      <c r="N310" s="8">
        <v>0.89259999999999995</v>
      </c>
      <c r="O310" s="9">
        <v>18.878609999999998</v>
      </c>
      <c r="P310" s="9">
        <f t="shared" ca="1" si="96"/>
        <v>0.40486198066486806</v>
      </c>
      <c r="Q310" s="10">
        <v>5.339E-2</v>
      </c>
      <c r="R310" s="10">
        <f t="shared" ca="1" si="97"/>
        <v>1.1511285071615592E-3</v>
      </c>
      <c r="S310" s="9">
        <f t="shared" si="98"/>
        <v>0.42833269334114771</v>
      </c>
      <c r="T310" s="12">
        <v>1.6199999999999999E-2</v>
      </c>
      <c r="U310" s="12">
        <f t="shared" ca="1" si="99"/>
        <v>3.7560085196921476E-4</v>
      </c>
      <c r="V310" s="6" t="e">
        <f ca="1">IF(agePb6U8(1/O310)&lt;1400,age7corr(1/O310,Q310,$W$2),agePb76(Q310))</f>
        <v>#NAME?</v>
      </c>
      <c r="W310" s="6" t="e">
        <f ca="1">IF(agePb6U8(1/O310)&lt;1400,ageer7corr(V310,1/O310,P310/O310*(1/O310),Q310,R310,$W$2,0.05),ageerPb76(Q310,R310))</f>
        <v>#NAME?</v>
      </c>
      <c r="X310" s="4" t="e">
        <f ca="1">agePb6U8(L310)/agePb7u5(J310)</f>
        <v>#NAME?</v>
      </c>
      <c r="Z310" s="1">
        <v>0.3926</v>
      </c>
      <c r="AA310" s="1">
        <v>6.1000000000000004E-3</v>
      </c>
      <c r="AB310" s="1">
        <v>5.2970000000000003E-2</v>
      </c>
      <c r="AC310" s="1">
        <v>4.0999999999999999E-4</v>
      </c>
      <c r="AD310" s="1">
        <v>0.89259999999999995</v>
      </c>
      <c r="AE310" s="1">
        <v>18.878609999999998</v>
      </c>
      <c r="AF310" s="1">
        <v>0.1461248</v>
      </c>
      <c r="AG310" s="1">
        <v>5.339E-2</v>
      </c>
      <c r="AH310" s="1">
        <v>4.2999999999999999E-4</v>
      </c>
      <c r="AI310" s="1">
        <v>-0.25749</v>
      </c>
      <c r="AJ310" s="1">
        <v>1.6199999999999999E-2</v>
      </c>
      <c r="AK310" s="1">
        <v>1.9000000000000001E-4</v>
      </c>
      <c r="AL310" s="1">
        <v>35.270000000000003</v>
      </c>
      <c r="AM310" s="1">
        <v>0.32</v>
      </c>
      <c r="AN310" s="1">
        <v>336.2</v>
      </c>
      <c r="AO310" s="1">
        <v>4.5</v>
      </c>
      <c r="AP310" s="1">
        <v>332.7</v>
      </c>
      <c r="AQ310" s="1">
        <v>2.5</v>
      </c>
      <c r="AR310" s="1">
        <v>324.89999999999998</v>
      </c>
      <c r="AS310" s="1">
        <v>3.7</v>
      </c>
      <c r="AT310" s="1">
        <v>345</v>
      </c>
      <c r="AU310" s="1">
        <v>18</v>
      </c>
      <c r="AV310" s="1">
        <v>112.8</v>
      </c>
      <c r="AW310" s="1">
        <v>2.8</v>
      </c>
      <c r="AX310" s="1">
        <v>4.1770000000000005</v>
      </c>
      <c r="AY310" s="1">
        <v>8.6999999999999994E-2</v>
      </c>
      <c r="AZ310" s="1">
        <v>5359.2300000000005</v>
      </c>
      <c r="BA310" s="1">
        <v>93.15</v>
      </c>
      <c r="BB310" s="1">
        <v>12202.65</v>
      </c>
      <c r="BC310" s="1">
        <v>229.77</v>
      </c>
      <c r="BD310" s="1">
        <v>233682.3</v>
      </c>
      <c r="BE310" s="1">
        <v>4409.1000000000004</v>
      </c>
      <c r="BF310" s="1">
        <v>2.2356000000000003</v>
      </c>
      <c r="BG310" s="1">
        <v>4.2228000000000003</v>
      </c>
      <c r="BH310" s="1">
        <f t="shared" si="100"/>
        <v>104527.77777777777</v>
      </c>
      <c r="BI310" s="1">
        <f t="shared" si="101"/>
        <v>197451.20794547742</v>
      </c>
    </row>
    <row r="311" spans="1:61" x14ac:dyDescent="0.2">
      <c r="A311" t="s">
        <v>86</v>
      </c>
      <c r="B311" t="s">
        <v>38</v>
      </c>
      <c r="C311" t="s">
        <v>87</v>
      </c>
      <c r="D311" t="s">
        <v>88</v>
      </c>
      <c r="E311">
        <v>39106</v>
      </c>
      <c r="F311">
        <v>44794</v>
      </c>
      <c r="G311" t="s">
        <v>88</v>
      </c>
      <c r="H311" s="1">
        <v>424</v>
      </c>
      <c r="I311" s="1">
        <v>40.6</v>
      </c>
      <c r="J311" s="11">
        <v>0.38800000000000001</v>
      </c>
      <c r="K311" s="11">
        <f t="shared" ca="1" si="94"/>
        <v>1.688838654223665E-2</v>
      </c>
      <c r="L311" s="8">
        <v>5.1999999999999998E-2</v>
      </c>
      <c r="M311" s="8">
        <f t="shared" ca="1" si="95"/>
        <v>2.1660101569475612E-3</v>
      </c>
      <c r="N311" s="8">
        <v>0.98329999999999995</v>
      </c>
      <c r="O311" s="9">
        <v>19.23077</v>
      </c>
      <c r="P311" s="9">
        <f t="shared" ca="1" si="96"/>
        <v>0.80103924740829646</v>
      </c>
      <c r="Q311" s="10">
        <v>5.3019999999999998E-2</v>
      </c>
      <c r="R311" s="10">
        <f t="shared" ca="1" si="97"/>
        <v>1.1047842142246601E-3</v>
      </c>
      <c r="S311" s="9">
        <f t="shared" si="98"/>
        <v>0.5045466129125169</v>
      </c>
      <c r="T311" s="12">
        <v>1.6629999999999999E-2</v>
      </c>
      <c r="U311" s="12">
        <f t="shared" ca="1" si="99"/>
        <v>6.9478252712629435E-4</v>
      </c>
      <c r="V311" s="6" t="e">
        <f ca="1">IF(agePb6U8(1/O311)&lt;1400,age7corr(1/O311,Q311,$W$2),agePb76(Q311))</f>
        <v>#NAME?</v>
      </c>
      <c r="W311" s="6" t="e">
        <f ca="1">IF(agePb6U8(1/O311)&lt;1400,ageer7corr(V311,1/O311,P311/O311*(1/O311),Q311,R311,$W$2,0.05),ageerPb76(Q311,R311))</f>
        <v>#NAME?</v>
      </c>
      <c r="X311" s="4" t="e">
        <f ca="1">agePb6U8(L311)/agePb7u5(J311)</f>
        <v>#NAME?</v>
      </c>
      <c r="Z311" s="1">
        <v>0.38800000000000001</v>
      </c>
      <c r="AA311" s="1">
        <v>1.4999999999999999E-2</v>
      </c>
      <c r="AB311" s="1">
        <v>5.1999999999999998E-2</v>
      </c>
      <c r="AC311" s="1">
        <v>1.9E-3</v>
      </c>
      <c r="AD311" s="1">
        <v>0.98329999999999995</v>
      </c>
      <c r="AE311" s="1">
        <v>19.23077</v>
      </c>
      <c r="AF311" s="1">
        <v>0.70266269999999997</v>
      </c>
      <c r="AG311" s="1">
        <v>5.3019999999999998E-2</v>
      </c>
      <c r="AH311" s="1">
        <v>3.1E-4</v>
      </c>
      <c r="AI311" s="1">
        <v>8.0625000000000002E-2</v>
      </c>
      <c r="AJ311" s="1">
        <v>1.6629999999999999E-2</v>
      </c>
      <c r="AK311" s="1">
        <v>6.0999999999999997E-4</v>
      </c>
      <c r="AL311" s="1">
        <v>35.549999999999997</v>
      </c>
      <c r="AM311" s="1">
        <v>0.4</v>
      </c>
      <c r="AN311" s="1">
        <v>333</v>
      </c>
      <c r="AO311" s="1">
        <v>11</v>
      </c>
      <c r="AP311" s="1">
        <v>327</v>
      </c>
      <c r="AQ311" s="1">
        <v>12</v>
      </c>
      <c r="AR311" s="1">
        <v>333</v>
      </c>
      <c r="AS311" s="1">
        <v>12</v>
      </c>
      <c r="AT311" s="1">
        <v>333</v>
      </c>
      <c r="AU311" s="1">
        <v>15</v>
      </c>
      <c r="AV311" s="1">
        <v>91.300000000000011</v>
      </c>
      <c r="AW311" s="1">
        <v>2.2999999999999998</v>
      </c>
      <c r="AX311" s="1">
        <v>3.1440000000000001</v>
      </c>
      <c r="AY311" s="1">
        <v>8.5000000000000006E-2</v>
      </c>
      <c r="AZ311" s="1">
        <v>4260.0599999999995</v>
      </c>
      <c r="BA311" s="1">
        <v>99.359999999999985</v>
      </c>
      <c r="BB311" s="1">
        <v>9768.33</v>
      </c>
      <c r="BC311" s="1">
        <v>198.71999999999997</v>
      </c>
      <c r="BD311" s="1">
        <v>186486.30000000002</v>
      </c>
      <c r="BE311" s="1">
        <v>4284.8999999999996</v>
      </c>
      <c r="BF311" s="1">
        <v>1.8629999999999998</v>
      </c>
      <c r="BG311" s="1">
        <v>4.968</v>
      </c>
      <c r="BH311" s="1">
        <f t="shared" si="100"/>
        <v>100100.00000000003</v>
      </c>
      <c r="BI311" s="1">
        <f t="shared" si="101"/>
        <v>266943.24199058587</v>
      </c>
    </row>
    <row r="312" spans="1:61" x14ac:dyDescent="0.2">
      <c r="A312" t="s">
        <v>158</v>
      </c>
      <c r="B312" t="s">
        <v>38</v>
      </c>
      <c r="C312" t="s">
        <v>159</v>
      </c>
      <c r="D312" t="s">
        <v>160</v>
      </c>
      <c r="E312">
        <v>39243</v>
      </c>
      <c r="F312">
        <v>44758</v>
      </c>
      <c r="G312" t="s">
        <v>160</v>
      </c>
      <c r="H312" s="1">
        <v>410.2</v>
      </c>
      <c r="I312" s="1">
        <v>45.67</v>
      </c>
      <c r="J312" s="11">
        <v>0.39</v>
      </c>
      <c r="K312" s="11">
        <f t="shared" ca="1" si="94"/>
        <v>1.2682271089990151E-2</v>
      </c>
      <c r="L312" s="8">
        <v>5.2499999999999998E-2</v>
      </c>
      <c r="M312" s="8">
        <f t="shared" ca="1" si="95"/>
        <v>1.7500000000000003E-3</v>
      </c>
      <c r="N312" s="8">
        <v>0.97394000000000003</v>
      </c>
      <c r="O312" s="9">
        <v>19.047619999999998</v>
      </c>
      <c r="P312" s="9">
        <f t="shared" ca="1" si="96"/>
        <v>0.63492064000000037</v>
      </c>
      <c r="Q312" s="10">
        <v>5.2999999999999999E-2</v>
      </c>
      <c r="R312" s="10">
        <f t="shared" ca="1" si="97"/>
        <v>1.1260550608207397E-3</v>
      </c>
      <c r="S312" s="9">
        <f t="shared" si="98"/>
        <v>0.52282789421198894</v>
      </c>
      <c r="T312" s="12">
        <v>1.643E-2</v>
      </c>
      <c r="U312" s="12">
        <f t="shared" ca="1" si="99"/>
        <v>4.8741969595000981E-4</v>
      </c>
      <c r="V312" s="6" t="e">
        <f ca="1">IF(agePb6U8(1/O312)&lt;1400,age7corr(1/O312,Q312,$W$2),agePb76(Q312))</f>
        <v>#NAME?</v>
      </c>
      <c r="W312" s="6" t="e">
        <f ca="1">IF(agePb6U8(1/O312)&lt;1400,ageer7corr(V312,1/O312,P312/O312*(1/O312),Q312,R312,$W$2,0.05),ageerPb76(Q312,R312))</f>
        <v>#NAME?</v>
      </c>
      <c r="X312" s="4" t="e">
        <f ca="1">agePb6U8(L312)/agePb7u5(J312)</f>
        <v>#NAME?</v>
      </c>
      <c r="Z312" s="1">
        <v>0.39</v>
      </c>
      <c r="AA312" s="1">
        <v>0.01</v>
      </c>
      <c r="AB312" s="1">
        <v>5.2499999999999998E-2</v>
      </c>
      <c r="AC312" s="1">
        <v>1.4E-3</v>
      </c>
      <c r="AD312" s="1">
        <v>0.97394000000000003</v>
      </c>
      <c r="AE312" s="1">
        <v>19.047619999999998</v>
      </c>
      <c r="AF312" s="1">
        <v>0.50793650000000001</v>
      </c>
      <c r="AG312" s="1">
        <v>5.2999999999999999E-2</v>
      </c>
      <c r="AH312" s="1">
        <v>3.8000000000000002E-4</v>
      </c>
      <c r="AI312" s="1">
        <v>0.23175000000000001</v>
      </c>
      <c r="AJ312" s="1">
        <v>1.643E-2</v>
      </c>
      <c r="AK312" s="1">
        <v>3.6000000000000002E-4</v>
      </c>
      <c r="AL312" s="1">
        <v>30.62</v>
      </c>
      <c r="AM312" s="1">
        <v>0.28000000000000003</v>
      </c>
      <c r="AN312" s="1">
        <v>334.1</v>
      </c>
      <c r="AO312" s="1">
        <v>7.4</v>
      </c>
      <c r="AP312" s="1">
        <v>329.6</v>
      </c>
      <c r="AQ312" s="1">
        <v>8.6</v>
      </c>
      <c r="AR312" s="1">
        <v>329.4</v>
      </c>
      <c r="AS312" s="1">
        <v>7.2</v>
      </c>
      <c r="AT312" s="1">
        <v>329</v>
      </c>
      <c r="AU312" s="1">
        <v>16</v>
      </c>
      <c r="AV312" s="1">
        <v>88.2</v>
      </c>
      <c r="AW312" s="1">
        <v>1.5</v>
      </c>
      <c r="AX312" s="1">
        <v>3.5309999999999997</v>
      </c>
      <c r="AY312" s="1">
        <v>6.8999999999999992E-2</v>
      </c>
      <c r="AZ312" s="1">
        <v>4806.54</v>
      </c>
      <c r="BA312" s="1">
        <v>74.52</v>
      </c>
      <c r="BB312" s="1">
        <v>9575.82</v>
      </c>
      <c r="BC312" s="1">
        <v>173.88</v>
      </c>
      <c r="BD312" s="1">
        <v>182201.40000000002</v>
      </c>
      <c r="BE312" s="1">
        <v>3353.4</v>
      </c>
      <c r="BF312" s="1">
        <v>4.5332999999999997</v>
      </c>
      <c r="BG312" s="1">
        <v>4.8437999999999999</v>
      </c>
      <c r="BH312" s="1">
        <f t="shared" si="100"/>
        <v>40191.780821917819</v>
      </c>
      <c r="BI312" s="1">
        <f t="shared" si="101"/>
        <v>42951.012979232561</v>
      </c>
    </row>
    <row r="313" spans="1:61" x14ac:dyDescent="0.2">
      <c r="A313" t="s">
        <v>230</v>
      </c>
      <c r="B313" t="s">
        <v>38</v>
      </c>
      <c r="C313" t="s">
        <v>231</v>
      </c>
      <c r="D313" t="s">
        <v>232</v>
      </c>
      <c r="E313">
        <v>39310</v>
      </c>
      <c r="F313">
        <v>44460</v>
      </c>
      <c r="G313" t="s">
        <v>232</v>
      </c>
      <c r="H313" s="1">
        <v>380</v>
      </c>
      <c r="I313" s="1">
        <v>36.200000000000003</v>
      </c>
      <c r="J313" s="11">
        <v>0.38900000000000001</v>
      </c>
      <c r="K313" s="11">
        <f t="shared" ca="1" si="94"/>
        <v>1.3473247566937971E-2</v>
      </c>
      <c r="L313" s="8">
        <v>5.2699999999999997E-2</v>
      </c>
      <c r="M313" s="8">
        <f t="shared" ca="1" si="95"/>
        <v>1.6735937380379985E-3</v>
      </c>
      <c r="N313" s="8">
        <v>0.97802</v>
      </c>
      <c r="O313" s="9">
        <v>18.97533</v>
      </c>
      <c r="P313" s="9">
        <f t="shared" ca="1" si="96"/>
        <v>0.60259953982757075</v>
      </c>
      <c r="Q313" s="10">
        <v>5.2859999999999997E-2</v>
      </c>
      <c r="R313" s="10">
        <f t="shared" ca="1" si="97"/>
        <v>1.1200767116586255E-3</v>
      </c>
      <c r="S313" s="9">
        <f t="shared" si="98"/>
        <v>0.54216840484291495</v>
      </c>
      <c r="T313" s="12">
        <v>1.5689999999999999E-2</v>
      </c>
      <c r="U313" s="12">
        <f t="shared" ca="1" si="99"/>
        <v>5.2428087891892453E-4</v>
      </c>
      <c r="V313" s="6" t="e">
        <f ca="1">IF(agePb6U8(1/O313)&lt;1400,age7corr(1/O313,Q313,$W$2),agePb76(Q313))</f>
        <v>#NAME?</v>
      </c>
      <c r="W313" s="6" t="e">
        <f ca="1">IF(agePb6U8(1/O313)&lt;1400,ageer7corr(V313,1/O313,P313/O313*(1/O313),Q313,R313,$W$2,0.05),ageerPb76(Q313,R313))</f>
        <v>#NAME?</v>
      </c>
      <c r="X313" s="4" t="e">
        <f ca="1">agePb6U8(L313)/agePb7u5(J313)</f>
        <v>#NAME?</v>
      </c>
      <c r="Z313" s="1">
        <v>0.38900000000000001</v>
      </c>
      <c r="AA313" s="1">
        <v>1.0999999999999999E-2</v>
      </c>
      <c r="AB313" s="1">
        <v>5.2699999999999997E-2</v>
      </c>
      <c r="AC313" s="1">
        <v>1.2999999999999999E-3</v>
      </c>
      <c r="AD313" s="1">
        <v>0.97802</v>
      </c>
      <c r="AE313" s="1">
        <v>18.97533</v>
      </c>
      <c r="AF313" s="1">
        <v>0.4680822</v>
      </c>
      <c r="AG313" s="1">
        <v>5.2859999999999997E-2</v>
      </c>
      <c r="AH313" s="1">
        <v>3.6999999999999999E-4</v>
      </c>
      <c r="AI313" s="1">
        <v>-0.34411999999999998</v>
      </c>
      <c r="AJ313" s="1">
        <v>1.5689999999999999E-2</v>
      </c>
      <c r="AK313" s="1">
        <v>4.2000000000000002E-4</v>
      </c>
      <c r="AL313" s="1">
        <v>36.9</v>
      </c>
      <c r="AM313" s="1">
        <v>0.28999999999999998</v>
      </c>
      <c r="AN313" s="1">
        <v>333.8</v>
      </c>
      <c r="AO313" s="1">
        <v>7.8</v>
      </c>
      <c r="AP313" s="1">
        <v>331</v>
      </c>
      <c r="AQ313" s="1">
        <v>8.1</v>
      </c>
      <c r="AR313" s="1">
        <v>314.7</v>
      </c>
      <c r="AS313" s="1">
        <v>8.3000000000000007</v>
      </c>
      <c r="AT313" s="1">
        <v>323</v>
      </c>
      <c r="AU313" s="1">
        <v>16</v>
      </c>
      <c r="AV313" s="1">
        <v>81.53</v>
      </c>
      <c r="AW313" s="1">
        <v>0.98</v>
      </c>
      <c r="AX313" s="1">
        <v>2.79</v>
      </c>
      <c r="AY313" s="1">
        <v>8.5000000000000006E-2</v>
      </c>
      <c r="AZ313" s="1">
        <v>3670.11</v>
      </c>
      <c r="BA313" s="1">
        <v>68.31</v>
      </c>
      <c r="BB313" s="1">
        <v>8849.25</v>
      </c>
      <c r="BC313" s="1">
        <v>180.09</v>
      </c>
      <c r="BD313" s="1">
        <v>168663.6</v>
      </c>
      <c r="BE313" s="1">
        <v>2980.8</v>
      </c>
      <c r="BF313" s="1">
        <v>37.26</v>
      </c>
      <c r="BG313" s="1">
        <v>9.9359999999999999</v>
      </c>
      <c r="BH313" s="1">
        <f t="shared" si="100"/>
        <v>4526.666666666667</v>
      </c>
      <c r="BI313" s="1">
        <f t="shared" si="101"/>
        <v>1209.7591638701902</v>
      </c>
    </row>
    <row r="314" spans="1:61" x14ac:dyDescent="0.2">
      <c r="A314" t="s">
        <v>302</v>
      </c>
      <c r="B314" t="s">
        <v>38</v>
      </c>
      <c r="C314" t="s">
        <v>303</v>
      </c>
      <c r="D314" t="s">
        <v>304</v>
      </c>
      <c r="E314">
        <v>39143</v>
      </c>
      <c r="F314">
        <v>44794</v>
      </c>
      <c r="G314" t="s">
        <v>304</v>
      </c>
      <c r="H314" s="1">
        <v>420.3</v>
      </c>
      <c r="I314" s="1">
        <v>40.43</v>
      </c>
      <c r="J314" s="11">
        <v>0.3921</v>
      </c>
      <c r="K314" s="11">
        <f t="shared" ca="1" si="94"/>
        <v>1.2629606644705926E-2</v>
      </c>
      <c r="L314" s="8">
        <v>5.2499999999999998E-2</v>
      </c>
      <c r="M314" s="8">
        <f t="shared" ca="1" si="95"/>
        <v>1.5945218719101973E-3</v>
      </c>
      <c r="N314" s="8">
        <v>0.94928999999999997</v>
      </c>
      <c r="O314" s="9">
        <v>19.047619999999998</v>
      </c>
      <c r="P314" s="9">
        <f t="shared" ca="1" si="96"/>
        <v>0.57851131191755445</v>
      </c>
      <c r="Q314" s="10">
        <v>5.339E-2</v>
      </c>
      <c r="R314" s="10">
        <f t="shared" ca="1" si="97"/>
        <v>1.114718278310713E-3</v>
      </c>
      <c r="S314" s="9">
        <f t="shared" si="98"/>
        <v>0.4991744456689603</v>
      </c>
      <c r="T314" s="12">
        <v>1.636E-2</v>
      </c>
      <c r="U314" s="12">
        <f t="shared" ca="1" si="99"/>
        <v>6.1437760375847035E-4</v>
      </c>
      <c r="V314" s="6" t="e">
        <f ca="1">IF(agePb6U8(1/O314)&lt;1400,age7corr(1/O314,Q314,$W$2),agePb76(Q314))</f>
        <v>#NAME?</v>
      </c>
      <c r="W314" s="6" t="e">
        <f ca="1">IF(agePb6U8(1/O314)&lt;1400,ageer7corr(V314,1/O314,P314/O314*(1/O314),Q314,R314,$W$2,0.05),ageerPb76(Q314,R314))</f>
        <v>#NAME?</v>
      </c>
      <c r="X314" s="4" t="e">
        <f ca="1">agePb6U8(L314)/agePb7u5(J314)</f>
        <v>#NAME?</v>
      </c>
      <c r="Z314" s="1">
        <v>0.3921</v>
      </c>
      <c r="AA314" s="1">
        <v>9.9000000000000008E-3</v>
      </c>
      <c r="AB314" s="1">
        <v>5.2499999999999998E-2</v>
      </c>
      <c r="AC314" s="1">
        <v>1.1999999999999999E-3</v>
      </c>
      <c r="AD314" s="1">
        <v>0.94928999999999997</v>
      </c>
      <c r="AE314" s="1">
        <v>19.047619999999998</v>
      </c>
      <c r="AF314" s="1">
        <v>0.43537409999999999</v>
      </c>
      <c r="AG314" s="1">
        <v>5.339E-2</v>
      </c>
      <c r="AH314" s="1">
        <v>3.2000000000000003E-4</v>
      </c>
      <c r="AI314" s="1">
        <v>7.3750999999999997E-2</v>
      </c>
      <c r="AJ314" s="1">
        <v>1.636E-2</v>
      </c>
      <c r="AK314" s="1">
        <v>5.1999999999999995E-4</v>
      </c>
      <c r="AL314" s="1">
        <v>35.020000000000003</v>
      </c>
      <c r="AM314" s="1">
        <v>0.41</v>
      </c>
      <c r="AN314" s="1">
        <v>335.8</v>
      </c>
      <c r="AO314" s="1">
        <v>7.2</v>
      </c>
      <c r="AP314" s="1">
        <v>329.8</v>
      </c>
      <c r="AQ314" s="1">
        <v>7.3</v>
      </c>
      <c r="AR314" s="1">
        <v>328</v>
      </c>
      <c r="AS314" s="1">
        <v>10</v>
      </c>
      <c r="AT314" s="1">
        <v>345</v>
      </c>
      <c r="AU314" s="1">
        <v>14</v>
      </c>
      <c r="AV314" s="1">
        <v>90</v>
      </c>
      <c r="AW314" s="1">
        <v>1.6</v>
      </c>
      <c r="AX314" s="1">
        <v>3.113</v>
      </c>
      <c r="AY314" s="1">
        <v>6.4999999999999988E-2</v>
      </c>
      <c r="AZ314" s="1">
        <v>4235.22</v>
      </c>
      <c r="BA314" s="1">
        <v>105.57000000000001</v>
      </c>
      <c r="BB314" s="1">
        <v>9805.5899999999983</v>
      </c>
      <c r="BC314" s="1">
        <v>180.09</v>
      </c>
      <c r="BD314" s="1">
        <v>185865.3</v>
      </c>
      <c r="BE314" s="1">
        <v>3353.4</v>
      </c>
      <c r="BF314" s="1">
        <v>3.7259999999999995</v>
      </c>
      <c r="BG314" s="1">
        <v>6.1478999999999999</v>
      </c>
      <c r="BH314" s="1">
        <f t="shared" si="100"/>
        <v>49883.333333333336</v>
      </c>
      <c r="BI314" s="1">
        <f t="shared" si="101"/>
        <v>82312.420425170349</v>
      </c>
    </row>
    <row r="315" spans="1:61" x14ac:dyDescent="0.2">
      <c r="A315" t="s">
        <v>374</v>
      </c>
      <c r="B315" t="s">
        <v>38</v>
      </c>
      <c r="C315" t="s">
        <v>375</v>
      </c>
      <c r="D315" t="s">
        <v>376</v>
      </c>
      <c r="E315">
        <v>39280</v>
      </c>
      <c r="F315">
        <v>44760</v>
      </c>
      <c r="G315" t="s">
        <v>376</v>
      </c>
      <c r="H315" s="1">
        <v>406.1</v>
      </c>
      <c r="I315" s="1">
        <v>44.3</v>
      </c>
      <c r="J315" s="11">
        <v>0.39629999999999999</v>
      </c>
      <c r="K315" s="11">
        <f t="shared" ca="1" si="94"/>
        <v>1.2143371689938506E-2</v>
      </c>
      <c r="L315" s="8">
        <v>5.3800000000000001E-2</v>
      </c>
      <c r="M315" s="8">
        <f t="shared" ca="1" si="95"/>
        <v>1.611761768996895E-3</v>
      </c>
      <c r="N315" s="8">
        <v>0.98373999999999995</v>
      </c>
      <c r="O315" s="9">
        <v>18.58736</v>
      </c>
      <c r="P315" s="9">
        <f t="shared" ca="1" si="96"/>
        <v>0.55684754686703974</v>
      </c>
      <c r="Q315" s="10">
        <v>5.3089999999999998E-2</v>
      </c>
      <c r="R315" s="10">
        <f t="shared" ca="1" si="97"/>
        <v>1.0864249813033573E-3</v>
      </c>
      <c r="S315" s="9">
        <f t="shared" si="98"/>
        <v>0.46529302678416934</v>
      </c>
      <c r="T315" s="12">
        <v>1.6889999999999999E-2</v>
      </c>
      <c r="U315" s="12">
        <f t="shared" ca="1" si="99"/>
        <v>5.6268005118361884E-4</v>
      </c>
      <c r="V315" s="6" t="e">
        <f ca="1">IF(agePb6U8(1/O315)&lt;1400,age7corr(1/O315,Q315,$W$2),agePb76(Q315))</f>
        <v>#NAME?</v>
      </c>
      <c r="W315" s="6" t="e">
        <f ca="1">IF(agePb6U8(1/O315)&lt;1400,ageer7corr(V315,1/O315,P315/O315*(1/O315),Q315,R315,$W$2,0.05),ageerPb76(Q315,R315))</f>
        <v>#NAME?</v>
      </c>
      <c r="X315" s="4" t="e">
        <f ca="1">agePb6U8(L315)/agePb7u5(J315)</f>
        <v>#NAME?</v>
      </c>
      <c r="Z315" s="1">
        <v>0.39629999999999999</v>
      </c>
      <c r="AA315" s="1">
        <v>9.1999999999999998E-3</v>
      </c>
      <c r="AB315" s="1">
        <v>5.3800000000000001E-2</v>
      </c>
      <c r="AC315" s="1">
        <v>1.1999999999999999E-3</v>
      </c>
      <c r="AD315" s="1">
        <v>0.98373999999999995</v>
      </c>
      <c r="AE315" s="1">
        <v>18.58736</v>
      </c>
      <c r="AF315" s="1">
        <v>0.41458800000000001</v>
      </c>
      <c r="AG315" s="1">
        <v>5.3089999999999998E-2</v>
      </c>
      <c r="AH315" s="1">
        <v>2.3000000000000001E-4</v>
      </c>
      <c r="AI315" s="1">
        <v>-0.26895000000000002</v>
      </c>
      <c r="AJ315" s="1">
        <v>1.6889999999999999E-2</v>
      </c>
      <c r="AK315" s="1">
        <v>4.4999999999999999E-4</v>
      </c>
      <c r="AL315" s="1">
        <v>30.6</v>
      </c>
      <c r="AM315" s="1">
        <v>0.26</v>
      </c>
      <c r="AN315" s="1">
        <v>338.9</v>
      </c>
      <c r="AO315" s="1">
        <v>6.7</v>
      </c>
      <c r="AP315" s="1">
        <v>337.5</v>
      </c>
      <c r="AQ315" s="1">
        <v>7.6</v>
      </c>
      <c r="AR315" s="1">
        <v>338.5</v>
      </c>
      <c r="AS315" s="1">
        <v>9</v>
      </c>
      <c r="AT315" s="1">
        <v>332.5</v>
      </c>
      <c r="AU315" s="1">
        <v>9.8000000000000007</v>
      </c>
      <c r="AV315" s="1">
        <v>86.7</v>
      </c>
      <c r="AW315" s="1">
        <v>1.5</v>
      </c>
      <c r="AX315" s="1">
        <v>3.4060000000000001</v>
      </c>
      <c r="AY315" s="1">
        <v>9.4E-2</v>
      </c>
      <c r="AZ315" s="1">
        <v>4725.8100000000004</v>
      </c>
      <c r="BA315" s="1">
        <v>68.31</v>
      </c>
      <c r="BB315" s="1">
        <v>9569.61</v>
      </c>
      <c r="BC315" s="1">
        <v>149.04</v>
      </c>
      <c r="BD315" s="1">
        <v>182263.5</v>
      </c>
      <c r="BE315" s="1">
        <v>2794.5000000000005</v>
      </c>
      <c r="BF315" s="1">
        <v>6.2099999999999991</v>
      </c>
      <c r="BG315" s="1">
        <v>6.8310000000000004</v>
      </c>
      <c r="BH315" s="1">
        <f t="shared" si="100"/>
        <v>29350.000000000004</v>
      </c>
      <c r="BI315" s="1">
        <f t="shared" si="101"/>
        <v>32288.135979024875</v>
      </c>
    </row>
    <row r="316" spans="1:61" x14ac:dyDescent="0.2">
      <c r="A316" t="s">
        <v>446</v>
      </c>
      <c r="B316" t="s">
        <v>38</v>
      </c>
      <c r="C316" t="s">
        <v>447</v>
      </c>
      <c r="D316" t="s">
        <v>448</v>
      </c>
      <c r="E316">
        <v>39344</v>
      </c>
      <c r="F316">
        <v>44461</v>
      </c>
      <c r="G316" t="s">
        <v>448</v>
      </c>
      <c r="H316" s="1">
        <v>373.7</v>
      </c>
      <c r="I316" s="1">
        <v>35.75</v>
      </c>
      <c r="J316" s="11">
        <v>0.39340000000000003</v>
      </c>
      <c r="K316" s="11">
        <f t="shared" ca="1" si="94"/>
        <v>1.2335129670984412E-2</v>
      </c>
      <c r="L316" s="8">
        <v>5.3499999999999999E-2</v>
      </c>
      <c r="M316" s="8">
        <f t="shared" ca="1" si="95"/>
        <v>1.6077624202599089E-3</v>
      </c>
      <c r="N316" s="8">
        <v>0.97419</v>
      </c>
      <c r="O316" s="9">
        <v>18.691590000000001</v>
      </c>
      <c r="P316" s="9">
        <f t="shared" ca="1" si="96"/>
        <v>0.56171280944233415</v>
      </c>
      <c r="Q316" s="10">
        <v>5.3080000000000002E-2</v>
      </c>
      <c r="R316" s="10">
        <f t="shared" ca="1" si="97"/>
        <v>1.1031747640333331E-3</v>
      </c>
      <c r="S316" s="9">
        <f t="shared" si="98"/>
        <v>0.58477189858866785</v>
      </c>
      <c r="T316" s="12">
        <v>1.5869999999999999E-2</v>
      </c>
      <c r="U316" s="12">
        <f t="shared" ca="1" si="99"/>
        <v>5.1850049180304542E-4</v>
      </c>
      <c r="V316" s="6" t="e">
        <f ca="1">IF(agePb6U8(1/O316)&lt;1400,age7corr(1/O316,Q316,$W$2),agePb76(Q316))</f>
        <v>#NAME?</v>
      </c>
      <c r="W316" s="6" t="e">
        <f ca="1">IF(agePb6U8(1/O316)&lt;1400,ageer7corr(V316,1/O316,P316/O316*(1/O316),Q316,R316,$W$2,0.05),ageerPb76(Q316,R316))</f>
        <v>#NAME?</v>
      </c>
      <c r="X316" s="4" t="e">
        <f ca="1">agePb6U8(L316)/agePb7u5(J316)</f>
        <v>#NAME?</v>
      </c>
      <c r="Z316" s="1">
        <v>0.39340000000000003</v>
      </c>
      <c r="AA316" s="1">
        <v>9.4999999999999998E-3</v>
      </c>
      <c r="AB316" s="1">
        <v>5.3499999999999999E-2</v>
      </c>
      <c r="AC316" s="1">
        <v>1.1999999999999999E-3</v>
      </c>
      <c r="AD316" s="1">
        <v>0.97419</v>
      </c>
      <c r="AE316" s="1">
        <v>18.691590000000001</v>
      </c>
      <c r="AF316" s="1">
        <v>0.41925059999999997</v>
      </c>
      <c r="AG316" s="1">
        <v>5.3080000000000002E-2</v>
      </c>
      <c r="AH316" s="1">
        <v>2.9999999999999997E-4</v>
      </c>
      <c r="AI316" s="1">
        <v>-0.33856999999999998</v>
      </c>
      <c r="AJ316" s="1">
        <v>1.5869999999999999E-2</v>
      </c>
      <c r="AK316" s="1">
        <v>4.0999999999999999E-4</v>
      </c>
      <c r="AL316" s="1">
        <v>36.46</v>
      </c>
      <c r="AM316" s="1">
        <v>0.33</v>
      </c>
      <c r="AN316" s="1">
        <v>336.7</v>
      </c>
      <c r="AO316" s="1">
        <v>7</v>
      </c>
      <c r="AP316" s="1">
        <v>336</v>
      </c>
      <c r="AQ316" s="1">
        <v>7.2</v>
      </c>
      <c r="AR316" s="1">
        <v>318.3</v>
      </c>
      <c r="AS316" s="1">
        <v>8.1999999999999993</v>
      </c>
      <c r="AT316" s="1">
        <v>332</v>
      </c>
      <c r="AU316" s="1">
        <v>13</v>
      </c>
      <c r="AV316" s="1">
        <v>79.64</v>
      </c>
      <c r="AW316" s="1">
        <v>0.56999999999999995</v>
      </c>
      <c r="AX316" s="1">
        <v>2.742</v>
      </c>
      <c r="AY316" s="1">
        <v>6.9999999999999993E-2</v>
      </c>
      <c r="AZ316" s="1">
        <v>3635.9549999999999</v>
      </c>
      <c r="BA316" s="1">
        <v>58.373999999999995</v>
      </c>
      <c r="BB316" s="1">
        <v>8706.42</v>
      </c>
      <c r="BC316" s="1">
        <v>142.82999999999998</v>
      </c>
      <c r="BD316" s="1">
        <v>166055.40000000002</v>
      </c>
      <c r="BE316" s="1">
        <v>2359.7999999999997</v>
      </c>
      <c r="BF316" s="1">
        <v>11.177999999999999</v>
      </c>
      <c r="BG316" s="1">
        <v>6.2099999999999991</v>
      </c>
      <c r="BH316" s="1">
        <f t="shared" si="100"/>
        <v>14855.555555555558</v>
      </c>
      <c r="BI316" s="1">
        <f t="shared" si="101"/>
        <v>8255.7860530144189</v>
      </c>
    </row>
    <row r="317" spans="1:61" x14ac:dyDescent="0.2">
      <c r="A317" t="s">
        <v>518</v>
      </c>
      <c r="B317" t="s">
        <v>38</v>
      </c>
      <c r="C317" t="s">
        <v>519</v>
      </c>
      <c r="D317" t="s">
        <v>520</v>
      </c>
      <c r="E317">
        <v>39180</v>
      </c>
      <c r="F317">
        <v>44796</v>
      </c>
      <c r="G317" t="s">
        <v>520</v>
      </c>
      <c r="H317" s="1">
        <v>423</v>
      </c>
      <c r="I317" s="1">
        <v>45.1</v>
      </c>
      <c r="J317" s="11">
        <v>0.38600000000000001</v>
      </c>
      <c r="K317" s="11">
        <f t="shared" ca="1" si="94"/>
        <v>1.6870044457558492E-2</v>
      </c>
      <c r="L317" s="8">
        <v>5.28E-2</v>
      </c>
      <c r="M317" s="8">
        <f t="shared" ca="1" si="95"/>
        <v>2.1737377946753375E-3</v>
      </c>
      <c r="N317" s="8">
        <v>0.98148999999999997</v>
      </c>
      <c r="O317" s="9">
        <v>18.93939</v>
      </c>
      <c r="P317" s="9">
        <f t="shared" ca="1" si="96"/>
        <v>0.7797210873140985</v>
      </c>
      <c r="Q317" s="10">
        <v>5.2949999999999997E-2</v>
      </c>
      <c r="R317" s="10">
        <f t="shared" ca="1" si="97"/>
        <v>1.1355971997147579E-3</v>
      </c>
      <c r="S317" s="9">
        <f t="shared" si="98"/>
        <v>0.41794200126197983</v>
      </c>
      <c r="T317" s="12">
        <v>1.6160000000000001E-2</v>
      </c>
      <c r="U317" s="12">
        <f t="shared" ca="1" si="99"/>
        <v>6.2933158191846698E-4</v>
      </c>
      <c r="V317" s="6" t="e">
        <f ca="1">IF(agePb6U8(1/O317)&lt;1400,age7corr(1/O317,Q317,$W$2),agePb76(Q317))</f>
        <v>#NAME?</v>
      </c>
      <c r="W317" s="6" t="e">
        <f ca="1">IF(agePb6U8(1/O317)&lt;1400,ageer7corr(V317,1/O317,P317/O317*(1/O317),Q317,R317,$W$2,0.05),ageerPb76(Q317,R317))</f>
        <v>#NAME?</v>
      </c>
      <c r="X317" s="4" t="e">
        <f ca="1">agePb6U8(L317)/agePb7u5(J317)</f>
        <v>#NAME?</v>
      </c>
      <c r="Z317" s="1">
        <v>0.38600000000000001</v>
      </c>
      <c r="AA317" s="1">
        <v>1.4999999999999999E-2</v>
      </c>
      <c r="AB317" s="1">
        <v>5.28E-2</v>
      </c>
      <c r="AC317" s="1">
        <v>1.9E-3</v>
      </c>
      <c r="AD317" s="1">
        <v>0.98148999999999997</v>
      </c>
      <c r="AE317" s="1">
        <v>18.93939</v>
      </c>
      <c r="AF317" s="1">
        <v>0.6815312</v>
      </c>
      <c r="AG317" s="1">
        <v>5.2949999999999997E-2</v>
      </c>
      <c r="AH317" s="1">
        <v>4.0999999999999999E-4</v>
      </c>
      <c r="AI317" s="1">
        <v>-8.3845000000000003E-2</v>
      </c>
      <c r="AJ317" s="1">
        <v>1.6160000000000001E-2</v>
      </c>
      <c r="AK317" s="1">
        <v>5.4000000000000001E-4</v>
      </c>
      <c r="AL317" s="1">
        <v>32.94</v>
      </c>
      <c r="AM317" s="1">
        <v>0.24</v>
      </c>
      <c r="AN317" s="1">
        <v>331</v>
      </c>
      <c r="AO317" s="1">
        <v>11</v>
      </c>
      <c r="AP317" s="1">
        <v>332</v>
      </c>
      <c r="AQ317" s="1">
        <v>12</v>
      </c>
      <c r="AR317" s="1">
        <v>324</v>
      </c>
      <c r="AS317" s="1">
        <v>11</v>
      </c>
      <c r="AT317" s="1">
        <v>326</v>
      </c>
      <c r="AU317" s="1">
        <v>18</v>
      </c>
      <c r="AV317" s="1">
        <v>90</v>
      </c>
      <c r="AW317" s="1">
        <v>2.1</v>
      </c>
      <c r="AX317" s="1">
        <v>3.4520000000000004</v>
      </c>
      <c r="AY317" s="1">
        <v>8.6999999999999994E-2</v>
      </c>
      <c r="AZ317" s="1">
        <v>4539.51</v>
      </c>
      <c r="BA317" s="1">
        <v>93.15</v>
      </c>
      <c r="BB317" s="1">
        <v>9755.91</v>
      </c>
      <c r="BC317" s="1">
        <v>223.56</v>
      </c>
      <c r="BD317" s="1">
        <v>186983.09999999998</v>
      </c>
      <c r="BE317" s="1">
        <v>3663.8999999999996</v>
      </c>
      <c r="BF317" s="1">
        <v>-0.43469999999999998</v>
      </c>
      <c r="BG317" s="1">
        <v>6.8310000000000004</v>
      </c>
      <c r="BH317" s="1">
        <f t="shared" si="100"/>
        <v>-430142.8571428571</v>
      </c>
      <c r="BI317" s="1">
        <f t="shared" si="101"/>
        <v>-6759393.0100741833</v>
      </c>
    </row>
    <row r="318" spans="1:61" x14ac:dyDescent="0.2">
      <c r="A318" t="s">
        <v>593</v>
      </c>
      <c r="B318" t="s">
        <v>38</v>
      </c>
      <c r="C318" t="s">
        <v>594</v>
      </c>
      <c r="D318" t="s">
        <v>595</v>
      </c>
      <c r="E318">
        <v>39316</v>
      </c>
      <c r="F318">
        <v>44775</v>
      </c>
      <c r="G318" t="s">
        <v>595</v>
      </c>
      <c r="H318" s="1">
        <v>422</v>
      </c>
      <c r="I318" s="1">
        <v>52.5</v>
      </c>
      <c r="J318" s="11">
        <v>0.39100000000000001</v>
      </c>
      <c r="K318" s="11">
        <f t="shared" ca="1" si="94"/>
        <v>1.1115862539632274E-2</v>
      </c>
      <c r="L318" s="8">
        <v>5.3499999999999999E-2</v>
      </c>
      <c r="M318" s="8">
        <f t="shared" ca="1" si="95"/>
        <v>1.5345683432157723E-3</v>
      </c>
      <c r="N318" s="8">
        <v>0.98458999999999997</v>
      </c>
      <c r="O318" s="9">
        <v>18.691590000000001</v>
      </c>
      <c r="P318" s="9">
        <f t="shared" ca="1" si="96"/>
        <v>0.53614055681345363</v>
      </c>
      <c r="Q318" s="10">
        <v>5.2830000000000002E-2</v>
      </c>
      <c r="R318" s="10">
        <f t="shared" ca="1" si="97"/>
        <v>1.1297803149285263E-3</v>
      </c>
      <c r="S318" s="9">
        <f t="shared" si="98"/>
        <v>0.39823723585672471</v>
      </c>
      <c r="T318" s="12">
        <v>1.7100000000000001E-2</v>
      </c>
      <c r="U318" s="12">
        <f t="shared" ca="1" si="99"/>
        <v>5.187137939172237E-4</v>
      </c>
      <c r="V318" s="6" t="e">
        <f ca="1">IF(agePb6U8(1/O318)&lt;1400,age7corr(1/O318,Q318,$W$2),agePb76(Q318))</f>
        <v>#NAME?</v>
      </c>
      <c r="W318" s="6" t="e">
        <f ca="1">IF(agePb6U8(1/O318)&lt;1400,ageer7corr(V318,1/O318,P318/O318*(1/O318),Q318,R318,$W$2,0.05),ageerPb76(Q318,R318))</f>
        <v>#NAME?</v>
      </c>
      <c r="X318" s="4" t="e">
        <f ca="1">agePb6U8(L318)/agePb7u5(J318)</f>
        <v>#NAME?</v>
      </c>
      <c r="Z318" s="1">
        <v>0.39100000000000001</v>
      </c>
      <c r="AA318" s="1">
        <v>7.9000000000000008E-3</v>
      </c>
      <c r="AB318" s="1">
        <v>5.3499999999999999E-2</v>
      </c>
      <c r="AC318" s="1">
        <v>1.1000000000000001E-3</v>
      </c>
      <c r="AD318" s="1">
        <v>0.98458999999999997</v>
      </c>
      <c r="AE318" s="1">
        <v>18.691590000000001</v>
      </c>
      <c r="AF318" s="1">
        <v>0.38431300000000002</v>
      </c>
      <c r="AG318" s="1">
        <v>5.2830000000000002E-2</v>
      </c>
      <c r="AH318" s="1">
        <v>4.0000000000000002E-4</v>
      </c>
      <c r="AI318" s="1">
        <v>0.33428999999999998</v>
      </c>
      <c r="AJ318" s="1">
        <v>1.7100000000000001E-2</v>
      </c>
      <c r="AK318" s="1">
        <v>3.8999999999999999E-4</v>
      </c>
      <c r="AL318" s="1">
        <v>28.18</v>
      </c>
      <c r="AM318" s="1">
        <v>0.24</v>
      </c>
      <c r="AN318" s="1">
        <v>335</v>
      </c>
      <c r="AO318" s="1">
        <v>5.7</v>
      </c>
      <c r="AP318" s="1">
        <v>335.8</v>
      </c>
      <c r="AQ318" s="1">
        <v>6.5</v>
      </c>
      <c r="AR318" s="1">
        <v>342.7</v>
      </c>
      <c r="AS318" s="1">
        <v>7.8</v>
      </c>
      <c r="AT318" s="1">
        <v>325</v>
      </c>
      <c r="AU318" s="1">
        <v>19</v>
      </c>
      <c r="AV318" s="1">
        <v>89.6</v>
      </c>
      <c r="AW318" s="1">
        <v>2.5</v>
      </c>
      <c r="AX318" s="1">
        <v>4.01</v>
      </c>
      <c r="AY318" s="1">
        <v>0.11</v>
      </c>
      <c r="AZ318" s="1">
        <v>5408.91</v>
      </c>
      <c r="BA318" s="1">
        <v>124.2</v>
      </c>
      <c r="BB318" s="1">
        <v>9849.0600000000013</v>
      </c>
      <c r="BC318" s="1">
        <v>180.09</v>
      </c>
      <c r="BD318" s="1">
        <v>189218.69999999998</v>
      </c>
      <c r="BE318" s="1">
        <v>3539.7000000000003</v>
      </c>
      <c r="BF318" s="1">
        <v>-31.05</v>
      </c>
      <c r="BG318" s="1">
        <v>7.4519999999999991</v>
      </c>
      <c r="BH318" s="1">
        <f t="shared" si="100"/>
        <v>-6093.9999999999991</v>
      </c>
      <c r="BI318" s="1">
        <f t="shared" si="101"/>
        <v>-1466.9961668661574</v>
      </c>
    </row>
    <row r="319" spans="1:61" x14ac:dyDescent="0.2">
      <c r="A319" t="s">
        <v>881</v>
      </c>
      <c r="B319" t="s">
        <v>38</v>
      </c>
      <c r="C319" t="s">
        <v>882</v>
      </c>
      <c r="D319" t="s">
        <v>883</v>
      </c>
      <c r="E319">
        <v>39410</v>
      </c>
      <c r="F319">
        <v>44458</v>
      </c>
      <c r="G319" t="s">
        <v>883</v>
      </c>
      <c r="H319" s="1">
        <v>373</v>
      </c>
      <c r="I319" s="1">
        <v>38.200000000000003</v>
      </c>
      <c r="J319" s="11">
        <v>0.39250000000000002</v>
      </c>
      <c r="K319" s="11">
        <f t="shared" ca="1" si="94"/>
        <v>9.4716682796643602E-3</v>
      </c>
      <c r="L319" s="8">
        <v>5.3039999999999997E-2</v>
      </c>
      <c r="M319" s="8">
        <f t="shared" ca="1" si="95"/>
        <v>1.1051681501020557E-3</v>
      </c>
      <c r="N319" s="8">
        <v>0.93869000000000002</v>
      </c>
      <c r="O319" s="9">
        <v>18.8537</v>
      </c>
      <c r="P319" s="9">
        <f t="shared" ca="1" si="96"/>
        <v>0.39284518935865814</v>
      </c>
      <c r="Q319" s="10">
        <v>5.3120000000000001E-2</v>
      </c>
      <c r="R319" s="10">
        <f t="shared" ca="1" si="97"/>
        <v>1.1217369388586613E-3</v>
      </c>
      <c r="S319" s="9">
        <f t="shared" si="98"/>
        <v>0.4524541079410585</v>
      </c>
      <c r="T319" s="12">
        <v>1.592E-2</v>
      </c>
      <c r="U319" s="12">
        <f t="shared" ca="1" si="99"/>
        <v>4.7315807083891107E-4</v>
      </c>
      <c r="V319" s="6" t="e">
        <f ca="1">IF(agePb6U8(1/O319)&lt;1400,age7corr(1/O319,Q319,$W$2),agePb76(Q319))</f>
        <v>#NAME?</v>
      </c>
      <c r="W319" s="6" t="e">
        <f ca="1">IF(agePb6U8(1/O319)&lt;1400,ageer7corr(V319,1/O319,P319/O319*(1/O319),Q319,R319,$W$2,0.05),ageerPb76(Q319,R319))</f>
        <v>#NAME?</v>
      </c>
      <c r="X319" s="4" t="e">
        <f ca="1">agePb6U8(L319)/agePb7u5(J319)</f>
        <v>#NAME?</v>
      </c>
      <c r="Z319" s="1">
        <v>0.39250000000000002</v>
      </c>
      <c r="AA319" s="1">
        <v>5.3E-3</v>
      </c>
      <c r="AB319" s="1">
        <v>5.3039999999999997E-2</v>
      </c>
      <c r="AC319" s="1">
        <v>3.1E-4</v>
      </c>
      <c r="AD319" s="1">
        <v>0.93869000000000002</v>
      </c>
      <c r="AE319" s="1">
        <v>18.8537</v>
      </c>
      <c r="AF319" s="1">
        <v>0.11019320000000001</v>
      </c>
      <c r="AG319" s="1">
        <v>5.3120000000000001E-2</v>
      </c>
      <c r="AH319" s="1">
        <v>3.6000000000000002E-4</v>
      </c>
      <c r="AI319" s="1">
        <v>-0.11045000000000001</v>
      </c>
      <c r="AJ319" s="1">
        <v>1.592E-2</v>
      </c>
      <c r="AK319" s="1">
        <v>3.5E-4</v>
      </c>
      <c r="AL319" s="1">
        <v>36.04</v>
      </c>
      <c r="AM319" s="1">
        <v>0.39</v>
      </c>
      <c r="AN319" s="1">
        <v>336.2</v>
      </c>
      <c r="AO319" s="1">
        <v>3.9</v>
      </c>
      <c r="AP319" s="1">
        <v>333.1</v>
      </c>
      <c r="AQ319" s="1">
        <v>1.9</v>
      </c>
      <c r="AR319" s="1">
        <v>319.3</v>
      </c>
      <c r="AS319" s="1">
        <v>6.9</v>
      </c>
      <c r="AT319" s="1">
        <v>342</v>
      </c>
      <c r="AU319" s="1">
        <v>15</v>
      </c>
      <c r="AV319" s="1">
        <v>78.399999999999991</v>
      </c>
      <c r="AW319" s="1">
        <v>3.9</v>
      </c>
      <c r="AX319" s="1">
        <v>2.9</v>
      </c>
      <c r="AY319" s="1">
        <v>0.13999999999999999</v>
      </c>
      <c r="AZ319" s="1">
        <v>3663.8999999999996</v>
      </c>
      <c r="BA319" s="1">
        <v>149.04</v>
      </c>
      <c r="BB319" s="1">
        <v>8513.91</v>
      </c>
      <c r="BC319" s="1">
        <v>360.18</v>
      </c>
      <c r="BD319" s="1">
        <v>163323</v>
      </c>
      <c r="BE319" s="1">
        <v>6831</v>
      </c>
      <c r="BF319" s="1">
        <v>-5.3406000000000002</v>
      </c>
      <c r="BG319" s="1">
        <v>6.1478999999999999</v>
      </c>
      <c r="BH319" s="1">
        <f t="shared" si="100"/>
        <v>-30581.395348837206</v>
      </c>
      <c r="BI319" s="1">
        <f t="shared" si="101"/>
        <v>-35227.392913772965</v>
      </c>
    </row>
    <row r="320" spans="1:61" x14ac:dyDescent="0.2">
      <c r="A320" t="s">
        <v>737</v>
      </c>
      <c r="B320" t="s">
        <v>38</v>
      </c>
      <c r="C320" t="s">
        <v>738</v>
      </c>
      <c r="D320" t="s">
        <v>739</v>
      </c>
      <c r="E320">
        <v>39133</v>
      </c>
      <c r="F320">
        <v>44594</v>
      </c>
      <c r="G320" t="s">
        <v>739</v>
      </c>
      <c r="H320" s="1">
        <v>430</v>
      </c>
      <c r="I320" s="1">
        <v>45.4</v>
      </c>
      <c r="J320" s="11">
        <v>0.39040000000000002</v>
      </c>
      <c r="K320" s="11">
        <f t="shared" ca="1" si="94"/>
        <v>9.3810907681356557E-3</v>
      </c>
      <c r="L320" s="8">
        <v>5.2940000000000001E-2</v>
      </c>
      <c r="M320" s="8">
        <f t="shared" ca="1" si="95"/>
        <v>1.2371974135116837E-3</v>
      </c>
      <c r="N320" s="8">
        <v>0.98621999999999999</v>
      </c>
      <c r="O320" s="9">
        <v>18.889309999999998</v>
      </c>
      <c r="P320" s="9">
        <f t="shared" ca="1" si="96"/>
        <v>0.44143944579532074</v>
      </c>
      <c r="Q320" s="10">
        <v>5.339E-2</v>
      </c>
      <c r="R320" s="10">
        <f t="shared" ca="1" si="97"/>
        <v>1.08636864829578E-3</v>
      </c>
      <c r="S320" s="9">
        <f t="shared" si="98"/>
        <v>0.40475427216458482</v>
      </c>
      <c r="T320" s="12">
        <v>1.5709999999999998E-2</v>
      </c>
      <c r="U320" s="12">
        <f t="shared" ca="1" si="99"/>
        <v>4.778301371826603E-4</v>
      </c>
      <c r="V320" s="6" t="e">
        <f ca="1">IF(agePb6U8(1/O320)&lt;1400,age7corr(1/O320,Q320,$W$2),agePb76(Q320))</f>
        <v>#NAME?</v>
      </c>
      <c r="W320" s="6" t="e">
        <f ca="1">IF(agePb6U8(1/O320)&lt;1400,ageer7corr(V320,1/O320,P320/O320*(1/O320),Q320,R320,$W$2,0.05),ageerPb76(Q320,R320))</f>
        <v>#NAME?</v>
      </c>
      <c r="X320" s="4" t="e">
        <f ca="1">agePb6U8(L320)/agePb7u5(J320)</f>
        <v>#NAME?</v>
      </c>
      <c r="Z320" s="1">
        <v>0.39040000000000002</v>
      </c>
      <c r="AA320" s="1">
        <v>5.1999999999999998E-3</v>
      </c>
      <c r="AB320" s="1">
        <v>5.2940000000000001E-2</v>
      </c>
      <c r="AC320" s="1">
        <v>6.4000000000000005E-4</v>
      </c>
      <c r="AD320" s="1">
        <v>0.98621999999999999</v>
      </c>
      <c r="AE320" s="1">
        <v>18.889309999999998</v>
      </c>
      <c r="AF320" s="1">
        <v>0.2283558</v>
      </c>
      <c r="AG320" s="1">
        <v>5.339E-2</v>
      </c>
      <c r="AH320" s="1">
        <v>2.0000000000000001E-4</v>
      </c>
      <c r="AI320" s="1">
        <v>0.50592999999999999</v>
      </c>
      <c r="AJ320" s="1">
        <v>1.5709999999999998E-2</v>
      </c>
      <c r="AK320" s="1">
        <v>3.6000000000000002E-4</v>
      </c>
      <c r="AL320" s="1">
        <v>35.549999999999997</v>
      </c>
      <c r="AM320" s="1">
        <v>0.27</v>
      </c>
      <c r="AN320" s="1">
        <v>334.7</v>
      </c>
      <c r="AO320" s="1">
        <v>3.8</v>
      </c>
      <c r="AP320" s="1">
        <v>332.6</v>
      </c>
      <c r="AQ320" s="1">
        <v>3.9</v>
      </c>
      <c r="AR320" s="1">
        <v>315.10000000000002</v>
      </c>
      <c r="AS320" s="1">
        <v>7.2</v>
      </c>
      <c r="AT320" s="1">
        <v>345.3</v>
      </c>
      <c r="AU320" s="1">
        <v>8.6999999999999993</v>
      </c>
      <c r="AV320" s="1">
        <v>90.800000000000011</v>
      </c>
      <c r="AW320" s="1">
        <v>4.5</v>
      </c>
      <c r="AX320" s="1">
        <v>3.46</v>
      </c>
      <c r="AY320" s="1">
        <v>0.16</v>
      </c>
      <c r="AZ320" s="1">
        <v>4340.79</v>
      </c>
      <c r="BA320" s="1">
        <v>155.25</v>
      </c>
      <c r="BB320" s="1">
        <v>9936</v>
      </c>
      <c r="BC320" s="1">
        <v>372.6</v>
      </c>
      <c r="BD320" s="1">
        <v>190647</v>
      </c>
      <c r="BE320" s="1">
        <v>6831</v>
      </c>
      <c r="BF320" s="1">
        <v>-6.2099999999999991</v>
      </c>
      <c r="BG320" s="1">
        <v>7.4519999999999991</v>
      </c>
      <c r="BH320" s="1">
        <f t="shared" si="100"/>
        <v>-30700.000000000004</v>
      </c>
      <c r="BI320" s="1">
        <f t="shared" si="101"/>
        <v>-36856.4187082793</v>
      </c>
    </row>
    <row r="321" spans="1:61" x14ac:dyDescent="0.2">
      <c r="X321" s="4"/>
    </row>
    <row r="322" spans="1:61" x14ac:dyDescent="0.2">
      <c r="X322" s="4"/>
    </row>
    <row r="323" spans="1:61" x14ac:dyDescent="0.2">
      <c r="A323" t="s">
        <v>848</v>
      </c>
      <c r="B323" t="s">
        <v>38</v>
      </c>
      <c r="C323" t="s">
        <v>849</v>
      </c>
      <c r="D323" t="s">
        <v>850</v>
      </c>
      <c r="E323">
        <v>45234</v>
      </c>
      <c r="F323">
        <v>46141</v>
      </c>
      <c r="G323" t="s">
        <v>850</v>
      </c>
      <c r="H323" s="1">
        <v>68</v>
      </c>
      <c r="I323" s="1">
        <v>49.1</v>
      </c>
      <c r="J323" s="11">
        <v>0.50780000000000003</v>
      </c>
      <c r="K323" s="11">
        <f ca="1">SQRT(K$2^2+(AA323/Z323)^2)*J323</f>
        <v>1.3053135102342274E-2</v>
      </c>
      <c r="L323" s="8">
        <v>6.6570000000000004E-2</v>
      </c>
      <c r="M323" s="8">
        <f ca="1">SQRT(M$2^2+(AC323/AB323)^2)*L323</f>
        <v>1.4293445910626313E-3</v>
      </c>
      <c r="N323" s="8">
        <v>0.55706</v>
      </c>
      <c r="O323" s="9">
        <v>15.02178</v>
      </c>
      <c r="P323" s="9">
        <f ca="1">SQRT(P$2^2+(AF323/AE323)^2)*O323</f>
        <v>0.3225371689392712</v>
      </c>
      <c r="Q323" s="10">
        <v>5.4760000000000003E-2</v>
      </c>
      <c r="R323" s="10">
        <f ca="1">SQRT(R$2^2+(AH323/AG323)^2)*Q323</f>
        <v>1.2838859139347235E-3</v>
      </c>
      <c r="S323" s="9">
        <f>(((BE323/BD323)^2+(AW323/AV323)^2)+((BE323/BD323)^2+(BC323/BB323)^2)-((BC323/BB323)^2+(AW323/AV323)^2))/(2*SQRT((BE323/BD323)^2+(AW323/AV323)^2)*SQRT((BE323/BD323)^2+(BC323/BB323)^2))</f>
        <v>0.44087095251055852</v>
      </c>
      <c r="T323" s="12">
        <v>2.0740000000000001E-2</v>
      </c>
      <c r="U323" s="12">
        <f ca="1">SQRT(U$2^2+(AK323/AJ323)^2)*T323</f>
        <v>5.2388838505926054E-4</v>
      </c>
      <c r="V323" s="6" t="e">
        <f ca="1">IF(agePb6U8(1/O323)&lt;1400,age7corr(1/O323,Q323,$W$2),agePb76(Q323))</f>
        <v>#NAME?</v>
      </c>
      <c r="W323" s="6" t="e">
        <f ca="1">IF(agePb6U8(1/O323)&lt;1400,ageer7corr(V323,1/O323,P323/O323*(1/O323),Q323,R323,$W$2,0.05),ageerPb76(Q323,R323))</f>
        <v>#NAME?</v>
      </c>
      <c r="X323" s="4" t="e">
        <f ca="1">agePb6U8(L323)/agePb7u5(J323)</f>
        <v>#NAME?</v>
      </c>
      <c r="Z323" s="1">
        <v>0.50780000000000003</v>
      </c>
      <c r="AA323" s="1">
        <v>8.2000000000000007E-3</v>
      </c>
      <c r="AB323" s="1">
        <v>6.6570000000000004E-2</v>
      </c>
      <c r="AC323" s="1">
        <v>5.1999999999999995E-4</v>
      </c>
      <c r="AD323" s="1">
        <v>0.55706</v>
      </c>
      <c r="AE323" s="1">
        <v>15.02178</v>
      </c>
      <c r="AF323" s="1">
        <v>0.11734</v>
      </c>
      <c r="AG323" s="1">
        <v>5.4760000000000003E-2</v>
      </c>
      <c r="AH323" s="1">
        <v>6.7000000000000002E-4</v>
      </c>
      <c r="AI323" s="1">
        <v>0.25168000000000001</v>
      </c>
      <c r="AJ323" s="1">
        <v>2.0740000000000001E-2</v>
      </c>
      <c r="AK323" s="1">
        <v>3.2000000000000003E-4</v>
      </c>
      <c r="AL323" s="1">
        <v>4.95</v>
      </c>
      <c r="AM323" s="1">
        <v>4.8000000000000001E-2</v>
      </c>
      <c r="AN323" s="1">
        <v>416.9</v>
      </c>
      <c r="AO323" s="1">
        <v>5.5</v>
      </c>
      <c r="AP323" s="1">
        <v>415.5</v>
      </c>
      <c r="AQ323" s="1">
        <v>3.1</v>
      </c>
      <c r="AR323" s="1">
        <v>414.9</v>
      </c>
      <c r="AS323" s="1">
        <v>6.4</v>
      </c>
      <c r="AT323" s="1">
        <v>402</v>
      </c>
      <c r="AU323" s="1">
        <v>28</v>
      </c>
      <c r="AV323" s="1">
        <v>14.31</v>
      </c>
      <c r="AW323" s="1">
        <v>0.72000000000000008</v>
      </c>
      <c r="AX323" s="1">
        <v>3.73</v>
      </c>
      <c r="AY323" s="1">
        <v>0.16</v>
      </c>
      <c r="AZ323" s="1">
        <v>6147.9</v>
      </c>
      <c r="BA323" s="1">
        <v>279.45000000000005</v>
      </c>
      <c r="BB323" s="1">
        <v>2024.4599999999998</v>
      </c>
      <c r="BC323" s="1">
        <v>86.94</v>
      </c>
      <c r="BD323" s="1">
        <v>37508.400000000009</v>
      </c>
      <c r="BE323" s="1">
        <v>1552.5</v>
      </c>
      <c r="BF323" s="1">
        <v>1.5524999999999998</v>
      </c>
      <c r="BG323" s="1">
        <v>5.4027000000000003</v>
      </c>
      <c r="BH323" s="1">
        <f>BD323/BF323</f>
        <v>24160.000000000011</v>
      </c>
      <c r="BI323" s="1">
        <f>SQRT((BG323/BF323)^2+(BE323/BD323)^2)*BH323</f>
        <v>84082.746733441163</v>
      </c>
    </row>
    <row r="324" spans="1:61" x14ac:dyDescent="0.2">
      <c r="A324" t="s">
        <v>197</v>
      </c>
      <c r="B324" t="s">
        <v>38</v>
      </c>
      <c r="C324" t="s">
        <v>198</v>
      </c>
      <c r="D324" t="s">
        <v>199</v>
      </c>
      <c r="E324">
        <v>46100</v>
      </c>
      <c r="F324">
        <v>45670</v>
      </c>
      <c r="G324" t="s">
        <v>199</v>
      </c>
      <c r="H324" s="1">
        <v>182.1</v>
      </c>
      <c r="I324" s="1">
        <v>131.9</v>
      </c>
      <c r="J324" s="11">
        <v>0.501</v>
      </c>
      <c r="K324" s="11">
        <f ca="1">SQRT(K$2^2+(AA324/Z324)^2)*J324</f>
        <v>1.8038858056983541E-2</v>
      </c>
      <c r="L324" s="8">
        <v>6.6199999999999995E-2</v>
      </c>
      <c r="M324" s="8">
        <f ca="1">SQRT(M$2^2+(AC324/AB324)^2)*L324</f>
        <v>2.4825341890898499E-3</v>
      </c>
      <c r="N324" s="8">
        <v>0.95936999999999995</v>
      </c>
      <c r="O324" s="9">
        <v>15.105740000000001</v>
      </c>
      <c r="P324" s="9">
        <f ca="1">SQRT(P$2^2+(AF324/AE324)^2)*O324</f>
        <v>0.56647304652653152</v>
      </c>
      <c r="Q324" s="10">
        <v>5.475E-2</v>
      </c>
      <c r="R324" s="10">
        <f ca="1">SQRT(R$2^2+(AH324/AG324)^2)*Q324</f>
        <v>1.1916060590648236E-3</v>
      </c>
      <c r="S324" s="9">
        <f>(((BE324/BD324)^2+(AW324/AV324)^2)+((BE324/BD324)^2+(BC324/BB324)^2)-((BC324/BB324)^2+(AW324/AV324)^2))/(2*SQRT((BE324/BD324)^2+(AW324/AV324)^2)*SQRT((BE324/BD324)^2+(BC324/BB324)^2))</f>
        <v>0.41823597187255285</v>
      </c>
      <c r="T324" s="12">
        <v>2.0840000000000001E-2</v>
      </c>
      <c r="U324" s="12">
        <f ca="1">SQRT(U$2^2+(AK324/AJ324)^2)*T324</f>
        <v>6.9808469400209599E-4</v>
      </c>
      <c r="V324" s="6" t="e">
        <f ca="1">IF(agePb6U8(1/O324)&lt;1400,age7corr(1/O324,Q324,$W$2),agePb76(Q324))</f>
        <v>#NAME?</v>
      </c>
      <c r="W324" s="6" t="e">
        <f ca="1">IF(agePb6U8(1/O324)&lt;1400,ageer7corr(V324,1/O324,P324/O324*(1/O324),Q324,R324,$W$2,0.05),ageerPb76(Q324,R324))</f>
        <v>#NAME?</v>
      </c>
      <c r="X324" s="4" t="e">
        <f ca="1">agePb6U8(L324)/agePb7u5(J324)</f>
        <v>#NAME?</v>
      </c>
      <c r="Z324" s="1">
        <v>0.501</v>
      </c>
      <c r="AA324" s="1">
        <v>1.4999999999999999E-2</v>
      </c>
      <c r="AB324" s="1">
        <v>6.6199999999999995E-2</v>
      </c>
      <c r="AC324" s="1">
        <v>2.0999999999999999E-3</v>
      </c>
      <c r="AD324" s="1">
        <v>0.95936999999999995</v>
      </c>
      <c r="AE324" s="1">
        <v>15.105740000000001</v>
      </c>
      <c r="AF324" s="1">
        <v>0.47918509999999997</v>
      </c>
      <c r="AG324" s="1">
        <v>5.475E-2</v>
      </c>
      <c r="AH324" s="1">
        <v>4.6999999999999999E-4</v>
      </c>
      <c r="AI324" s="1">
        <v>0.10795</v>
      </c>
      <c r="AJ324" s="1">
        <v>2.0840000000000001E-2</v>
      </c>
      <c r="AK324" s="1">
        <v>5.5999999999999995E-4</v>
      </c>
      <c r="AL324" s="1">
        <v>4.6150000000000002</v>
      </c>
      <c r="AM324" s="1">
        <v>2.1000000000000001E-2</v>
      </c>
      <c r="AN324" s="1">
        <v>412</v>
      </c>
      <c r="AO324" s="1">
        <v>9.8000000000000007</v>
      </c>
      <c r="AP324" s="1">
        <v>413</v>
      </c>
      <c r="AQ324" s="1">
        <v>13</v>
      </c>
      <c r="AR324" s="1">
        <v>417</v>
      </c>
      <c r="AS324" s="1">
        <v>11</v>
      </c>
      <c r="AT324" s="1">
        <v>401</v>
      </c>
      <c r="AU324" s="1">
        <v>19</v>
      </c>
      <c r="AV324" s="1">
        <v>39.1</v>
      </c>
      <c r="AW324" s="1">
        <v>0.76</v>
      </c>
      <c r="AX324" s="1">
        <v>10.18</v>
      </c>
      <c r="AY324" s="1">
        <v>0.3</v>
      </c>
      <c r="AZ324" s="1">
        <v>17661.239999999998</v>
      </c>
      <c r="BA324" s="1">
        <v>341.54999999999995</v>
      </c>
      <c r="BB324" s="1">
        <v>5508.27</v>
      </c>
      <c r="BC324" s="1">
        <v>124.2</v>
      </c>
      <c r="BD324" s="1">
        <v>101223</v>
      </c>
      <c r="BE324" s="1">
        <v>1800.9</v>
      </c>
      <c r="BF324" s="1">
        <v>0.86939999999999995</v>
      </c>
      <c r="BG324" s="1">
        <v>5.7752999999999997</v>
      </c>
      <c r="BH324" s="1">
        <f>BD324/BF324</f>
        <v>116428.57142857143</v>
      </c>
      <c r="BI324" s="1">
        <f>SQRT((BG324/BF324)^2+(BE324/BD324)^2)*BH324</f>
        <v>773421.14127164311</v>
      </c>
    </row>
    <row r="325" spans="1:61" x14ac:dyDescent="0.2">
      <c r="A325" t="s">
        <v>413</v>
      </c>
      <c r="B325" t="s">
        <v>38</v>
      </c>
      <c r="C325" t="s">
        <v>414</v>
      </c>
      <c r="D325" t="s">
        <v>415</v>
      </c>
      <c r="E325">
        <v>46124</v>
      </c>
      <c r="F325">
        <v>45650</v>
      </c>
      <c r="G325" t="s">
        <v>415</v>
      </c>
      <c r="H325" s="1">
        <v>210</v>
      </c>
      <c r="I325" s="1">
        <v>153.6</v>
      </c>
      <c r="J325" s="11">
        <v>0.503</v>
      </c>
      <c r="K325" s="11">
        <f ca="1">SQRT(K$2^2+(AA325/Z325)^2)*J325</f>
        <v>1.806110738576126E-2</v>
      </c>
      <c r="L325" s="8">
        <v>6.6000000000000003E-2</v>
      </c>
      <c r="M325" s="8">
        <f ca="1">SQRT(M$2^2+(AC325/AB325)^2)*L325</f>
        <v>2.1523010941780427E-3</v>
      </c>
      <c r="N325" s="8">
        <v>0.96533000000000002</v>
      </c>
      <c r="O325" s="9">
        <v>15.15152</v>
      </c>
      <c r="P325" s="9">
        <f ca="1">SQRT(P$2^2+(AF325/AE325)^2)*O325</f>
        <v>0.49410040299502894</v>
      </c>
      <c r="Q325" s="10">
        <v>5.5129999999999998E-2</v>
      </c>
      <c r="R325" s="10">
        <f ca="1">SQRT(R$2^2+(AH325/AG325)^2)*Q325</f>
        <v>1.1763616620750611E-3</v>
      </c>
      <c r="S325" s="9">
        <f>(((BE325/BD325)^2+(AW325/AV325)^2)+((BE325/BD325)^2+(BC325/BB325)^2)-((BC325/BB325)^2+(AW325/AV325)^2))/(2*SQRT((BE325/BD325)^2+(AW325/AV325)^2)*SQRT((BE325/BD325)^2+(BC325/BB325)^2))</f>
        <v>0.48001633782737907</v>
      </c>
      <c r="T325" s="12">
        <v>2.087E-2</v>
      </c>
      <c r="U325" s="12">
        <f ca="1">SQRT(U$2^2+(AK325/AJ325)^2)*T325</f>
        <v>6.2114632736578264E-4</v>
      </c>
      <c r="V325" s="6" t="e">
        <f ca="1">IF(agePb6U8(1/O325)&lt;1400,age7corr(1/O325,Q325,$W$2),agePb76(Q325))</f>
        <v>#NAME?</v>
      </c>
      <c r="W325" s="6" t="e">
        <f ca="1">IF(agePb6U8(1/O325)&lt;1400,ageer7corr(V325,1/O325,P325/O325*(1/O325),Q325,R325,$W$2,0.05),ageerPb76(Q325,R325))</f>
        <v>#NAME?</v>
      </c>
      <c r="X325" s="4" t="e">
        <f ca="1">agePb6U8(L325)/agePb7u5(J325)</f>
        <v>#NAME?</v>
      </c>
      <c r="Z325" s="1">
        <v>0.503</v>
      </c>
      <c r="AA325" s="1">
        <v>1.4999999999999999E-2</v>
      </c>
      <c r="AB325" s="1">
        <v>6.6000000000000003E-2</v>
      </c>
      <c r="AC325" s="1">
        <v>1.6999999999999999E-3</v>
      </c>
      <c r="AD325" s="1">
        <v>0.96533000000000002</v>
      </c>
      <c r="AE325" s="1">
        <v>15.15152</v>
      </c>
      <c r="AF325" s="1">
        <v>0.39026630000000001</v>
      </c>
      <c r="AG325" s="1">
        <v>5.5129999999999998E-2</v>
      </c>
      <c r="AH325" s="1">
        <v>4.0999999999999999E-4</v>
      </c>
      <c r="AI325" s="1">
        <v>-0.32466</v>
      </c>
      <c r="AJ325" s="1">
        <v>2.087E-2</v>
      </c>
      <c r="AK325" s="1">
        <v>4.6000000000000001E-4</v>
      </c>
      <c r="AL325" s="1">
        <v>4.4740000000000002</v>
      </c>
      <c r="AM325" s="1">
        <v>2.1999999999999999E-2</v>
      </c>
      <c r="AN325" s="1">
        <v>414</v>
      </c>
      <c r="AO325" s="1">
        <v>10</v>
      </c>
      <c r="AP325" s="1">
        <v>412</v>
      </c>
      <c r="AQ325" s="1">
        <v>10</v>
      </c>
      <c r="AR325" s="1">
        <v>417.4</v>
      </c>
      <c r="AS325" s="1">
        <v>9.1999999999999993</v>
      </c>
      <c r="AT325" s="1">
        <v>417</v>
      </c>
      <c r="AU325" s="1">
        <v>17</v>
      </c>
      <c r="AV325" s="1">
        <v>44.81</v>
      </c>
      <c r="AW325" s="1">
        <v>0.76</v>
      </c>
      <c r="AX325" s="1">
        <v>11.790000000000001</v>
      </c>
      <c r="AY325" s="1">
        <v>0.24000000000000002</v>
      </c>
      <c r="AZ325" s="1">
        <v>20362.59</v>
      </c>
      <c r="BA325" s="1">
        <v>211.14000000000001</v>
      </c>
      <c r="BB325" s="1">
        <v>6272.1</v>
      </c>
      <c r="BC325" s="1">
        <v>105.57000000000001</v>
      </c>
      <c r="BD325" s="1">
        <v>114760.8</v>
      </c>
      <c r="BE325" s="1">
        <v>1863.0000000000002</v>
      </c>
      <c r="BF325" s="1">
        <v>31.05</v>
      </c>
      <c r="BG325" s="1">
        <v>7.4519999999999991</v>
      </c>
      <c r="BH325" s="1">
        <f>BD325/BF325</f>
        <v>3696</v>
      </c>
      <c r="BI325" s="1">
        <f>SQRT((BG325/BF325)^2+(BE325/BD325)^2)*BH325</f>
        <v>889.06690501896412</v>
      </c>
    </row>
    <row r="326" spans="1:61" x14ac:dyDescent="0.2">
      <c r="A326" t="s">
        <v>632</v>
      </c>
      <c r="B326" t="s">
        <v>38</v>
      </c>
      <c r="C326" t="s">
        <v>633</v>
      </c>
      <c r="D326" t="s">
        <v>634</v>
      </c>
      <c r="E326">
        <v>46096</v>
      </c>
      <c r="F326">
        <v>45633</v>
      </c>
      <c r="G326" t="s">
        <v>634</v>
      </c>
      <c r="H326" s="1">
        <v>241.5</v>
      </c>
      <c r="I326" s="1">
        <v>237.4</v>
      </c>
      <c r="J326" s="11">
        <v>0.51060000000000005</v>
      </c>
      <c r="K326" s="11">
        <f ca="1">SQRT(K$2^2+(AA326/Z326)^2)*J326</f>
        <v>1.3879659361814326E-2</v>
      </c>
      <c r="L326" s="8">
        <v>6.7000000000000004E-2</v>
      </c>
      <c r="M326" s="8">
        <f ca="1">SQRT(M$2^2+(AC326/AB326)^2)*L326</f>
        <v>1.7987773625437917E-3</v>
      </c>
      <c r="N326" s="8">
        <v>0.96401999999999999</v>
      </c>
      <c r="O326" s="9">
        <v>14.925369999999999</v>
      </c>
      <c r="P326" s="9">
        <f ca="1">SQRT(P$2^2+(AF326/AE326)^2)*O326</f>
        <v>0.40070775350468324</v>
      </c>
      <c r="Q326" s="10">
        <v>5.5480000000000002E-2</v>
      </c>
      <c r="R326" s="10">
        <f ca="1">SQRT(R$2^2+(AH326/AG326)^2)*Q326</f>
        <v>1.2050361654323907E-3</v>
      </c>
      <c r="S326" s="9">
        <f>(((BE326/BD326)^2+(AW326/AV326)^2)+((BE326/BD326)^2+(BC326/BB326)^2)-((BC326/BB326)^2+(AW326/AV326)^2))/(2*SQRT((BE326/BD326)^2+(AW326/AV326)^2)*SQRT((BE326/BD326)^2+(BC326/BB326)^2))</f>
        <v>0.41807638793189816</v>
      </c>
      <c r="T326" s="12">
        <v>2.1080000000000002E-2</v>
      </c>
      <c r="U326" s="12">
        <f ca="1">SQRT(U$2^2+(AK326/AJ326)^2)*T326</f>
        <v>6.2397640981049917E-4</v>
      </c>
      <c r="V326" s="6" t="e">
        <f ca="1">IF(agePb6U8(1/O326)&lt;1400,age7corr(1/O326,Q326,$W$2),agePb76(Q326))</f>
        <v>#NAME?</v>
      </c>
      <c r="W326" s="6" t="e">
        <f ca="1">IF(agePb6U8(1/O326)&lt;1400,ageer7corr(V326,1/O326,P326/O326*(1/O326),Q326,R326,$W$2,0.05),ageerPb76(Q326,R326))</f>
        <v>#NAME?</v>
      </c>
      <c r="X326" s="4" t="e">
        <f ca="1">agePb6U8(L326)/agePb7u5(J326)</f>
        <v>#NAME?</v>
      </c>
      <c r="Z326" s="1">
        <v>0.51060000000000005</v>
      </c>
      <c r="AA326" s="1">
        <v>9.4000000000000004E-3</v>
      </c>
      <c r="AB326" s="1">
        <v>6.7000000000000004E-2</v>
      </c>
      <c r="AC326" s="1">
        <v>1.1999999999999999E-3</v>
      </c>
      <c r="AD326" s="1">
        <v>0.96401999999999999</v>
      </c>
      <c r="AE326" s="1">
        <v>14.925369999999999</v>
      </c>
      <c r="AF326" s="1">
        <v>0.2673201</v>
      </c>
      <c r="AG326" s="1">
        <v>5.5480000000000002E-2</v>
      </c>
      <c r="AH326" s="1">
        <v>4.6999999999999999E-4</v>
      </c>
      <c r="AI326" s="1">
        <v>-0.13497999999999999</v>
      </c>
      <c r="AJ326" s="1">
        <v>2.1080000000000002E-2</v>
      </c>
      <c r="AK326" s="1">
        <v>4.6000000000000001E-4</v>
      </c>
      <c r="AL326" s="1">
        <v>3.6160000000000001</v>
      </c>
      <c r="AM326" s="1">
        <v>3.5999999999999997E-2</v>
      </c>
      <c r="AN326" s="1">
        <v>418.8</v>
      </c>
      <c r="AO326" s="1">
        <v>6.3</v>
      </c>
      <c r="AP326" s="1">
        <v>418.2</v>
      </c>
      <c r="AQ326" s="1">
        <v>7.2</v>
      </c>
      <c r="AR326" s="1">
        <v>421.6</v>
      </c>
      <c r="AS326" s="1">
        <v>9</v>
      </c>
      <c r="AT326" s="1">
        <v>431</v>
      </c>
      <c r="AU326" s="1">
        <v>19</v>
      </c>
      <c r="AV326" s="1">
        <v>51.2</v>
      </c>
      <c r="AW326" s="1">
        <v>1.8</v>
      </c>
      <c r="AX326" s="1">
        <v>18.11</v>
      </c>
      <c r="AY326" s="1">
        <v>0.65</v>
      </c>
      <c r="AZ326" s="1">
        <v>30118.500000000004</v>
      </c>
      <c r="BA326" s="1">
        <v>807.3</v>
      </c>
      <c r="BB326" s="1">
        <v>7327.7999999999993</v>
      </c>
      <c r="BC326" s="1">
        <v>211.14000000000001</v>
      </c>
      <c r="BD326" s="1">
        <v>135253.79999999999</v>
      </c>
      <c r="BE326" s="1">
        <v>3663.8999999999996</v>
      </c>
      <c r="BF326" s="1">
        <v>-8.3214000000000006</v>
      </c>
      <c r="BG326" s="1">
        <v>4.3470000000000004</v>
      </c>
      <c r="BH326" s="1">
        <f>BD326/BF326</f>
        <v>-16253.73134328358</v>
      </c>
      <c r="BI326" s="1">
        <f>SQRT((BG326/BF326)^2+(BE326/BD326)^2)*BH326</f>
        <v>-8502.16362409865</v>
      </c>
    </row>
    <row r="327" spans="1:61" x14ac:dyDescent="0.2">
      <c r="X327" s="4"/>
    </row>
    <row r="328" spans="1:61" x14ac:dyDescent="0.2">
      <c r="X328" s="4"/>
    </row>
    <row r="329" spans="1:61" x14ac:dyDescent="0.2">
      <c r="A329" t="s">
        <v>878</v>
      </c>
      <c r="B329" t="s">
        <v>38</v>
      </c>
      <c r="C329" t="s">
        <v>879</v>
      </c>
      <c r="D329" t="s">
        <v>880</v>
      </c>
      <c r="E329">
        <v>38107</v>
      </c>
      <c r="F329">
        <v>79023</v>
      </c>
      <c r="G329" t="s">
        <v>880</v>
      </c>
      <c r="H329" s="1">
        <v>126.5</v>
      </c>
      <c r="I329" s="1">
        <v>66.400000000000006</v>
      </c>
      <c r="J329" s="11">
        <v>7.46E-2</v>
      </c>
      <c r="K329" s="11">
        <f t="shared" ref="K329:K334" ca="1" si="102">SQRT(K$2^2+(AA329/Z329)^2)*J329</f>
        <v>2.1877074758751454E-3</v>
      </c>
      <c r="L329" s="8">
        <v>1.158E-2</v>
      </c>
      <c r="M329" s="8">
        <f t="shared" ref="M329:M334" ca="1" si="103">SQRT(M$2^2+(AC329/AB329)^2)*L329</f>
        <v>2.608420211545678E-4</v>
      </c>
      <c r="N329" s="8">
        <v>0.16014999999999999</v>
      </c>
      <c r="O329" s="9">
        <v>86.355789999999999</v>
      </c>
      <c r="P329" s="9">
        <f t="shared" ref="P329:P334" ca="1" si="104">SQRT(P$2^2+(AF329/AE329)^2)*O329</f>
        <v>1.9451829464982464</v>
      </c>
      <c r="Q329" s="10">
        <v>4.648E-2</v>
      </c>
      <c r="R329" s="10">
        <f t="shared" ref="R329:R334" ca="1" si="105">SQRT(R$2^2+(AH329/AG329)^2)*Q329</f>
        <v>1.3435237846796759E-3</v>
      </c>
      <c r="S329" s="9">
        <f t="shared" ref="S329:S334" si="106">(((BE329/BD329)^2+(AW329/AV329)^2)+((BE329/BD329)^2+(BC329/BB329)^2)-((BC329/BB329)^2+(AW329/AV329)^2))/(2*SQRT((BE329/BD329)^2+(AW329/AV329)^2)*SQRT((BE329/BD329)^2+(BC329/BB329)^2))</f>
        <v>0.53215441593377877</v>
      </c>
      <c r="T329" s="12">
        <v>3.6120000000000002E-3</v>
      </c>
      <c r="U329" s="12">
        <f t="shared" ref="U329:U334" ca="1" si="107">SQRT(U$2^2+(AK329/AJ329)^2)*T329</f>
        <v>1.1308234875523235E-4</v>
      </c>
      <c r="V329" s="6" t="e">
        <f ca="1">IF(agePb6U8(1/O329)&lt;1400,age7corr(1/O329,Q329,$W$2),agePb76(Q329))</f>
        <v>#NAME?</v>
      </c>
      <c r="W329" s="6" t="e">
        <f ca="1">IF(agePb6U8(1/O329)&lt;1400,ageer7corr(V329,1/O329,P329/O329*(1/O329),Q329,R329,$W$2,0.05),ageerPb76(Q329,R329))</f>
        <v>#NAME?</v>
      </c>
      <c r="X329" s="4" t="e">
        <f ca="1">agePb6U8(L329)/agePb7u5(J329)</f>
        <v>#NAME?</v>
      </c>
      <c r="Z329" s="1">
        <v>7.46E-2</v>
      </c>
      <c r="AA329" s="1">
        <v>1.6000000000000001E-3</v>
      </c>
      <c r="AB329" s="1">
        <v>1.158E-2</v>
      </c>
      <c r="AC329" s="1">
        <v>1.2E-4</v>
      </c>
      <c r="AD329" s="1">
        <v>0.16014999999999999</v>
      </c>
      <c r="AE329" s="1">
        <v>86.355789999999999</v>
      </c>
      <c r="AF329" s="1">
        <v>0.89487859999999997</v>
      </c>
      <c r="AG329" s="1">
        <v>4.648E-2</v>
      </c>
      <c r="AH329" s="1">
        <v>9.7000000000000005E-4</v>
      </c>
      <c r="AI329" s="1">
        <v>0.13705999999999999</v>
      </c>
      <c r="AJ329" s="1">
        <v>3.6120000000000002E-3</v>
      </c>
      <c r="AK329" s="1">
        <v>8.7000000000000001E-5</v>
      </c>
      <c r="AL329" s="1">
        <v>6.33</v>
      </c>
      <c r="AM329" s="1">
        <v>0.27</v>
      </c>
      <c r="AN329" s="1">
        <v>73</v>
      </c>
      <c r="AO329" s="1">
        <v>1.5</v>
      </c>
      <c r="AP329" s="1">
        <v>74.25</v>
      </c>
      <c r="AQ329" s="1">
        <v>0.78</v>
      </c>
      <c r="AR329" s="1">
        <v>72.900000000000006</v>
      </c>
      <c r="AS329" s="1">
        <v>1.7</v>
      </c>
      <c r="AT329" s="1">
        <v>13</v>
      </c>
      <c r="AU329" s="1">
        <v>52</v>
      </c>
      <c r="AV329" s="1">
        <v>26.599999999999998</v>
      </c>
      <c r="AW329" s="1">
        <v>1.2</v>
      </c>
      <c r="AX329" s="1">
        <v>5.0299999999999994</v>
      </c>
      <c r="AY329" s="1">
        <v>0.5</v>
      </c>
      <c r="AZ329" s="1">
        <v>1521.45</v>
      </c>
      <c r="BA329" s="1">
        <v>136.62</v>
      </c>
      <c r="BB329" s="1">
        <v>550.20600000000002</v>
      </c>
      <c r="BC329" s="1">
        <v>29.186999999999998</v>
      </c>
      <c r="BD329" s="1">
        <v>11861.1</v>
      </c>
      <c r="BE329" s="1">
        <v>621</v>
      </c>
      <c r="BF329" s="1">
        <v>-12.419999999999998</v>
      </c>
      <c r="BG329" s="1">
        <v>7.4519999999999991</v>
      </c>
      <c r="BH329" s="1">
        <f t="shared" ref="BH329:BH334" si="108">BD329/BF329</f>
        <v>-955.00000000000023</v>
      </c>
      <c r="BI329" s="1">
        <f t="shared" ref="BI329:BI334" si="109">SQRT((BG329/BF329)^2+(BE329/BD329)^2)*BH329</f>
        <v>-575.17736394959093</v>
      </c>
    </row>
    <row r="330" spans="1:61" x14ac:dyDescent="0.2">
      <c r="A330" t="s">
        <v>887</v>
      </c>
      <c r="B330" t="s">
        <v>38</v>
      </c>
      <c r="C330" t="s">
        <v>888</v>
      </c>
      <c r="D330" t="s">
        <v>889</v>
      </c>
      <c r="E330">
        <v>38274</v>
      </c>
      <c r="F330">
        <v>79080</v>
      </c>
      <c r="G330" t="s">
        <v>889</v>
      </c>
      <c r="H330" s="1">
        <v>271</v>
      </c>
      <c r="I330" s="1">
        <v>217</v>
      </c>
      <c r="J330" s="11">
        <v>7.4209999999999998E-2</v>
      </c>
      <c r="K330" s="11">
        <f t="shared" ca="1" si="102"/>
        <v>1.7622002269889765E-3</v>
      </c>
      <c r="L330" s="8">
        <v>1.1269E-2</v>
      </c>
      <c r="M330" s="8">
        <f t="shared" ca="1" si="103"/>
        <v>2.342907262355896E-4</v>
      </c>
      <c r="N330" s="8">
        <v>0.40919</v>
      </c>
      <c r="O330" s="9">
        <v>88.739019999999996</v>
      </c>
      <c r="P330" s="9">
        <f t="shared" ca="1" si="104"/>
        <v>1.8449489345871473</v>
      </c>
      <c r="Q330" s="10">
        <v>4.7629999999999999E-2</v>
      </c>
      <c r="R330" s="10">
        <f t="shared" ca="1" si="105"/>
        <v>1.1258093799573709E-3</v>
      </c>
      <c r="S330" s="9">
        <f t="shared" si="106"/>
        <v>0.47216078000743517</v>
      </c>
      <c r="T330" s="12">
        <v>3.3890000000000001E-3</v>
      </c>
      <c r="U330" s="12">
        <f t="shared" ca="1" si="107"/>
        <v>8.3636884207866088E-5</v>
      </c>
      <c r="V330" s="6" t="e">
        <f ca="1">IF(agePb6U8(1/O330)&lt;1400,age7corr(1/O330,Q330,$W$2),agePb76(Q330))</f>
        <v>#NAME?</v>
      </c>
      <c r="W330" s="6" t="e">
        <f ca="1">IF(agePb6U8(1/O330)&lt;1400,ageer7corr(V330,1/O330,P330/O330*(1/O330),Q330,R330,$W$2,0.05),ageerPb76(Q330,R330))</f>
        <v>#NAME?</v>
      </c>
      <c r="X330" s="4" t="e">
        <f ca="1">agePb6U8(L330)/agePb7u5(J330)</f>
        <v>#NAME?</v>
      </c>
      <c r="Z330" s="1">
        <v>7.4209999999999998E-2</v>
      </c>
      <c r="AA330" s="1">
        <v>9.5E-4</v>
      </c>
      <c r="AB330" s="1">
        <v>1.1269E-2</v>
      </c>
      <c r="AC330" s="1">
        <v>6.3999999999999997E-5</v>
      </c>
      <c r="AD330" s="1">
        <v>0.40919</v>
      </c>
      <c r="AE330" s="1">
        <v>88.739019999999996</v>
      </c>
      <c r="AF330" s="1">
        <v>0.50397530000000001</v>
      </c>
      <c r="AG330" s="1">
        <v>4.7629999999999999E-2</v>
      </c>
      <c r="AH330" s="1">
        <v>5.9999999999999995E-4</v>
      </c>
      <c r="AI330" s="1">
        <v>-4.8361000000000001E-2</v>
      </c>
      <c r="AJ330" s="1">
        <v>3.3890000000000001E-3</v>
      </c>
      <c r="AK330" s="1">
        <v>4.8999999999999998E-5</v>
      </c>
      <c r="AL330" s="1">
        <v>4.37</v>
      </c>
      <c r="AM330" s="1">
        <v>0.14000000000000001</v>
      </c>
      <c r="AN330" s="1">
        <v>72.680000000000007</v>
      </c>
      <c r="AO330" s="1">
        <v>0.9</v>
      </c>
      <c r="AP330" s="1">
        <v>72.239999999999995</v>
      </c>
      <c r="AQ330" s="1">
        <v>0.41</v>
      </c>
      <c r="AR330" s="1">
        <v>68.38</v>
      </c>
      <c r="AS330" s="1">
        <v>0.99</v>
      </c>
      <c r="AT330" s="1">
        <v>81</v>
      </c>
      <c r="AU330" s="1">
        <v>29</v>
      </c>
      <c r="AV330" s="1">
        <v>56.9</v>
      </c>
      <c r="AW330" s="1">
        <v>3.4</v>
      </c>
      <c r="AX330" s="1">
        <v>16.400000000000002</v>
      </c>
      <c r="AY330" s="1">
        <v>1.2</v>
      </c>
      <c r="AZ330" s="1">
        <v>4496.04</v>
      </c>
      <c r="BA330" s="1">
        <v>322.91999999999996</v>
      </c>
      <c r="BB330" s="1">
        <v>1162.5119999999999</v>
      </c>
      <c r="BC330" s="1">
        <v>59.615999999999993</v>
      </c>
      <c r="BD330" s="1">
        <v>24840</v>
      </c>
      <c r="BE330" s="1">
        <v>1304.0999999999999</v>
      </c>
      <c r="BF330" s="1">
        <v>4.968</v>
      </c>
      <c r="BG330" s="1">
        <v>5.8995000000000006</v>
      </c>
      <c r="BH330" s="1">
        <f t="shared" si="108"/>
        <v>5000</v>
      </c>
      <c r="BI330" s="1">
        <f t="shared" si="109"/>
        <v>5943.2997989332507</v>
      </c>
    </row>
    <row r="331" spans="1:61" x14ac:dyDescent="0.2">
      <c r="A331" t="s">
        <v>890</v>
      </c>
      <c r="B331" t="s">
        <v>38</v>
      </c>
      <c r="C331" t="s">
        <v>891</v>
      </c>
      <c r="D331" t="s">
        <v>892</v>
      </c>
      <c r="E331">
        <v>38247</v>
      </c>
      <c r="F331">
        <v>78703</v>
      </c>
      <c r="G331" t="s">
        <v>892</v>
      </c>
      <c r="H331" s="1">
        <v>265</v>
      </c>
      <c r="I331" s="1">
        <v>187</v>
      </c>
      <c r="J331" s="11">
        <v>7.2800000000000004E-2</v>
      </c>
      <c r="K331" s="11">
        <f t="shared" ca="1" si="102"/>
        <v>1.9519057354288399E-3</v>
      </c>
      <c r="L331" s="8">
        <v>1.124E-2</v>
      </c>
      <c r="M331" s="8">
        <f t="shared" ca="1" si="103"/>
        <v>2.4603869614351319E-4</v>
      </c>
      <c r="N331" s="8">
        <v>0.32306000000000001</v>
      </c>
      <c r="O331" s="9">
        <v>88.967969999999994</v>
      </c>
      <c r="P331" s="9">
        <f t="shared" ca="1" si="104"/>
        <v>1.9474700550376531</v>
      </c>
      <c r="Q331" s="10">
        <v>4.7059999999999998E-2</v>
      </c>
      <c r="R331" s="10">
        <f t="shared" ca="1" si="105"/>
        <v>1.2615298014712138E-3</v>
      </c>
      <c r="S331" s="9">
        <f t="shared" si="106"/>
        <v>0.45356938857929985</v>
      </c>
      <c r="T331" s="12">
        <v>3.241E-3</v>
      </c>
      <c r="U331" s="12">
        <f t="shared" ca="1" si="107"/>
        <v>7.8343043086160499E-5</v>
      </c>
      <c r="V331" s="6" t="e">
        <f ca="1">IF(agePb6U8(1/O331)&lt;1400,age7corr(1/O331,Q331,$W$2),agePb76(Q331))</f>
        <v>#NAME?</v>
      </c>
      <c r="W331" s="6" t="e">
        <f ca="1">IF(agePb6U8(1/O331)&lt;1400,ageer7corr(V331,1/O331,P331/O331*(1/O331),Q331,R331,$W$2,0.05),ageerPb76(Q331,R331))</f>
        <v>#NAME?</v>
      </c>
      <c r="X331" s="4" t="e">
        <f ca="1">agePb6U8(L331)/agePb7u5(J331)</f>
        <v>#NAME?</v>
      </c>
      <c r="Z331" s="1">
        <v>7.2800000000000004E-2</v>
      </c>
      <c r="AA331" s="1">
        <v>1.2999999999999999E-3</v>
      </c>
      <c r="AB331" s="1">
        <v>1.124E-2</v>
      </c>
      <c r="AC331" s="1">
        <v>1E-4</v>
      </c>
      <c r="AD331" s="1">
        <v>0.32306000000000001</v>
      </c>
      <c r="AE331" s="1">
        <v>88.967969999999994</v>
      </c>
      <c r="AF331" s="1">
        <v>0.79152999999999996</v>
      </c>
      <c r="AG331" s="1">
        <v>4.7059999999999998E-2</v>
      </c>
      <c r="AH331" s="1">
        <v>8.4000000000000003E-4</v>
      </c>
      <c r="AI331" s="1">
        <v>0.18129999999999999</v>
      </c>
      <c r="AJ331" s="1">
        <v>3.241E-3</v>
      </c>
      <c r="AK331" s="1">
        <v>4.3999999999999999E-5</v>
      </c>
      <c r="AL331" s="1">
        <v>5.35</v>
      </c>
      <c r="AM331" s="1">
        <v>0.48</v>
      </c>
      <c r="AN331" s="1">
        <v>71.400000000000006</v>
      </c>
      <c r="AO331" s="1">
        <v>1.3</v>
      </c>
      <c r="AP331" s="1">
        <v>72.03</v>
      </c>
      <c r="AQ331" s="1">
        <v>0.64</v>
      </c>
      <c r="AR331" s="1">
        <v>65.39</v>
      </c>
      <c r="AS331" s="1">
        <v>0.89</v>
      </c>
      <c r="AT331" s="1">
        <v>55</v>
      </c>
      <c r="AU331" s="1">
        <v>39</v>
      </c>
      <c r="AV331" s="1">
        <v>55.599999999999994</v>
      </c>
      <c r="AW331" s="1">
        <v>4.8999999999999995</v>
      </c>
      <c r="AX331" s="1">
        <v>14.200000000000001</v>
      </c>
      <c r="AY331" s="1">
        <v>2.9</v>
      </c>
      <c r="AZ331" s="1">
        <v>3788.1</v>
      </c>
      <c r="BA331" s="1">
        <v>683.09999999999991</v>
      </c>
      <c r="BB331" s="1">
        <v>1086.75</v>
      </c>
      <c r="BC331" s="1">
        <v>99.359999999999985</v>
      </c>
      <c r="BD331" s="1">
        <v>23535.9</v>
      </c>
      <c r="BE331" s="1">
        <v>1925.1</v>
      </c>
      <c r="BF331" s="1">
        <v>-0.43469999999999998</v>
      </c>
      <c r="BG331" s="1">
        <v>8.0729999999999986</v>
      </c>
      <c r="BH331" s="1">
        <f t="shared" si="108"/>
        <v>-54142.857142857152</v>
      </c>
      <c r="BI331" s="1">
        <f t="shared" si="109"/>
        <v>-1005519.9564191577</v>
      </c>
    </row>
    <row r="332" spans="1:61" x14ac:dyDescent="0.2">
      <c r="A332" t="s">
        <v>893</v>
      </c>
      <c r="B332" t="s">
        <v>38</v>
      </c>
      <c r="C332" t="s">
        <v>894</v>
      </c>
      <c r="D332" t="s">
        <v>895</v>
      </c>
      <c r="E332">
        <v>38016</v>
      </c>
      <c r="F332">
        <v>78777</v>
      </c>
      <c r="G332" t="s">
        <v>895</v>
      </c>
      <c r="H332" s="1">
        <v>300.39999999999998</v>
      </c>
      <c r="I332" s="1">
        <v>139.30000000000001</v>
      </c>
      <c r="J332" s="11">
        <v>7.7100000000000002E-2</v>
      </c>
      <c r="K332" s="11">
        <f t="shared" ca="1" si="102"/>
        <v>2.0168698520231791E-3</v>
      </c>
      <c r="L332" s="8">
        <v>1.1939999999999999E-2</v>
      </c>
      <c r="M332" s="8">
        <f t="shared" ca="1" si="103"/>
        <v>2.4775278000458442E-4</v>
      </c>
      <c r="N332" s="8">
        <v>7.3322999999999999E-2</v>
      </c>
      <c r="O332" s="9">
        <v>83.752089999999995</v>
      </c>
      <c r="P332" s="9">
        <f t="shared" ca="1" si="104"/>
        <v>1.7378403085205871</v>
      </c>
      <c r="Q332" s="10">
        <v>4.6879999999999998E-2</v>
      </c>
      <c r="R332" s="10">
        <f t="shared" ca="1" si="105"/>
        <v>1.1700828004889226E-3</v>
      </c>
      <c r="S332" s="9">
        <f t="shared" si="106"/>
        <v>0.45661791829504361</v>
      </c>
      <c r="T332" s="12">
        <v>3.581E-3</v>
      </c>
      <c r="U332" s="12">
        <f t="shared" ca="1" si="107"/>
        <v>8.8506634779546319E-5</v>
      </c>
      <c r="V332" s="6" t="e">
        <f ca="1">IF(agePb6U8(1/O332)&lt;1400,age7corr(1/O332,Q332,$W$2),agePb76(Q332))</f>
        <v>#NAME?</v>
      </c>
      <c r="W332" s="6" t="e">
        <f ca="1">IF(agePb6U8(1/O332)&lt;1400,ageer7corr(V332,1/O332,P332/O332*(1/O332),Q332,R332,$W$2,0.05),ageerPb76(Q332,R332))</f>
        <v>#NAME?</v>
      </c>
      <c r="X332" s="4" t="e">
        <f ca="1">agePb6U8(L332)/agePb7u5(J332)</f>
        <v>#NAME?</v>
      </c>
      <c r="Z332" s="1">
        <v>7.7100000000000002E-2</v>
      </c>
      <c r="AA332" s="1">
        <v>1.2999999999999999E-3</v>
      </c>
      <c r="AB332" s="1">
        <v>1.1939999999999999E-2</v>
      </c>
      <c r="AC332" s="1">
        <v>6.6000000000000005E-5</v>
      </c>
      <c r="AD332" s="1">
        <v>7.3322999999999999E-2</v>
      </c>
      <c r="AE332" s="1">
        <v>83.752089999999995</v>
      </c>
      <c r="AF332" s="1">
        <v>0.46295130000000001</v>
      </c>
      <c r="AG332" s="1">
        <v>4.6879999999999998E-2</v>
      </c>
      <c r="AH332" s="1">
        <v>6.9999999999999999E-4</v>
      </c>
      <c r="AI332" s="1">
        <v>0.23179</v>
      </c>
      <c r="AJ332" s="1">
        <v>3.581E-3</v>
      </c>
      <c r="AK332" s="1">
        <v>5.1999999999999997E-5</v>
      </c>
      <c r="AL332" s="1">
        <v>7.64</v>
      </c>
      <c r="AM332" s="1">
        <v>0.13</v>
      </c>
      <c r="AN332" s="1">
        <v>75.400000000000006</v>
      </c>
      <c r="AO332" s="1">
        <v>1.2</v>
      </c>
      <c r="AP332" s="1">
        <v>76.52</v>
      </c>
      <c r="AQ332" s="1">
        <v>0.42</v>
      </c>
      <c r="AR332" s="1">
        <v>72.3</v>
      </c>
      <c r="AS332" s="1">
        <v>1</v>
      </c>
      <c r="AT332" s="1">
        <v>38</v>
      </c>
      <c r="AU332" s="1">
        <v>35</v>
      </c>
      <c r="AV332" s="1">
        <v>63.1</v>
      </c>
      <c r="AW332" s="1">
        <v>1</v>
      </c>
      <c r="AX332" s="1">
        <v>10.55</v>
      </c>
      <c r="AY332" s="1">
        <v>0.34</v>
      </c>
      <c r="AZ332" s="1">
        <v>3117.42</v>
      </c>
      <c r="BA332" s="1">
        <v>80.72999999999999</v>
      </c>
      <c r="BB332" s="1">
        <v>1338.876</v>
      </c>
      <c r="BC332" s="1">
        <v>25.460999999999999</v>
      </c>
      <c r="BD332" s="1">
        <v>29155.949999999997</v>
      </c>
      <c r="BE332" s="1">
        <v>465.75000000000006</v>
      </c>
      <c r="BF332" s="1">
        <v>-2.5461</v>
      </c>
      <c r="BG332" s="1">
        <v>5.0301</v>
      </c>
      <c r="BH332" s="1">
        <f t="shared" si="108"/>
        <v>-11451.219512195121</v>
      </c>
      <c r="BI332" s="1">
        <f t="shared" si="109"/>
        <v>-22623.880532868472</v>
      </c>
    </row>
    <row r="333" spans="1:61" x14ac:dyDescent="0.2">
      <c r="A333" t="s">
        <v>896</v>
      </c>
      <c r="B333" t="s">
        <v>38</v>
      </c>
      <c r="C333" t="s">
        <v>897</v>
      </c>
      <c r="D333" t="s">
        <v>898</v>
      </c>
      <c r="E333">
        <v>37862</v>
      </c>
      <c r="F333">
        <v>78766</v>
      </c>
      <c r="G333" t="s">
        <v>898</v>
      </c>
      <c r="H333" s="1">
        <v>258</v>
      </c>
      <c r="I333" s="1">
        <v>62</v>
      </c>
      <c r="J333" s="11">
        <v>7.5899999999999995E-2</v>
      </c>
      <c r="K333" s="11">
        <f t="shared" ca="1" si="102"/>
        <v>1.8177799646821944E-3</v>
      </c>
      <c r="L333" s="8">
        <v>1.166E-2</v>
      </c>
      <c r="M333" s="8">
        <f t="shared" ca="1" si="103"/>
        <v>2.5784150170211158E-4</v>
      </c>
      <c r="N333" s="8">
        <v>0.2185</v>
      </c>
      <c r="O333" s="9">
        <v>85.763289999999998</v>
      </c>
      <c r="P333" s="9">
        <f t="shared" ca="1" si="104"/>
        <v>1.896512502184188</v>
      </c>
      <c r="Q333" s="10">
        <v>4.7300000000000002E-2</v>
      </c>
      <c r="R333" s="10">
        <f t="shared" ca="1" si="105"/>
        <v>1.1949125491013976E-3</v>
      </c>
      <c r="S333" s="9">
        <f t="shared" si="106"/>
        <v>0.3502824784394683</v>
      </c>
      <c r="T333" s="12">
        <v>3.4190000000000002E-3</v>
      </c>
      <c r="U333" s="12">
        <f t="shared" ca="1" si="107"/>
        <v>1.0075626233639276E-4</v>
      </c>
      <c r="V333" s="6" t="e">
        <f ca="1">IF(agePb6U8(1/O333)&lt;1400,age7corr(1/O333,Q333,$W$2),agePb76(Q333))</f>
        <v>#NAME?</v>
      </c>
      <c r="W333" s="6" t="e">
        <f ca="1">IF(agePb6U8(1/O333)&lt;1400,ageer7corr(V333,1/O333,P333/O333*(1/O333),Q333,R333,$W$2,0.05),ageerPb76(Q333,R333))</f>
        <v>#NAME?</v>
      </c>
      <c r="X333" s="4" t="e">
        <f ca="1">agePb6U8(L333)/agePb7u5(J333)</f>
        <v>#NAME?</v>
      </c>
      <c r="Z333" s="1">
        <v>7.5899999999999995E-2</v>
      </c>
      <c r="AA333" s="1">
        <v>1E-3</v>
      </c>
      <c r="AB333" s="1">
        <v>1.166E-2</v>
      </c>
      <c r="AC333" s="1">
        <v>1.1E-4</v>
      </c>
      <c r="AD333" s="1">
        <v>0.2185</v>
      </c>
      <c r="AE333" s="1">
        <v>85.763289999999998</v>
      </c>
      <c r="AF333" s="1">
        <v>0.80908769999999997</v>
      </c>
      <c r="AG333" s="1">
        <v>4.7300000000000002E-2</v>
      </c>
      <c r="AH333" s="1">
        <v>7.2999999999999996E-4</v>
      </c>
      <c r="AI333" s="1">
        <v>0.41087000000000001</v>
      </c>
      <c r="AJ333" s="1">
        <v>3.4190000000000002E-3</v>
      </c>
      <c r="AK333" s="1">
        <v>7.3999999999999996E-5</v>
      </c>
      <c r="AL333" s="1">
        <v>18.899999999999999</v>
      </c>
      <c r="AM333" s="1">
        <v>5.4</v>
      </c>
      <c r="AN333" s="1">
        <v>74.260000000000005</v>
      </c>
      <c r="AO333" s="1">
        <v>0.98</v>
      </c>
      <c r="AP333" s="1">
        <v>74.7</v>
      </c>
      <c r="AQ333" s="1">
        <v>0.69</v>
      </c>
      <c r="AR333" s="1">
        <v>69</v>
      </c>
      <c r="AS333" s="1">
        <v>1.5</v>
      </c>
      <c r="AT333" s="1">
        <v>66</v>
      </c>
      <c r="AU333" s="1">
        <v>34</v>
      </c>
      <c r="AV333" s="1">
        <v>54.199999999999996</v>
      </c>
      <c r="AW333" s="1">
        <v>3.4</v>
      </c>
      <c r="AX333" s="1">
        <v>4.7200000000000006</v>
      </c>
      <c r="AY333" s="1">
        <v>0.93</v>
      </c>
      <c r="AZ333" s="1">
        <v>1322.73</v>
      </c>
      <c r="BA333" s="1">
        <v>248.4</v>
      </c>
      <c r="BB333" s="1">
        <v>1124.01</v>
      </c>
      <c r="BC333" s="1">
        <v>68.31</v>
      </c>
      <c r="BD333" s="1">
        <v>24653.7</v>
      </c>
      <c r="BE333" s="1">
        <v>1117.8000000000002</v>
      </c>
      <c r="BF333" s="1">
        <v>-0.86939999999999995</v>
      </c>
      <c r="BG333" s="1">
        <v>5.2784999999999993</v>
      </c>
      <c r="BH333" s="1">
        <f t="shared" si="108"/>
        <v>-28357.142857142859</v>
      </c>
      <c r="BI333" s="1">
        <f t="shared" si="109"/>
        <v>-172173.16799122604</v>
      </c>
    </row>
    <row r="334" spans="1:61" x14ac:dyDescent="0.2">
      <c r="A334" t="s">
        <v>899</v>
      </c>
      <c r="B334" t="s">
        <v>38</v>
      </c>
      <c r="C334" t="s">
        <v>900</v>
      </c>
      <c r="D334" t="s">
        <v>901</v>
      </c>
      <c r="E334">
        <v>37644</v>
      </c>
      <c r="F334">
        <v>78808</v>
      </c>
      <c r="G334" t="s">
        <v>901</v>
      </c>
      <c r="H334" s="1">
        <v>301</v>
      </c>
      <c r="I334" s="1">
        <v>191</v>
      </c>
      <c r="J334" s="11">
        <v>7.3499999999999996E-2</v>
      </c>
      <c r="K334" s="11">
        <f t="shared" ca="1" si="102"/>
        <v>2.2474207438750761E-3</v>
      </c>
      <c r="L334" s="8">
        <v>1.1013E-2</v>
      </c>
      <c r="M334" s="8">
        <f t="shared" ca="1" si="103"/>
        <v>2.2828593386365267E-4</v>
      </c>
      <c r="N334" s="8">
        <v>0.61511000000000005</v>
      </c>
      <c r="O334" s="9">
        <v>90.801779999999994</v>
      </c>
      <c r="P334" s="9">
        <f t="shared" ca="1" si="104"/>
        <v>1.88220913125832</v>
      </c>
      <c r="Q334" s="10">
        <v>4.8230000000000002E-2</v>
      </c>
      <c r="R334" s="10">
        <f t="shared" ca="1" si="105"/>
        <v>1.3609015982061303E-3</v>
      </c>
      <c r="S334" s="9">
        <f t="shared" si="106"/>
        <v>0.50886215424111403</v>
      </c>
      <c r="T334" s="12">
        <v>3.202E-3</v>
      </c>
      <c r="U334" s="12">
        <f t="shared" ca="1" si="107"/>
        <v>8.8442758889577838E-5</v>
      </c>
      <c r="V334" s="6" t="e">
        <f ca="1">IF(agePb6U8(1/O334)&lt;1400,age7corr(1/O334,Q334,$W$2),agePb76(Q334))</f>
        <v>#NAME?</v>
      </c>
      <c r="W334" s="6" t="e">
        <f ca="1">IF(agePb6U8(1/O334)&lt;1400,ageer7corr(V334,1/O334,P334/O334*(1/O334),Q334,R334,$W$2,0.05),ageerPb76(Q334,R334))</f>
        <v>#NAME?</v>
      </c>
      <c r="X334" s="4" t="e">
        <f ca="1">agePb6U8(L334)/agePb7u5(J334)</f>
        <v>#NAME?</v>
      </c>
      <c r="Z334" s="1">
        <v>7.3499999999999996E-2</v>
      </c>
      <c r="AA334" s="1">
        <v>1.6999999999999999E-3</v>
      </c>
      <c r="AB334" s="1">
        <v>1.1013E-2</v>
      </c>
      <c r="AC334" s="1">
        <v>6.0000000000000002E-5</v>
      </c>
      <c r="AD334" s="1">
        <v>0.61511000000000005</v>
      </c>
      <c r="AE334" s="1">
        <v>90.801779999999994</v>
      </c>
      <c r="AF334" s="1">
        <v>0.49469780000000002</v>
      </c>
      <c r="AG334" s="1">
        <v>4.8230000000000002E-2</v>
      </c>
      <c r="AH334" s="1">
        <v>9.6000000000000002E-4</v>
      </c>
      <c r="AI334" s="1">
        <v>-0.45199</v>
      </c>
      <c r="AJ334" s="1">
        <v>3.202E-3</v>
      </c>
      <c r="AK334" s="1">
        <v>6.0999999999999999E-5</v>
      </c>
      <c r="AL334" s="1">
        <v>5.85</v>
      </c>
      <c r="AM334" s="1">
        <v>0.28999999999999998</v>
      </c>
      <c r="AN334" s="1">
        <v>72</v>
      </c>
      <c r="AO334" s="1">
        <v>1.6</v>
      </c>
      <c r="AP334" s="1">
        <v>70.61</v>
      </c>
      <c r="AQ334" s="1">
        <v>0.38</v>
      </c>
      <c r="AR334" s="1">
        <v>64.599999999999994</v>
      </c>
      <c r="AS334" s="1">
        <v>1.2</v>
      </c>
      <c r="AT334" s="1">
        <v>111</v>
      </c>
      <c r="AU334" s="1">
        <v>45</v>
      </c>
      <c r="AV334" s="1">
        <v>63.3</v>
      </c>
      <c r="AW334" s="1">
        <v>4.3</v>
      </c>
      <c r="AX334" s="1">
        <v>14.5</v>
      </c>
      <c r="AY334" s="1">
        <v>1.7</v>
      </c>
      <c r="AZ334" s="1">
        <v>3868.8299999999995</v>
      </c>
      <c r="BA334" s="1">
        <v>447.12</v>
      </c>
      <c r="BB334" s="1">
        <v>1273.05</v>
      </c>
      <c r="BC334" s="1">
        <v>74.52</v>
      </c>
      <c r="BD334" s="1">
        <v>27013.5</v>
      </c>
      <c r="BE334" s="1">
        <v>1738.8</v>
      </c>
      <c r="BF334" s="1">
        <v>-2.0492999999999997</v>
      </c>
      <c r="BG334" s="1">
        <v>3.4775999999999998</v>
      </c>
      <c r="BH334" s="1">
        <f t="shared" si="108"/>
        <v>-13181.818181818184</v>
      </c>
      <c r="BI334" s="1">
        <f t="shared" si="109"/>
        <v>-22385.232175564241</v>
      </c>
    </row>
    <row r="335" spans="1:61" x14ac:dyDescent="0.2">
      <c r="X335" s="4"/>
    </row>
    <row r="336" spans="1:61" x14ac:dyDescent="0.2">
      <c r="X336" s="4"/>
    </row>
    <row r="337" spans="1:61" x14ac:dyDescent="0.2">
      <c r="A337" t="s">
        <v>902</v>
      </c>
      <c r="B337" t="s">
        <v>38</v>
      </c>
      <c r="C337" t="s">
        <v>903</v>
      </c>
      <c r="D337" t="s">
        <v>904</v>
      </c>
      <c r="E337">
        <v>78037</v>
      </c>
      <c r="F337">
        <v>85227</v>
      </c>
      <c r="G337" t="s">
        <v>904</v>
      </c>
      <c r="H337" s="1">
        <v>132.19999999999999</v>
      </c>
      <c r="I337" s="1">
        <v>179.2</v>
      </c>
      <c r="J337" s="11">
        <v>0.187</v>
      </c>
      <c r="K337" s="11">
        <f t="shared" ref="K337:K345" ca="1" si="110">SQRT(K$2^2+(AA337/Z337)^2)*J337</f>
        <v>4.7945385596530566E-3</v>
      </c>
      <c r="L337" s="8">
        <v>2.69E-2</v>
      </c>
      <c r="M337" s="8">
        <f t="shared" ref="M337:M345" ca="1" si="111">SQRT(M$2^2+(AC337/AB337)^2)*L337</f>
        <v>5.7753268305785091E-4</v>
      </c>
      <c r="N337" s="8">
        <v>0.22517000000000001</v>
      </c>
      <c r="O337" s="9">
        <v>37.174720000000001</v>
      </c>
      <c r="P337" s="9">
        <f t="shared" ref="P337:P345" ca="1" si="112">SQRT(P$2^2+(AF337/AE337)^2)*O337</f>
        <v>0.79812699215470717</v>
      </c>
      <c r="Q337" s="10">
        <v>5.0250000000000003E-2</v>
      </c>
      <c r="R337" s="10">
        <f t="shared" ref="R337:R345" ca="1" si="113">SQRT(R$2^2+(AH337/AG337)^2)*Q337</f>
        <v>1.2134352063460166E-3</v>
      </c>
      <c r="S337" s="9">
        <f t="shared" ref="S337:S345" si="114">(((BE337/BD337)^2+(AW337/AV337)^2)+((BE337/BD337)^2+(BC337/BB337)^2)-((BC337/BB337)^2+(AW337/AV337)^2))/(2*SQRT((BE337/BD337)^2+(AW337/AV337)^2)*SQRT((BE337/BD337)^2+(BC337/BB337)^2))</f>
        <v>0.46626270025218142</v>
      </c>
      <c r="T337" s="12">
        <v>9.11E-3</v>
      </c>
      <c r="U337" s="12">
        <f t="shared" ref="U337:U345" ca="1" si="115">SQRT(U$2^2+(AK337/AJ337)^2)*T337</f>
        <v>2.2977562969122726E-4</v>
      </c>
      <c r="V337" s="6" t="e">
        <f ca="1">IF(agePb6U8(1/O337)&lt;1400,age7corr(1/O337,Q337,$W$2),agePb76(Q337))</f>
        <v>#NAME?</v>
      </c>
      <c r="W337" s="6" t="e">
        <f ca="1">IF(agePb6U8(1/O337)&lt;1400,ageer7corr(V337,1/O337,P337/O337*(1/O337),Q337,R337,$W$2,0.05),ageerPb76(Q337,R337))</f>
        <v>#NAME?</v>
      </c>
      <c r="X337" s="4" t="e">
        <f ca="1">agePb6U8(L337)/agePb7u5(J337)</f>
        <v>#NAME?</v>
      </c>
      <c r="Z337" s="1">
        <v>0.187</v>
      </c>
      <c r="AA337" s="1">
        <v>3.0000000000000001E-3</v>
      </c>
      <c r="AB337" s="1">
        <v>2.69E-2</v>
      </c>
      <c r="AC337" s="1">
        <v>2.1000000000000001E-4</v>
      </c>
      <c r="AD337" s="1">
        <v>0.22517000000000001</v>
      </c>
      <c r="AE337" s="1">
        <v>37.174720000000001</v>
      </c>
      <c r="AF337" s="1">
        <v>0.29021160000000001</v>
      </c>
      <c r="AG337" s="1">
        <v>5.0250000000000003E-2</v>
      </c>
      <c r="AH337" s="1">
        <v>6.8000000000000005E-4</v>
      </c>
      <c r="AI337" s="1">
        <v>0.39055000000000001</v>
      </c>
      <c r="AJ337" s="1">
        <v>9.11E-3</v>
      </c>
      <c r="AK337" s="1">
        <v>1.3999999999999999E-4</v>
      </c>
      <c r="AL337" s="1">
        <v>2.3980000000000001</v>
      </c>
      <c r="AM337" s="1">
        <v>2.5000000000000001E-2</v>
      </c>
      <c r="AN337" s="1">
        <v>174</v>
      </c>
      <c r="AO337" s="1">
        <v>2.6</v>
      </c>
      <c r="AP337" s="1">
        <v>171.1</v>
      </c>
      <c r="AQ337" s="1">
        <v>1.3</v>
      </c>
      <c r="AR337" s="1">
        <v>183.4</v>
      </c>
      <c r="AS337" s="1">
        <v>2.8</v>
      </c>
      <c r="AT337" s="1">
        <v>205</v>
      </c>
      <c r="AU337" s="1">
        <v>31</v>
      </c>
      <c r="AV337" s="1">
        <v>27.799999999999997</v>
      </c>
      <c r="AW337" s="1">
        <v>1.6</v>
      </c>
      <c r="AX337" s="1">
        <v>13.57</v>
      </c>
      <c r="AY337" s="1">
        <v>0.65</v>
      </c>
      <c r="AZ337" s="1">
        <v>9911.16</v>
      </c>
      <c r="BA337" s="1">
        <v>596.16</v>
      </c>
      <c r="BB337" s="1">
        <v>1440.72</v>
      </c>
      <c r="BC337" s="1">
        <v>74.52</v>
      </c>
      <c r="BD337" s="1">
        <v>29187</v>
      </c>
      <c r="BE337" s="1">
        <v>1490.4</v>
      </c>
      <c r="BF337" s="1">
        <v>-37.26</v>
      </c>
      <c r="BG337" s="1">
        <v>6.8310000000000004</v>
      </c>
      <c r="BH337" s="1">
        <f t="shared" ref="BH337:BH345" si="116">BD337/BF337</f>
        <v>-783.33333333333337</v>
      </c>
      <c r="BI337" s="1">
        <f t="shared" ref="BI337:BI345" si="117">SQRT((BG337/BF337)^2+(BE337/BD337)^2)*BH337</f>
        <v>-149.07766846368341</v>
      </c>
    </row>
    <row r="338" spans="1:61" x14ac:dyDescent="0.2">
      <c r="A338" t="s">
        <v>905</v>
      </c>
      <c r="B338" t="s">
        <v>38</v>
      </c>
      <c r="C338" t="s">
        <v>906</v>
      </c>
      <c r="D338" t="s">
        <v>907</v>
      </c>
      <c r="E338">
        <v>78435</v>
      </c>
      <c r="F338">
        <v>85133</v>
      </c>
      <c r="G338" t="s">
        <v>907</v>
      </c>
      <c r="H338" s="1">
        <v>186</v>
      </c>
      <c r="I338" s="1">
        <v>163.69999999999999</v>
      </c>
      <c r="J338" s="11">
        <v>0.1933</v>
      </c>
      <c r="K338" s="11">
        <f t="shared" ca="1" si="110"/>
        <v>5.2149742089486889E-3</v>
      </c>
      <c r="L338" s="8">
        <v>2.7560000000000001E-2</v>
      </c>
      <c r="M338" s="8">
        <f t="shared" ca="1" si="111"/>
        <v>5.9348246814880726E-4</v>
      </c>
      <c r="N338" s="8">
        <v>0.47892000000000001</v>
      </c>
      <c r="O338" s="9">
        <v>36.284469999999999</v>
      </c>
      <c r="P338" s="9">
        <f t="shared" ca="1" si="112"/>
        <v>0.78135691982012923</v>
      </c>
      <c r="Q338" s="10">
        <v>4.9930000000000002E-2</v>
      </c>
      <c r="R338" s="10">
        <f t="shared" ca="1" si="113"/>
        <v>1.3714233336209502E-3</v>
      </c>
      <c r="S338" s="9">
        <f t="shared" si="114"/>
        <v>0.4511437950377169</v>
      </c>
      <c r="T338" s="12">
        <v>8.8699999999999994E-3</v>
      </c>
      <c r="U338" s="12">
        <f t="shared" ca="1" si="115"/>
        <v>2.1417460166882533E-4</v>
      </c>
      <c r="V338" s="6" t="e">
        <f ca="1">IF(agePb6U8(1/O338)&lt;1400,age7corr(1/O338,Q338,$W$2),agePb76(Q338))</f>
        <v>#NAME?</v>
      </c>
      <c r="W338" s="6" t="e">
        <f ca="1">IF(agePb6U8(1/O338)&lt;1400,ageer7corr(V338,1/O338,P338/O338*(1/O338),Q338,R338,$W$2,0.05),ageerPb76(Q338,R338))</f>
        <v>#NAME?</v>
      </c>
      <c r="X338" s="4" t="e">
        <f ca="1">agePb6U8(L338)/agePb7u5(J338)</f>
        <v>#NAME?</v>
      </c>
      <c r="Z338" s="1">
        <v>0.1933</v>
      </c>
      <c r="AA338" s="1">
        <v>3.5000000000000001E-3</v>
      </c>
      <c r="AB338" s="1">
        <v>2.7560000000000001E-2</v>
      </c>
      <c r="AC338" s="1">
        <v>2.2000000000000001E-4</v>
      </c>
      <c r="AD338" s="1">
        <v>0.47892000000000001</v>
      </c>
      <c r="AE338" s="1">
        <v>36.284469999999999</v>
      </c>
      <c r="AF338" s="1">
        <v>0.28964380000000001</v>
      </c>
      <c r="AG338" s="1">
        <v>4.9930000000000002E-2</v>
      </c>
      <c r="AH338" s="1">
        <v>9.3999999999999997E-4</v>
      </c>
      <c r="AI338" s="1">
        <v>0.1216</v>
      </c>
      <c r="AJ338" s="1">
        <v>8.8699999999999994E-3</v>
      </c>
      <c r="AK338" s="1">
        <v>1.2E-4</v>
      </c>
      <c r="AL338" s="1">
        <v>3.89</v>
      </c>
      <c r="AM338" s="1">
        <v>0.11</v>
      </c>
      <c r="AN338" s="1">
        <v>179.4</v>
      </c>
      <c r="AO338" s="1">
        <v>3</v>
      </c>
      <c r="AP338" s="1">
        <v>175.2</v>
      </c>
      <c r="AQ338" s="1">
        <v>1.4</v>
      </c>
      <c r="AR338" s="1">
        <v>178.4</v>
      </c>
      <c r="AS338" s="1">
        <v>2.4</v>
      </c>
      <c r="AT338" s="1">
        <v>189</v>
      </c>
      <c r="AU338" s="1">
        <v>44</v>
      </c>
      <c r="AV338" s="1">
        <v>39.199999999999996</v>
      </c>
      <c r="AW338" s="1">
        <v>2.5</v>
      </c>
      <c r="AX338" s="1">
        <v>12.4</v>
      </c>
      <c r="AY338" s="1">
        <v>0.48000000000000004</v>
      </c>
      <c r="AZ338" s="1">
        <v>8737.4699999999993</v>
      </c>
      <c r="BA338" s="1">
        <v>378.81</v>
      </c>
      <c r="BB338" s="1">
        <v>2080.35</v>
      </c>
      <c r="BC338" s="1">
        <v>142.82999999999998</v>
      </c>
      <c r="BD338" s="1">
        <v>42414.3</v>
      </c>
      <c r="BE338" s="1">
        <v>2546.1</v>
      </c>
      <c r="BF338" s="1">
        <v>-11.426399999999999</v>
      </c>
      <c r="BG338" s="1">
        <v>5.6510999999999996</v>
      </c>
      <c r="BH338" s="1">
        <f t="shared" si="116"/>
        <v>-3711.9565217391309</v>
      </c>
      <c r="BI338" s="1">
        <f t="shared" si="117"/>
        <v>-1849.2782203086617</v>
      </c>
    </row>
    <row r="339" spans="1:61" x14ac:dyDescent="0.2">
      <c r="A339" t="s">
        <v>908</v>
      </c>
      <c r="B339" t="s">
        <v>38</v>
      </c>
      <c r="C339" t="s">
        <v>909</v>
      </c>
      <c r="D339" t="s">
        <v>910</v>
      </c>
      <c r="E339">
        <v>78601</v>
      </c>
      <c r="F339">
        <v>85037</v>
      </c>
      <c r="G339" t="s">
        <v>910</v>
      </c>
      <c r="H339" s="1">
        <v>648</v>
      </c>
      <c r="I339" s="1">
        <v>907</v>
      </c>
      <c r="J339" s="11">
        <v>0.18640000000000001</v>
      </c>
      <c r="K339" s="11">
        <f t="shared" ca="1" si="110"/>
        <v>4.4337325133571156E-3</v>
      </c>
      <c r="L339" s="8">
        <v>2.726E-2</v>
      </c>
      <c r="M339" s="8">
        <f t="shared" ca="1" si="111"/>
        <v>5.8791414339170306E-4</v>
      </c>
      <c r="N339" s="8">
        <v>0.92823</v>
      </c>
      <c r="O339" s="9">
        <v>36.683790000000002</v>
      </c>
      <c r="P339" s="9">
        <f t="shared" ca="1" si="112"/>
        <v>0.79115621113762358</v>
      </c>
      <c r="Q339" s="10">
        <v>4.9489999999999999E-2</v>
      </c>
      <c r="R339" s="10">
        <f t="shared" ca="1" si="113"/>
        <v>1.0498590572072045E-3</v>
      </c>
      <c r="S339" s="9">
        <f t="shared" si="114"/>
        <v>0.45741879156143034</v>
      </c>
      <c r="T339" s="12">
        <v>8.3549999999999996E-3</v>
      </c>
      <c r="U339" s="12">
        <f t="shared" ca="1" si="115"/>
        <v>1.8613546142527489E-4</v>
      </c>
      <c r="V339" s="6" t="e">
        <f ca="1">IF(agePb6U8(1/O339)&lt;1400,age7corr(1/O339,Q339,$W$2),agePb76(Q339))</f>
        <v>#NAME?</v>
      </c>
      <c r="W339" s="6" t="e">
        <f ca="1">IF(agePb6U8(1/O339)&lt;1400,ageer7corr(V339,1/O339,P339/O339*(1/O339),Q339,R339,$W$2,0.05),ageerPb76(Q339,R339))</f>
        <v>#NAME?</v>
      </c>
      <c r="X339" s="4" t="e">
        <f ca="1">agePb6U8(L339)/agePb7u5(J339)</f>
        <v>#NAME?</v>
      </c>
      <c r="Z339" s="1">
        <v>0.18640000000000001</v>
      </c>
      <c r="AA339" s="1">
        <v>2.3999999999999998E-3</v>
      </c>
      <c r="AB339" s="1">
        <v>2.726E-2</v>
      </c>
      <c r="AC339" s="1">
        <v>2.2000000000000001E-4</v>
      </c>
      <c r="AD339" s="1">
        <v>0.92823</v>
      </c>
      <c r="AE339" s="1">
        <v>36.683790000000002</v>
      </c>
      <c r="AF339" s="1">
        <v>0.29605399999999998</v>
      </c>
      <c r="AG339" s="1">
        <v>4.9489999999999999E-2</v>
      </c>
      <c r="AH339" s="1">
        <v>3.5E-4</v>
      </c>
      <c r="AI339" s="1">
        <v>-6.1538000000000002E-2</v>
      </c>
      <c r="AJ339" s="1">
        <v>8.3549999999999996E-3</v>
      </c>
      <c r="AK339" s="1">
        <v>8.2000000000000001E-5</v>
      </c>
      <c r="AL339" s="1">
        <v>2.5670000000000002</v>
      </c>
      <c r="AM339" s="1">
        <v>1.4999999999999999E-2</v>
      </c>
      <c r="AN339" s="1">
        <v>173.5</v>
      </c>
      <c r="AO339" s="1">
        <v>2</v>
      </c>
      <c r="AP339" s="1">
        <v>173.4</v>
      </c>
      <c r="AQ339" s="1">
        <v>1.4</v>
      </c>
      <c r="AR339" s="1">
        <v>168.2</v>
      </c>
      <c r="AS339" s="1">
        <v>1.6</v>
      </c>
      <c r="AT339" s="1">
        <v>171</v>
      </c>
      <c r="AU339" s="1">
        <v>17</v>
      </c>
      <c r="AV339" s="1">
        <v>136.1</v>
      </c>
      <c r="AW339" s="1">
        <v>8.2000000000000011</v>
      </c>
      <c r="AX339" s="1">
        <v>68.7</v>
      </c>
      <c r="AY339" s="1">
        <v>4</v>
      </c>
      <c r="AZ339" s="1">
        <v>45829.8</v>
      </c>
      <c r="BA339" s="1">
        <v>2359.7999999999997</v>
      </c>
      <c r="BB339" s="1">
        <v>7060.7699999999995</v>
      </c>
      <c r="BC339" s="1">
        <v>360.18</v>
      </c>
      <c r="BD339" s="1">
        <v>145935</v>
      </c>
      <c r="BE339" s="1">
        <v>7452.0000000000009</v>
      </c>
      <c r="BF339" s="1">
        <v>-24.839999999999996</v>
      </c>
      <c r="BG339" s="1">
        <v>6.8310000000000004</v>
      </c>
      <c r="BH339" s="1">
        <f t="shared" si="116"/>
        <v>-5875.0000000000009</v>
      </c>
      <c r="BI339" s="1">
        <f t="shared" si="117"/>
        <v>-1643.2419604626102</v>
      </c>
    </row>
    <row r="340" spans="1:61" x14ac:dyDescent="0.2">
      <c r="A340" t="s">
        <v>911</v>
      </c>
      <c r="B340" t="s">
        <v>38</v>
      </c>
      <c r="C340" t="s">
        <v>912</v>
      </c>
      <c r="D340" t="s">
        <v>913</v>
      </c>
      <c r="E340">
        <v>78765</v>
      </c>
      <c r="F340">
        <v>84997</v>
      </c>
      <c r="G340" t="s">
        <v>913</v>
      </c>
      <c r="H340" s="1">
        <v>99</v>
      </c>
      <c r="I340" s="1">
        <v>117.3</v>
      </c>
      <c r="J340" s="11">
        <v>0.21229999999999999</v>
      </c>
      <c r="K340" s="11">
        <f t="shared" ca="1" si="110"/>
        <v>8.8807947842521398E-3</v>
      </c>
      <c r="L340" s="8">
        <v>3.039E-2</v>
      </c>
      <c r="M340" s="8">
        <f t="shared" ca="1" si="111"/>
        <v>8.9722953584910482E-4</v>
      </c>
      <c r="N340" s="8">
        <v>0.76922000000000001</v>
      </c>
      <c r="O340" s="9">
        <v>32.905560000000001</v>
      </c>
      <c r="P340" s="9">
        <f t="shared" ca="1" si="112"/>
        <v>0.9714985280049836</v>
      </c>
      <c r="Q340" s="10">
        <v>5.0599999999999999E-2</v>
      </c>
      <c r="R340" s="10">
        <f t="shared" ca="1" si="113"/>
        <v>1.6474659328799489E-3</v>
      </c>
      <c r="S340" s="9">
        <f t="shared" si="114"/>
        <v>0.48599822287489236</v>
      </c>
      <c r="T340" s="12">
        <v>9.0699999999999999E-3</v>
      </c>
      <c r="U340" s="12">
        <f t="shared" ca="1" si="115"/>
        <v>2.1214608174557453E-4</v>
      </c>
      <c r="V340" s="6" t="e">
        <f ca="1">IF(agePb6U8(1/O340)&lt;1400,age7corr(1/O340,Q340,$W$2),agePb76(Q340))</f>
        <v>#NAME?</v>
      </c>
      <c r="W340" s="6" t="e">
        <f ca="1">IF(agePb6U8(1/O340)&lt;1400,ageer7corr(V340,1/O340,P340/O340*(1/O340),Q340,R340,$W$2,0.05),ageerPb76(Q340,R340))</f>
        <v>#NAME?</v>
      </c>
      <c r="X340" s="4" t="e">
        <f ca="1">agePb6U8(L340)/agePb7u5(J340)</f>
        <v>#NAME?</v>
      </c>
      <c r="Z340" s="1">
        <v>0.21229999999999999</v>
      </c>
      <c r="AA340" s="1">
        <v>7.7999999999999996E-3</v>
      </c>
      <c r="AB340" s="1">
        <v>3.039E-2</v>
      </c>
      <c r="AC340" s="1">
        <v>6.6E-4</v>
      </c>
      <c r="AD340" s="1">
        <v>0.76922000000000001</v>
      </c>
      <c r="AE340" s="1">
        <v>32.905560000000001</v>
      </c>
      <c r="AF340" s="1">
        <v>0.71463209999999999</v>
      </c>
      <c r="AG340" s="1">
        <v>5.0599999999999999E-2</v>
      </c>
      <c r="AH340" s="1">
        <v>1.2999999999999999E-3</v>
      </c>
      <c r="AI340" s="1">
        <v>-0.33939999999999998</v>
      </c>
      <c r="AJ340" s="1">
        <v>9.0699999999999999E-3</v>
      </c>
      <c r="AK340" s="1">
        <v>1.1E-4</v>
      </c>
      <c r="AL340" s="1">
        <v>3.37</v>
      </c>
      <c r="AM340" s="1">
        <v>0.78</v>
      </c>
      <c r="AN340" s="1">
        <v>195.4</v>
      </c>
      <c r="AO340" s="1">
        <v>6.5</v>
      </c>
      <c r="AP340" s="1">
        <v>193</v>
      </c>
      <c r="AQ340" s="1">
        <v>4.0999999999999996</v>
      </c>
      <c r="AR340" s="1">
        <v>182.5</v>
      </c>
      <c r="AS340" s="1">
        <v>2.2000000000000002</v>
      </c>
      <c r="AT340" s="1">
        <v>220</v>
      </c>
      <c r="AU340" s="1">
        <v>59</v>
      </c>
      <c r="AV340" s="1">
        <v>20.8</v>
      </c>
      <c r="AW340" s="1">
        <v>5.6</v>
      </c>
      <c r="AX340" s="1">
        <v>8.8800000000000008</v>
      </c>
      <c r="AY340" s="1">
        <v>0.42000000000000004</v>
      </c>
      <c r="AZ340" s="1">
        <v>6464.61</v>
      </c>
      <c r="BA340" s="1">
        <v>254.60999999999996</v>
      </c>
      <c r="BB340" s="1">
        <v>1204.74</v>
      </c>
      <c r="BC340" s="1">
        <v>279.45000000000005</v>
      </c>
      <c r="BD340" s="1">
        <v>24467.399999999998</v>
      </c>
      <c r="BE340" s="1">
        <v>5961.6</v>
      </c>
      <c r="BF340" s="1">
        <v>-55.89</v>
      </c>
      <c r="BG340" s="1">
        <v>7.4519999999999991</v>
      </c>
      <c r="BH340" s="1">
        <f t="shared" si="116"/>
        <v>-437.77777777777771</v>
      </c>
      <c r="BI340" s="1">
        <f t="shared" si="117"/>
        <v>-121.59308333516337</v>
      </c>
    </row>
    <row r="341" spans="1:61" x14ac:dyDescent="0.2">
      <c r="A341" t="s">
        <v>914</v>
      </c>
      <c r="B341" t="s">
        <v>38</v>
      </c>
      <c r="C341" t="s">
        <v>915</v>
      </c>
      <c r="D341" t="s">
        <v>916</v>
      </c>
      <c r="E341">
        <v>78934</v>
      </c>
      <c r="F341">
        <v>84933</v>
      </c>
      <c r="G341" t="s">
        <v>916</v>
      </c>
      <c r="H341" s="1">
        <v>171.5</v>
      </c>
      <c r="I341" s="1">
        <v>180.8</v>
      </c>
      <c r="J341" s="11">
        <v>0.18590000000000001</v>
      </c>
      <c r="K341" s="11">
        <f t="shared" ca="1" si="110"/>
        <v>4.4253275584977894E-3</v>
      </c>
      <c r="L341" s="8">
        <v>2.6950000000000002E-2</v>
      </c>
      <c r="M341" s="8">
        <f t="shared" ca="1" si="111"/>
        <v>5.7490955810457706E-4</v>
      </c>
      <c r="N341" s="8">
        <v>0.57898000000000005</v>
      </c>
      <c r="O341" s="9">
        <v>37.10575</v>
      </c>
      <c r="P341" s="9">
        <f t="shared" ca="1" si="112"/>
        <v>0.79155661718398895</v>
      </c>
      <c r="Q341" s="10">
        <v>4.9829999999999999E-2</v>
      </c>
      <c r="R341" s="10">
        <f t="shared" ca="1" si="113"/>
        <v>1.189836778722191E-3</v>
      </c>
      <c r="S341" s="9">
        <f t="shared" si="114"/>
        <v>0.46156254339000446</v>
      </c>
      <c r="T341" s="12">
        <v>9.2200000000000008E-3</v>
      </c>
      <c r="U341" s="12">
        <f t="shared" ca="1" si="115"/>
        <v>2.3770435418813849E-4</v>
      </c>
      <c r="V341" s="6" t="e">
        <f ca="1">IF(agePb6U8(1/O341)&lt;1400,age7corr(1/O341,Q341,$W$2),agePb76(Q341))</f>
        <v>#NAME?</v>
      </c>
      <c r="W341" s="6" t="e">
        <f ca="1">IF(agePb6U8(1/O341)&lt;1400,ageer7corr(V341,1/O341,P341/O341*(1/O341),Q341,R341,$W$2,0.05),ageerPb76(Q341,R341))</f>
        <v>#NAME?</v>
      </c>
      <c r="X341" s="4" t="e">
        <f ca="1">agePb6U8(L341)/agePb7u5(J341)</f>
        <v>#NAME?</v>
      </c>
      <c r="Z341" s="1">
        <v>0.18590000000000001</v>
      </c>
      <c r="AA341" s="1">
        <v>2.3999999999999998E-3</v>
      </c>
      <c r="AB341" s="1">
        <v>2.6950000000000002E-2</v>
      </c>
      <c r="AC341" s="1">
        <v>2.0000000000000001E-4</v>
      </c>
      <c r="AD341" s="1">
        <v>0.57898000000000005</v>
      </c>
      <c r="AE341" s="1">
        <v>37.10575</v>
      </c>
      <c r="AF341" s="1">
        <v>0.27536739999999998</v>
      </c>
      <c r="AG341" s="1">
        <v>4.9829999999999999E-2</v>
      </c>
      <c r="AH341" s="1">
        <v>6.4999999999999997E-4</v>
      </c>
      <c r="AI341" s="1">
        <v>-5.7459999999999997E-2</v>
      </c>
      <c r="AJ341" s="1">
        <v>9.2200000000000008E-3</v>
      </c>
      <c r="AK341" s="1">
        <v>1.4999999999999999E-4</v>
      </c>
      <c r="AL341" s="1">
        <v>3.06</v>
      </c>
      <c r="AM341" s="1">
        <v>3.2000000000000001E-2</v>
      </c>
      <c r="AN341" s="1">
        <v>173.1</v>
      </c>
      <c r="AO341" s="1">
        <v>2.1</v>
      </c>
      <c r="AP341" s="1">
        <v>171.4</v>
      </c>
      <c r="AQ341" s="1">
        <v>1.3</v>
      </c>
      <c r="AR341" s="1">
        <v>185.6</v>
      </c>
      <c r="AS341" s="1">
        <v>2.9</v>
      </c>
      <c r="AT341" s="1">
        <v>186</v>
      </c>
      <c r="AU341" s="1">
        <v>30</v>
      </c>
      <c r="AV341" s="1">
        <v>36</v>
      </c>
      <c r="AW341" s="1">
        <v>2</v>
      </c>
      <c r="AX341" s="1">
        <v>13.690000000000001</v>
      </c>
      <c r="AY341" s="1">
        <v>0.57999999999999996</v>
      </c>
      <c r="AZ341" s="1">
        <v>10060.200000000001</v>
      </c>
      <c r="BA341" s="1">
        <v>534.05999999999995</v>
      </c>
      <c r="BB341" s="1">
        <v>1863.0000000000002</v>
      </c>
      <c r="BC341" s="1">
        <v>93.15</v>
      </c>
      <c r="BD341" s="1">
        <v>38129.4</v>
      </c>
      <c r="BE341" s="1">
        <v>1863.0000000000002</v>
      </c>
      <c r="BF341" s="1">
        <v>-6.5826000000000002</v>
      </c>
      <c r="BG341" s="1">
        <v>4.4712000000000005</v>
      </c>
      <c r="BH341" s="1">
        <f t="shared" si="116"/>
        <v>-5792.4528301886794</v>
      </c>
      <c r="BI341" s="1">
        <f t="shared" si="117"/>
        <v>-3944.6622815408309</v>
      </c>
    </row>
    <row r="342" spans="1:61" x14ac:dyDescent="0.2">
      <c r="A342" t="s">
        <v>917</v>
      </c>
      <c r="B342" t="s">
        <v>38</v>
      </c>
      <c r="C342" t="s">
        <v>918</v>
      </c>
      <c r="D342" t="s">
        <v>919</v>
      </c>
      <c r="E342">
        <v>79213</v>
      </c>
      <c r="F342">
        <v>84781</v>
      </c>
      <c r="G342" t="s">
        <v>919</v>
      </c>
      <c r="H342" s="1">
        <v>157.6</v>
      </c>
      <c r="I342" s="1">
        <v>384</v>
      </c>
      <c r="J342" s="11">
        <v>0.1817</v>
      </c>
      <c r="K342" s="11">
        <f t="shared" ca="1" si="110"/>
        <v>4.8421024359259482E-3</v>
      </c>
      <c r="L342" s="8">
        <v>2.6339999999999999E-2</v>
      </c>
      <c r="M342" s="8">
        <f t="shared" ca="1" si="111"/>
        <v>5.6348756862951283E-4</v>
      </c>
      <c r="N342" s="8">
        <v>0.68208999999999997</v>
      </c>
      <c r="O342" s="9">
        <v>37.965069999999997</v>
      </c>
      <c r="P342" s="9">
        <f t="shared" ca="1" si="112"/>
        <v>0.81218089448376574</v>
      </c>
      <c r="Q342" s="10">
        <v>4.9500000000000002E-2</v>
      </c>
      <c r="R342" s="10">
        <f t="shared" ca="1" si="113"/>
        <v>1.1843141475132348E-3</v>
      </c>
      <c r="S342" s="9">
        <f t="shared" si="114"/>
        <v>0.50746658096404695</v>
      </c>
      <c r="T342" s="12">
        <v>8.1899999999999994E-3</v>
      </c>
      <c r="U342" s="12">
        <f t="shared" ca="1" si="115"/>
        <v>1.8185554706964536E-4</v>
      </c>
      <c r="V342" s="6" t="e">
        <f ca="1">IF(agePb6U8(1/O342)&lt;1400,age7corr(1/O342,Q342,$W$2),agePb76(Q342))</f>
        <v>#NAME?</v>
      </c>
      <c r="W342" s="6" t="e">
        <f ca="1">IF(agePb6U8(1/O342)&lt;1400,ageer7corr(V342,1/O342,P342/O342*(1/O342),Q342,R342,$W$2,0.05),ageerPb76(Q342,R342))</f>
        <v>#NAME?</v>
      </c>
      <c r="X342" s="4" t="e">
        <f ca="1">agePb6U8(L342)/agePb7u5(J342)</f>
        <v>#NAME?</v>
      </c>
      <c r="Z342" s="1">
        <v>0.1817</v>
      </c>
      <c r="AA342" s="1">
        <v>3.2000000000000002E-3</v>
      </c>
      <c r="AB342" s="1">
        <v>2.6339999999999999E-2</v>
      </c>
      <c r="AC342" s="1">
        <v>2.0000000000000001E-4</v>
      </c>
      <c r="AD342" s="1">
        <v>0.68208999999999997</v>
      </c>
      <c r="AE342" s="1">
        <v>37.965069999999997</v>
      </c>
      <c r="AF342" s="1">
        <v>0.28826930000000001</v>
      </c>
      <c r="AG342" s="1">
        <v>4.9500000000000002E-2</v>
      </c>
      <c r="AH342" s="1">
        <v>6.4999999999999997E-4</v>
      </c>
      <c r="AI342" s="1">
        <v>-0.21285000000000001</v>
      </c>
      <c r="AJ342" s="1">
        <v>8.1899999999999994E-3</v>
      </c>
      <c r="AK342" s="1">
        <v>7.8999999999999996E-5</v>
      </c>
      <c r="AL342" s="1">
        <v>1.4570000000000001</v>
      </c>
      <c r="AM342" s="1">
        <v>3.5999999999999997E-2</v>
      </c>
      <c r="AN342" s="1">
        <v>169.5</v>
      </c>
      <c r="AO342" s="1">
        <v>2.7</v>
      </c>
      <c r="AP342" s="1">
        <v>167.6</v>
      </c>
      <c r="AQ342" s="1">
        <v>1.3</v>
      </c>
      <c r="AR342" s="1">
        <v>164.9</v>
      </c>
      <c r="AS342" s="1">
        <v>1.6</v>
      </c>
      <c r="AT342" s="1">
        <v>170</v>
      </c>
      <c r="AU342" s="1">
        <v>31</v>
      </c>
      <c r="AV342" s="1">
        <v>33.099999999999994</v>
      </c>
      <c r="AW342" s="1">
        <v>0.84000000000000008</v>
      </c>
      <c r="AX342" s="1">
        <v>29</v>
      </c>
      <c r="AY342" s="1">
        <v>1.6</v>
      </c>
      <c r="AZ342" s="1">
        <v>18940.5</v>
      </c>
      <c r="BA342" s="1">
        <v>745.2</v>
      </c>
      <c r="BB342" s="1">
        <v>1648.134</v>
      </c>
      <c r="BC342" s="1">
        <v>40.985999999999997</v>
      </c>
      <c r="BD342" s="1">
        <v>34092.9</v>
      </c>
      <c r="BE342" s="1">
        <v>869.4</v>
      </c>
      <c r="BF342" s="1">
        <v>-11.550599999999999</v>
      </c>
      <c r="BG342" s="1">
        <v>5.6510999999999996</v>
      </c>
      <c r="BH342" s="1">
        <f t="shared" si="116"/>
        <v>-2951.6129032258068</v>
      </c>
      <c r="BI342" s="1">
        <f t="shared" si="117"/>
        <v>-1446.0289564709158</v>
      </c>
    </row>
    <row r="343" spans="1:61" x14ac:dyDescent="0.2">
      <c r="A343" t="s">
        <v>926</v>
      </c>
      <c r="B343" t="s">
        <v>38</v>
      </c>
      <c r="C343" t="s">
        <v>927</v>
      </c>
      <c r="D343" t="s">
        <v>928</v>
      </c>
      <c r="E343">
        <v>79003</v>
      </c>
      <c r="F343">
        <v>84645</v>
      </c>
      <c r="G343" t="s">
        <v>928</v>
      </c>
      <c r="H343" s="1">
        <v>254</v>
      </c>
      <c r="I343" s="1">
        <v>195.6</v>
      </c>
      <c r="J343" s="11">
        <v>0.21240000000000001</v>
      </c>
      <c r="K343" s="11">
        <f t="shared" ca="1" si="110"/>
        <v>4.6952639968376644E-3</v>
      </c>
      <c r="L343" s="8">
        <v>2.9950000000000001E-2</v>
      </c>
      <c r="M343" s="8">
        <f t="shared" ca="1" si="111"/>
        <v>9.4429921105547898E-4</v>
      </c>
      <c r="N343" s="8">
        <v>0.83796999999999999</v>
      </c>
      <c r="O343" s="9">
        <v>33.388979999999997</v>
      </c>
      <c r="P343" s="9">
        <f t="shared" ca="1" si="112"/>
        <v>1.0527275007345063</v>
      </c>
      <c r="Q343" s="10">
        <v>5.1299999999999998E-2</v>
      </c>
      <c r="R343" s="10">
        <f t="shared" ca="1" si="113"/>
        <v>1.4327163012962476E-3</v>
      </c>
      <c r="S343" s="9">
        <f t="shared" si="114"/>
        <v>0.393367096735178</v>
      </c>
      <c r="T343" s="12">
        <v>1.0460000000000001E-2</v>
      </c>
      <c r="U343" s="12">
        <f t="shared" ca="1" si="115"/>
        <v>2.4630192853487772E-4</v>
      </c>
      <c r="V343" s="6" t="e">
        <f ca="1">IF(agePb6U8(1/O343)&lt;1400,age7corr(1/O343,Q343,$W$2),agePb76(Q343))</f>
        <v>#NAME?</v>
      </c>
      <c r="W343" s="6" t="e">
        <f ca="1">IF(agePb6U8(1/O343)&lt;1400,ageer7corr(V343,1/O343,P343/O343*(1/O343),Q343,R343,$W$2,0.05),ageerPb76(Q343,R343))</f>
        <v>#NAME?</v>
      </c>
      <c r="X343" s="4" t="e">
        <f ca="1">agePb6U8(L343)/agePb7u5(J343)</f>
        <v>#NAME?</v>
      </c>
      <c r="Z343" s="1">
        <v>0.21240000000000001</v>
      </c>
      <c r="AA343" s="1">
        <v>2E-3</v>
      </c>
      <c r="AB343" s="1">
        <v>2.9950000000000001E-2</v>
      </c>
      <c r="AC343" s="1">
        <v>7.2999999999999996E-4</v>
      </c>
      <c r="AD343" s="1">
        <v>0.83796999999999999</v>
      </c>
      <c r="AE343" s="1">
        <v>33.388979999999997</v>
      </c>
      <c r="AF343" s="1">
        <v>0.81382160000000003</v>
      </c>
      <c r="AG343" s="1">
        <v>5.1299999999999998E-2</v>
      </c>
      <c r="AH343" s="1">
        <v>1E-3</v>
      </c>
      <c r="AI343" s="1">
        <v>0.73978999999999995</v>
      </c>
      <c r="AJ343" s="1">
        <v>1.0460000000000001E-2</v>
      </c>
      <c r="AK343" s="1">
        <v>1.2999999999999999E-4</v>
      </c>
      <c r="AL343" s="1">
        <v>3.94</v>
      </c>
      <c r="AM343" s="1">
        <v>0.21</v>
      </c>
      <c r="AN343" s="1">
        <v>195.5</v>
      </c>
      <c r="AO343" s="1">
        <v>1.7</v>
      </c>
      <c r="AP343" s="1">
        <v>190.2</v>
      </c>
      <c r="AQ343" s="1">
        <v>4.5999999999999996</v>
      </c>
      <c r="AR343" s="1">
        <v>210.3</v>
      </c>
      <c r="AS343" s="1">
        <v>2.5</v>
      </c>
      <c r="AT343" s="1">
        <v>249</v>
      </c>
      <c r="AU343" s="1">
        <v>47</v>
      </c>
      <c r="AV343" s="1">
        <v>53.199999999999996</v>
      </c>
      <c r="AW343" s="1">
        <v>5.8</v>
      </c>
      <c r="AX343" s="1">
        <v>14.8</v>
      </c>
      <c r="AY343" s="1">
        <v>0.51</v>
      </c>
      <c r="AZ343" s="1">
        <v>12364.11</v>
      </c>
      <c r="BA343" s="1">
        <v>546.48</v>
      </c>
      <c r="BB343" s="1">
        <v>3123.63</v>
      </c>
      <c r="BC343" s="1">
        <v>322.91999999999996</v>
      </c>
      <c r="BD343" s="1">
        <v>61727.400000000009</v>
      </c>
      <c r="BE343" s="1">
        <v>5278.5</v>
      </c>
      <c r="BF343" s="1">
        <v>9.9359999999999999</v>
      </c>
      <c r="BG343" s="1">
        <v>6.8310000000000004</v>
      </c>
      <c r="BH343" s="1">
        <f t="shared" si="116"/>
        <v>6212.5000000000009</v>
      </c>
      <c r="BI343" s="1">
        <f t="shared" si="117"/>
        <v>4304.0060854730518</v>
      </c>
    </row>
    <row r="344" spans="1:61" x14ac:dyDescent="0.2">
      <c r="A344" t="s">
        <v>929</v>
      </c>
      <c r="B344" t="s">
        <v>38</v>
      </c>
      <c r="C344" t="s">
        <v>930</v>
      </c>
      <c r="D344" t="s">
        <v>931</v>
      </c>
      <c r="E344">
        <v>78532</v>
      </c>
      <c r="F344">
        <v>84813</v>
      </c>
      <c r="G344" t="s">
        <v>931</v>
      </c>
      <c r="H344" s="1">
        <v>622</v>
      </c>
      <c r="I344" s="1">
        <v>327</v>
      </c>
      <c r="J344" s="11">
        <v>0.1905</v>
      </c>
      <c r="K344" s="11">
        <f t="shared" ca="1" si="110"/>
        <v>4.7282237679703784E-3</v>
      </c>
      <c r="L344" s="8">
        <v>2.7449999999999999E-2</v>
      </c>
      <c r="M344" s="8">
        <f t="shared" ca="1" si="111"/>
        <v>6.3047680369701143E-4</v>
      </c>
      <c r="N344" s="8">
        <v>0.72277999999999998</v>
      </c>
      <c r="O344" s="9">
        <v>36.429870000000001</v>
      </c>
      <c r="P344" s="9">
        <f t="shared" ca="1" si="112"/>
        <v>0.83672815479745877</v>
      </c>
      <c r="Q344" s="10">
        <v>5.0110000000000002E-2</v>
      </c>
      <c r="R344" s="10">
        <f t="shared" ca="1" si="113"/>
        <v>1.1529548299911839E-3</v>
      </c>
      <c r="S344" s="9">
        <f t="shared" si="114"/>
        <v>0.49295777517258582</v>
      </c>
      <c r="T344" s="12">
        <v>1.048E-2</v>
      </c>
      <c r="U344" s="12">
        <f t="shared" ca="1" si="115"/>
        <v>2.8971047616542967E-4</v>
      </c>
      <c r="V344" s="6" t="e">
        <f ca="1">IF(agePb6U8(1/O344)&lt;1400,age7corr(1/O344,Q344,$W$2),agePb76(Q344))</f>
        <v>#NAME?</v>
      </c>
      <c r="W344" s="6" t="e">
        <f ca="1">IF(agePb6U8(1/O344)&lt;1400,ageer7corr(V344,1/O344,P344/O344*(1/O344),Q344,R344,$W$2,0.05),ageerPb76(Q344,R344))</f>
        <v>#NAME?</v>
      </c>
      <c r="X344" s="4" t="e">
        <f ca="1">agePb6U8(L344)/agePb7u5(J344)</f>
        <v>#NAME?</v>
      </c>
      <c r="Z344" s="1">
        <v>0.1905</v>
      </c>
      <c r="AA344" s="1">
        <v>2.8E-3</v>
      </c>
      <c r="AB344" s="1">
        <v>2.7449999999999999E-2</v>
      </c>
      <c r="AC344" s="1">
        <v>3.1E-4</v>
      </c>
      <c r="AD344" s="1">
        <v>0.72277999999999998</v>
      </c>
      <c r="AE344" s="1">
        <v>36.429870000000001</v>
      </c>
      <c r="AF344" s="1">
        <v>0.411412</v>
      </c>
      <c r="AG344" s="1">
        <v>5.0110000000000002E-2</v>
      </c>
      <c r="AH344" s="1">
        <v>5.6999999999999998E-4</v>
      </c>
      <c r="AI344" s="1">
        <v>0.11261</v>
      </c>
      <c r="AJ344" s="1">
        <v>1.048E-2</v>
      </c>
      <c r="AK344" s="1">
        <v>2.0000000000000001E-4</v>
      </c>
      <c r="AL344" s="1">
        <v>5.4409999999999998</v>
      </c>
      <c r="AM344" s="1">
        <v>6.2E-2</v>
      </c>
      <c r="AN344" s="1">
        <v>177.1</v>
      </c>
      <c r="AO344" s="1">
        <v>2.4</v>
      </c>
      <c r="AP344" s="1">
        <v>174.5</v>
      </c>
      <c r="AQ344" s="1">
        <v>1.9</v>
      </c>
      <c r="AR344" s="1">
        <v>210.6</v>
      </c>
      <c r="AS344" s="1">
        <v>3.9</v>
      </c>
      <c r="AT344" s="1">
        <v>199</v>
      </c>
      <c r="AU344" s="1">
        <v>27</v>
      </c>
      <c r="AV344" s="1">
        <v>130.5</v>
      </c>
      <c r="AW344" s="1">
        <v>6.3</v>
      </c>
      <c r="AX344" s="1">
        <v>24.77</v>
      </c>
      <c r="AY344" s="1">
        <v>0.98</v>
      </c>
      <c r="AZ344" s="1">
        <v>20803.5</v>
      </c>
      <c r="BA344" s="1">
        <v>869.4</v>
      </c>
      <c r="BB344" s="1">
        <v>6893.1</v>
      </c>
      <c r="BC344" s="1">
        <v>347.76</v>
      </c>
      <c r="BD344" s="1">
        <v>140346</v>
      </c>
      <c r="BE344" s="1">
        <v>6831</v>
      </c>
      <c r="BF344" s="1">
        <v>-3.3533999999999997</v>
      </c>
      <c r="BG344" s="1">
        <v>5.5269000000000004</v>
      </c>
      <c r="BH344" s="1">
        <f t="shared" si="116"/>
        <v>-41851.851851851854</v>
      </c>
      <c r="BI344" s="1">
        <f t="shared" si="117"/>
        <v>-69008.124123287576</v>
      </c>
    </row>
    <row r="345" spans="1:61" x14ac:dyDescent="0.2">
      <c r="A345" t="s">
        <v>932</v>
      </c>
      <c r="B345" t="s">
        <v>38</v>
      </c>
      <c r="C345" t="s">
        <v>933</v>
      </c>
      <c r="D345" t="s">
        <v>934</v>
      </c>
      <c r="E345">
        <v>78346</v>
      </c>
      <c r="F345">
        <v>84886</v>
      </c>
      <c r="G345" t="s">
        <v>934</v>
      </c>
      <c r="H345" s="1">
        <v>116.3</v>
      </c>
      <c r="I345" s="1">
        <v>176</v>
      </c>
      <c r="J345" s="11">
        <v>0.19650000000000001</v>
      </c>
      <c r="K345" s="11">
        <f t="shared" ca="1" si="110"/>
        <v>4.7681128342353645E-3</v>
      </c>
      <c r="L345" s="8">
        <v>2.7359999999999999E-2</v>
      </c>
      <c r="M345" s="8">
        <f t="shared" ca="1" si="111"/>
        <v>5.8611248067243888E-4</v>
      </c>
      <c r="N345" s="8">
        <v>-6.9383E-2</v>
      </c>
      <c r="O345" s="9">
        <v>36.549709999999997</v>
      </c>
      <c r="P345" s="9">
        <f t="shared" ca="1" si="112"/>
        <v>0.78297663225580361</v>
      </c>
      <c r="Q345" s="10">
        <v>5.1709999999999999E-2</v>
      </c>
      <c r="R345" s="10">
        <f t="shared" ca="1" si="113"/>
        <v>1.3014106346576396E-3</v>
      </c>
      <c r="S345" s="9">
        <f t="shared" si="114"/>
        <v>0.42782731789355366</v>
      </c>
      <c r="T345" s="12">
        <v>8.6199999999999992E-3</v>
      </c>
      <c r="U345" s="12">
        <f t="shared" ca="1" si="115"/>
        <v>2.2852080868052254E-4</v>
      </c>
      <c r="V345" s="6" t="e">
        <f ca="1">IF(agePb6U8(1/O345)&lt;1400,age7corr(1/O345,Q345,$W$2),agePb76(Q345))</f>
        <v>#NAME?</v>
      </c>
      <c r="W345" s="6" t="e">
        <f ca="1">IF(agePb6U8(1/O345)&lt;1400,ageer7corr(V345,1/O345,P345/O345*(1/O345),Q345,R345,$W$2,0.05),ageerPb76(Q345,R345))</f>
        <v>#NAME?</v>
      </c>
      <c r="X345" s="4" t="e">
        <f ca="1">agePb6U8(L345)/agePb7u5(J345)</f>
        <v>#NAME?</v>
      </c>
      <c r="Z345" s="1">
        <v>0.19650000000000001</v>
      </c>
      <c r="AA345" s="1">
        <v>2.7000000000000001E-3</v>
      </c>
      <c r="AB345" s="1">
        <v>2.7359999999999999E-2</v>
      </c>
      <c r="AC345" s="1">
        <v>2.1000000000000001E-4</v>
      </c>
      <c r="AD345" s="1">
        <v>-6.9383E-2</v>
      </c>
      <c r="AE345" s="1">
        <v>36.549709999999997</v>
      </c>
      <c r="AF345" s="1">
        <v>0.28053499999999998</v>
      </c>
      <c r="AG345" s="1">
        <v>5.1709999999999999E-2</v>
      </c>
      <c r="AH345" s="1">
        <v>7.9000000000000001E-4</v>
      </c>
      <c r="AI345" s="1">
        <v>0.47531000000000001</v>
      </c>
      <c r="AJ345" s="1">
        <v>8.6199999999999992E-3</v>
      </c>
      <c r="AK345" s="1">
        <v>1.4999999999999999E-4</v>
      </c>
      <c r="AL345" s="1">
        <v>2.33</v>
      </c>
      <c r="AM345" s="1">
        <v>0.11</v>
      </c>
      <c r="AN345" s="1">
        <v>182.1</v>
      </c>
      <c r="AO345" s="1">
        <v>2.2999999999999998</v>
      </c>
      <c r="AP345" s="1">
        <v>174</v>
      </c>
      <c r="AQ345" s="1">
        <v>1.3</v>
      </c>
      <c r="AR345" s="1">
        <v>173.5</v>
      </c>
      <c r="AS345" s="1">
        <v>3.1</v>
      </c>
      <c r="AT345" s="1">
        <v>271</v>
      </c>
      <c r="AU345" s="1">
        <v>35</v>
      </c>
      <c r="AV345" s="1">
        <v>24.41</v>
      </c>
      <c r="AW345" s="1">
        <v>0.6</v>
      </c>
      <c r="AX345" s="1">
        <v>13.34</v>
      </c>
      <c r="AY345" s="1">
        <v>0.99</v>
      </c>
      <c r="AZ345" s="1">
        <v>9072.8100000000013</v>
      </c>
      <c r="BA345" s="1">
        <v>465.75000000000006</v>
      </c>
      <c r="BB345" s="1">
        <v>1327.6980000000001</v>
      </c>
      <c r="BC345" s="1">
        <v>40.364999999999995</v>
      </c>
      <c r="BD345" s="1">
        <v>26144.1</v>
      </c>
      <c r="BE345" s="1">
        <v>621</v>
      </c>
      <c r="BF345" s="1">
        <v>6.8310000000000004</v>
      </c>
      <c r="BG345" s="1">
        <v>8.0729999999999986</v>
      </c>
      <c r="BH345" s="1">
        <f t="shared" si="116"/>
        <v>3827.272727272727</v>
      </c>
      <c r="BI345" s="1">
        <f t="shared" si="117"/>
        <v>4524.0539793606386</v>
      </c>
    </row>
    <row r="346" spans="1:61" x14ac:dyDescent="0.2">
      <c r="X346" s="4"/>
    </row>
    <row r="347" spans="1:61" x14ac:dyDescent="0.2">
      <c r="X347" s="4"/>
    </row>
    <row r="348" spans="1:61" x14ac:dyDescent="0.2">
      <c r="A348" t="s">
        <v>37</v>
      </c>
      <c r="B348" t="s">
        <v>38</v>
      </c>
      <c r="C348" t="s">
        <v>39</v>
      </c>
      <c r="D348" t="s">
        <v>40</v>
      </c>
      <c r="E348">
        <v>45718</v>
      </c>
      <c r="F348">
        <v>47760</v>
      </c>
      <c r="G348" t="s">
        <v>40</v>
      </c>
      <c r="H348" s="1">
        <v>737.5</v>
      </c>
      <c r="I348" s="1">
        <v>649</v>
      </c>
      <c r="J348" s="11">
        <v>0.71299999999999997</v>
      </c>
      <c r="K348" s="11">
        <f t="shared" ref="K348:K353" ca="1" si="118">SQRT(K$2^2+(AA348/Z348)^2)*J348</f>
        <v>2.2964050165421603E-2</v>
      </c>
      <c r="L348" s="8">
        <v>8.6699999999999999E-2</v>
      </c>
      <c r="M348" s="8">
        <f t="shared" ref="M348:M353" ca="1" si="119">SQRT(M$2^2+(AC348/AB348)^2)*L348</f>
        <v>2.8012061687780142E-3</v>
      </c>
      <c r="N348" s="8">
        <v>0.98863000000000001</v>
      </c>
      <c r="O348" s="9">
        <v>11.53403</v>
      </c>
      <c r="P348" s="9">
        <f t="shared" ref="P348:P353" ca="1" si="120">SQRT(P$2^2+(AF348/AE348)^2)*O348</f>
        <v>0.372654969860862</v>
      </c>
      <c r="Q348" s="10">
        <v>5.833E-2</v>
      </c>
      <c r="R348" s="10">
        <f t="shared" ref="R348:R353" ca="1" si="121">SQRT(R$2^2+(AH348/AG348)^2)*Q348</f>
        <v>1.1910313010160564E-3</v>
      </c>
      <c r="S348" s="9">
        <f t="shared" ref="S348:S353" si="122">(((BE348/BD348)^2+(AW348/AV348)^2)+((BE348/BD348)^2+(BC348/BB348)^2)-((BC348/BB348)^2+(AW348/AV348)^2))/(2*SQRT((BE348/BD348)^2+(AW348/AV348)^2)*SQRT((BE348/BD348)^2+(BC348/BB348)^2))</f>
        <v>0.53847759787740312</v>
      </c>
      <c r="T348" s="12">
        <v>2.8590000000000001E-2</v>
      </c>
      <c r="U348" s="12">
        <f t="shared" ref="U348:U353" ca="1" si="123">SQRT(U$2^2+(AK348/AJ348)^2)*T348</f>
        <v>9.4310934678858952E-4</v>
      </c>
      <c r="V348" s="6" t="e">
        <f ca="1">IF(agePb6U8(1/O348)&lt;1400,age7corr(1/O348,Q348,$W$2),agePb76(Q348))</f>
        <v>#NAME?</v>
      </c>
      <c r="W348" s="6" t="e">
        <f ca="1">IF(agePb6U8(1/O348)&lt;1400,ageer7corr(V348,1/O348,P348/O348*(1/O348),Q348,R348,$W$2,0.05),ageerPb76(Q348,R348))</f>
        <v>#NAME?</v>
      </c>
      <c r="X348" s="4" t="e">
        <f ca="1">agePb6U8(L348)/agePb7u5(J348)</f>
        <v>#NAME?</v>
      </c>
      <c r="Z348" s="1">
        <v>0.71299999999999997</v>
      </c>
      <c r="AA348" s="1">
        <v>1.7999999999999999E-2</v>
      </c>
      <c r="AB348" s="1">
        <v>8.6699999999999999E-2</v>
      </c>
      <c r="AC348" s="1">
        <v>2.2000000000000001E-3</v>
      </c>
      <c r="AD348" s="1">
        <v>0.98863000000000001</v>
      </c>
      <c r="AE348" s="1">
        <v>11.53403</v>
      </c>
      <c r="AF348" s="1">
        <v>0.2926742</v>
      </c>
      <c r="AG348" s="1">
        <v>5.833E-2</v>
      </c>
      <c r="AH348" s="1">
        <v>2.4000000000000001E-4</v>
      </c>
      <c r="AI348" s="1">
        <v>0.18565999999999999</v>
      </c>
      <c r="AJ348" s="1">
        <v>2.8590000000000001E-2</v>
      </c>
      <c r="AK348" s="1">
        <v>7.5000000000000002E-4</v>
      </c>
      <c r="AL348" s="1">
        <v>3.6941000000000002</v>
      </c>
      <c r="AM348" s="1">
        <v>8.8000000000000005E-3</v>
      </c>
      <c r="AN348" s="1">
        <v>546</v>
      </c>
      <c r="AO348" s="1">
        <v>10</v>
      </c>
      <c r="AP348" s="1">
        <v>536</v>
      </c>
      <c r="AQ348" s="1">
        <v>13</v>
      </c>
      <c r="AR348" s="1">
        <v>570</v>
      </c>
      <c r="AS348" s="1">
        <v>15</v>
      </c>
      <c r="AT348" s="1">
        <v>542.20000000000005</v>
      </c>
      <c r="AU348" s="1">
        <v>8.8000000000000007</v>
      </c>
      <c r="AV348" s="1">
        <v>159.1</v>
      </c>
      <c r="AW348" s="1">
        <v>2</v>
      </c>
      <c r="AX348" s="1">
        <v>50.3</v>
      </c>
      <c r="AY348" s="1">
        <v>1.3</v>
      </c>
      <c r="AZ348" s="1">
        <v>120163.5</v>
      </c>
      <c r="BA348" s="1">
        <v>1925.1</v>
      </c>
      <c r="BB348" s="1">
        <v>31478.49</v>
      </c>
      <c r="BC348" s="1">
        <v>471.96</v>
      </c>
      <c r="BD348" s="1">
        <v>542133</v>
      </c>
      <c r="BE348" s="1">
        <v>8072.9999999999982</v>
      </c>
      <c r="BF348" s="1">
        <v>6.8310000000000004</v>
      </c>
      <c r="BG348" s="1">
        <v>6.8310000000000004</v>
      </c>
      <c r="BH348" s="1">
        <f t="shared" ref="BH348:BH353" si="124">BD348/BF348</f>
        <v>79363.636363636353</v>
      </c>
      <c r="BI348" s="1">
        <f t="shared" ref="BI348:BI353" si="125">SQRT((BG348/BF348)^2+(BE348/BD348)^2)*BH348</f>
        <v>79372.435209425064</v>
      </c>
    </row>
    <row r="349" spans="1:61" x14ac:dyDescent="0.2">
      <c r="A349" t="s">
        <v>41</v>
      </c>
      <c r="B349" t="s">
        <v>38</v>
      </c>
      <c r="C349" t="s">
        <v>42</v>
      </c>
      <c r="D349" t="s">
        <v>43</v>
      </c>
      <c r="E349">
        <v>45676</v>
      </c>
      <c r="F349">
        <v>47827</v>
      </c>
      <c r="G349" t="s">
        <v>43</v>
      </c>
      <c r="H349" s="1">
        <v>772</v>
      </c>
      <c r="I349" s="1">
        <v>700</v>
      </c>
      <c r="J349" s="11">
        <v>0.70499999999999996</v>
      </c>
      <c r="K349" s="11">
        <f t="shared" ca="1" si="118"/>
        <v>2.4470594598415461E-2</v>
      </c>
      <c r="L349" s="8">
        <v>8.4900000000000003E-2</v>
      </c>
      <c r="M349" s="8">
        <f t="shared" ca="1" si="119"/>
        <v>2.8588815995070518E-3</v>
      </c>
      <c r="N349" s="8">
        <v>0.98594999999999999</v>
      </c>
      <c r="O349" s="9">
        <v>11.778560000000001</v>
      </c>
      <c r="P349" s="9">
        <f t="shared" ca="1" si="120"/>
        <v>0.39662564122821159</v>
      </c>
      <c r="Q349" s="10">
        <v>5.8889999999999998E-2</v>
      </c>
      <c r="R349" s="10">
        <f t="shared" ca="1" si="121"/>
        <v>1.2083512899815185E-3</v>
      </c>
      <c r="S349" s="9">
        <f t="shared" si="122"/>
        <v>0.4811736857140011</v>
      </c>
      <c r="T349" s="12">
        <v>2.7949999999999999E-2</v>
      </c>
      <c r="U349" s="12">
        <f t="shared" ca="1" si="123"/>
        <v>9.1152674124240596E-4</v>
      </c>
      <c r="V349" s="6" t="e">
        <f ca="1">IF(agePb6U8(1/O349)&lt;1400,age7corr(1/O349,Q349,$W$2),agePb76(Q349))</f>
        <v>#NAME?</v>
      </c>
      <c r="W349" s="6" t="e">
        <f ca="1">IF(agePb6U8(1/O349)&lt;1400,ageer7corr(V349,1/O349,P349/O349*(1/O349),Q349,R349,$W$2,0.05),ageerPb76(Q349,R349))</f>
        <v>#NAME?</v>
      </c>
      <c r="X349" s="4" t="e">
        <f ca="1">agePb6U8(L349)/agePb7u5(J349)</f>
        <v>#NAME?</v>
      </c>
      <c r="Z349" s="1">
        <v>0.70499999999999996</v>
      </c>
      <c r="AA349" s="1">
        <v>0.02</v>
      </c>
      <c r="AB349" s="1">
        <v>8.4900000000000003E-2</v>
      </c>
      <c r="AC349" s="1">
        <v>2.3E-3</v>
      </c>
      <c r="AD349" s="1">
        <v>0.98594999999999999</v>
      </c>
      <c r="AE349" s="1">
        <v>11.778560000000001</v>
      </c>
      <c r="AF349" s="1">
        <v>0.31908950000000003</v>
      </c>
      <c r="AG349" s="1">
        <v>5.8889999999999998E-2</v>
      </c>
      <c r="AH349" s="1">
        <v>2.7E-4</v>
      </c>
      <c r="AI349" s="1">
        <v>-0.16777</v>
      </c>
      <c r="AJ349" s="1">
        <v>2.7949999999999999E-2</v>
      </c>
      <c r="AK349" s="1">
        <v>7.2000000000000005E-4</v>
      </c>
      <c r="AL349" s="1">
        <v>3.6149</v>
      </c>
      <c r="AM349" s="1">
        <v>7.7000000000000002E-3</v>
      </c>
      <c r="AN349" s="1">
        <v>541</v>
      </c>
      <c r="AO349" s="1">
        <v>12</v>
      </c>
      <c r="AP349" s="1">
        <v>525</v>
      </c>
      <c r="AQ349" s="1">
        <v>13</v>
      </c>
      <c r="AR349" s="1">
        <v>557</v>
      </c>
      <c r="AS349" s="1">
        <v>14</v>
      </c>
      <c r="AT349" s="1">
        <v>563</v>
      </c>
      <c r="AU349" s="1">
        <v>10</v>
      </c>
      <c r="AV349" s="1">
        <v>166.6</v>
      </c>
      <c r="AW349" s="1">
        <v>3.4</v>
      </c>
      <c r="AX349" s="1">
        <v>54.300000000000004</v>
      </c>
      <c r="AY349" s="1">
        <v>1.4</v>
      </c>
      <c r="AZ349" s="1">
        <v>125628.3</v>
      </c>
      <c r="BA349" s="1">
        <v>2359.7999999999997</v>
      </c>
      <c r="BB349" s="1">
        <v>32540.400000000001</v>
      </c>
      <c r="BC349" s="1">
        <v>621</v>
      </c>
      <c r="BD349" s="1">
        <v>555174</v>
      </c>
      <c r="BE349" s="1">
        <v>10557</v>
      </c>
      <c r="BF349" s="1">
        <v>37.26</v>
      </c>
      <c r="BG349" s="1">
        <v>6.2099999999999991</v>
      </c>
      <c r="BH349" s="1">
        <f t="shared" si="124"/>
        <v>14900</v>
      </c>
      <c r="BI349" s="1">
        <f t="shared" si="125"/>
        <v>2499.4443827023279</v>
      </c>
    </row>
    <row r="350" spans="1:61" x14ac:dyDescent="0.2">
      <c r="A350" t="s">
        <v>44</v>
      </c>
      <c r="B350" t="s">
        <v>38</v>
      </c>
      <c r="C350" t="s">
        <v>45</v>
      </c>
      <c r="D350" t="s">
        <v>46</v>
      </c>
      <c r="E350">
        <v>45796</v>
      </c>
      <c r="F350">
        <v>47852</v>
      </c>
      <c r="G350" t="s">
        <v>46</v>
      </c>
      <c r="H350" s="1">
        <v>794</v>
      </c>
      <c r="I350" s="1">
        <v>701</v>
      </c>
      <c r="J350" s="11">
        <v>0.70399999999999996</v>
      </c>
      <c r="K350" s="11">
        <f t="shared" ca="1" si="118"/>
        <v>2.0572953118111168E-2</v>
      </c>
      <c r="L350" s="8">
        <v>8.4599999999999995E-2</v>
      </c>
      <c r="M350" s="8">
        <f t="shared" ca="1" si="119"/>
        <v>2.3985128725941829E-3</v>
      </c>
      <c r="N350" s="8">
        <v>0.98817999999999995</v>
      </c>
      <c r="O350" s="9">
        <v>11.82033</v>
      </c>
      <c r="P350" s="9">
        <f t="shared" ca="1" si="120"/>
        <v>0.33512075602522745</v>
      </c>
      <c r="Q350" s="10">
        <v>5.9299999999999999E-2</v>
      </c>
      <c r="R350" s="10">
        <f t="shared" ca="1" si="121"/>
        <v>1.220940620996779E-3</v>
      </c>
      <c r="S350" s="9">
        <f t="shared" si="122"/>
        <v>0.39284822540273329</v>
      </c>
      <c r="T350" s="12">
        <v>2.8930000000000001E-2</v>
      </c>
      <c r="U350" s="12">
        <f t="shared" ca="1" si="123"/>
        <v>7.7793184791471288E-4</v>
      </c>
      <c r="V350" s="6" t="e">
        <f ca="1">IF(agePb6U8(1/O350)&lt;1400,age7corr(1/O350,Q350,$W$2),agePb76(Q350))</f>
        <v>#NAME?</v>
      </c>
      <c r="W350" s="6" t="e">
        <f ca="1">IF(agePb6U8(1/O350)&lt;1400,ageer7corr(V350,1/O350,P350/O350*(1/O350),Q350,R350,$W$2,0.05),ageerPb76(Q350,R350))</f>
        <v>#NAME?</v>
      </c>
      <c r="X350" s="4" t="e">
        <f ca="1">agePb6U8(L350)/agePb7u5(J350)</f>
        <v>#NAME?</v>
      </c>
      <c r="Z350" s="1">
        <v>0.70399999999999996</v>
      </c>
      <c r="AA350" s="1">
        <v>1.4999999999999999E-2</v>
      </c>
      <c r="AB350" s="1">
        <v>8.4599999999999995E-2</v>
      </c>
      <c r="AC350" s="1">
        <v>1.6999999999999999E-3</v>
      </c>
      <c r="AD350" s="1">
        <v>0.98817999999999995</v>
      </c>
      <c r="AE350" s="1">
        <v>11.82033</v>
      </c>
      <c r="AF350" s="1">
        <v>0.2375244</v>
      </c>
      <c r="AG350" s="1">
        <v>5.9299999999999999E-2</v>
      </c>
      <c r="AH350" s="1">
        <v>2.9E-4</v>
      </c>
      <c r="AI350" s="1">
        <v>0.31431999999999999</v>
      </c>
      <c r="AJ350" s="1">
        <v>2.8930000000000001E-2</v>
      </c>
      <c r="AK350" s="1">
        <v>5.1999999999999995E-4</v>
      </c>
      <c r="AL350" s="1">
        <v>3.613</v>
      </c>
      <c r="AM350" s="1">
        <v>1.0999999999999999E-2</v>
      </c>
      <c r="AN350" s="1">
        <v>541.20000000000005</v>
      </c>
      <c r="AO350" s="1">
        <v>8.8000000000000007</v>
      </c>
      <c r="AP350" s="1">
        <v>524</v>
      </c>
      <c r="AQ350" s="1">
        <v>10</v>
      </c>
      <c r="AR350" s="1">
        <v>576</v>
      </c>
      <c r="AS350" s="1">
        <v>10</v>
      </c>
      <c r="AT350" s="1">
        <v>578</v>
      </c>
      <c r="AU350" s="1">
        <v>11</v>
      </c>
      <c r="AV350" s="1">
        <v>171.3</v>
      </c>
      <c r="AW350" s="1">
        <v>3.3</v>
      </c>
      <c r="AX350" s="1">
        <v>54.300000000000004</v>
      </c>
      <c r="AY350" s="1">
        <v>1.4</v>
      </c>
      <c r="AZ350" s="1">
        <v>128609.09999999998</v>
      </c>
      <c r="BA350" s="1">
        <v>2049.3000000000002</v>
      </c>
      <c r="BB350" s="1">
        <v>33502.950000000004</v>
      </c>
      <c r="BC350" s="1">
        <v>534.05999999999995</v>
      </c>
      <c r="BD350" s="1">
        <v>570699</v>
      </c>
      <c r="BE350" s="1">
        <v>8072.9999999999982</v>
      </c>
      <c r="BF350" s="1">
        <v>9.3149999999999995</v>
      </c>
      <c r="BG350" s="1">
        <v>9.3149999999999995</v>
      </c>
      <c r="BH350" s="1">
        <f t="shared" si="124"/>
        <v>61266.666666666672</v>
      </c>
      <c r="BI350" s="1">
        <f t="shared" si="125"/>
        <v>61272.796211333109</v>
      </c>
    </row>
    <row r="351" spans="1:61" x14ac:dyDescent="0.2">
      <c r="A351" t="s">
        <v>47</v>
      </c>
      <c r="B351" t="s">
        <v>38</v>
      </c>
      <c r="C351" t="s">
        <v>48</v>
      </c>
      <c r="D351" t="s">
        <v>49</v>
      </c>
      <c r="E351">
        <v>45827</v>
      </c>
      <c r="F351">
        <v>47891</v>
      </c>
      <c r="G351" t="s">
        <v>49</v>
      </c>
      <c r="H351" s="1">
        <v>786</v>
      </c>
      <c r="I351" s="1">
        <v>686</v>
      </c>
      <c r="J351" s="11">
        <v>0.69299999999999995</v>
      </c>
      <c r="K351" s="11">
        <f t="shared" ca="1" si="118"/>
        <v>2.2717825600175733E-2</v>
      </c>
      <c r="L351" s="8">
        <v>8.3000000000000004E-2</v>
      </c>
      <c r="M351" s="8">
        <f t="shared" ca="1" si="119"/>
        <v>2.6768638366566205E-3</v>
      </c>
      <c r="N351" s="8">
        <v>0.99412999999999996</v>
      </c>
      <c r="O351" s="9">
        <v>12.04819</v>
      </c>
      <c r="P351" s="9">
        <f t="shared" ca="1" si="120"/>
        <v>0.38857071239721608</v>
      </c>
      <c r="Q351" s="10">
        <v>5.9150000000000001E-2</v>
      </c>
      <c r="R351" s="10">
        <f t="shared" ca="1" si="121"/>
        <v>1.2070994159554549E-3</v>
      </c>
      <c r="S351" s="9">
        <f t="shared" si="122"/>
        <v>0.45046146081032351</v>
      </c>
      <c r="T351" s="12">
        <v>2.8320000000000001E-2</v>
      </c>
      <c r="U351" s="12">
        <f t="shared" ca="1" si="123"/>
        <v>8.0356017820695921E-4</v>
      </c>
      <c r="V351" s="6" t="e">
        <f ca="1">IF(agePb6U8(1/O351)&lt;1400,age7corr(1/O351,Q351,$W$2),agePb76(Q351))</f>
        <v>#NAME?</v>
      </c>
      <c r="W351" s="6" t="e">
        <f ca="1">IF(agePb6U8(1/O351)&lt;1400,ageer7corr(V351,1/O351,P351/O351*(1/O351),Q351,R351,$W$2,0.05),ageerPb76(Q351,R351))</f>
        <v>#NAME?</v>
      </c>
      <c r="X351" s="4" t="e">
        <f ca="1">agePb6U8(L351)/agePb7u5(J351)</f>
        <v>#NAME?</v>
      </c>
      <c r="Z351" s="1">
        <v>0.69299999999999995</v>
      </c>
      <c r="AA351" s="1">
        <v>1.7999999999999999E-2</v>
      </c>
      <c r="AB351" s="1">
        <v>8.3000000000000004E-2</v>
      </c>
      <c r="AC351" s="1">
        <v>2.0999999999999999E-3</v>
      </c>
      <c r="AD351" s="1">
        <v>0.99412999999999996</v>
      </c>
      <c r="AE351" s="1">
        <v>12.04819</v>
      </c>
      <c r="AF351" s="1">
        <v>0.30483379999999999</v>
      </c>
      <c r="AG351" s="1">
        <v>5.9150000000000001E-2</v>
      </c>
      <c r="AH351" s="1">
        <v>2.4000000000000001E-4</v>
      </c>
      <c r="AI351" s="1">
        <v>-0.32172000000000001</v>
      </c>
      <c r="AJ351" s="1">
        <v>2.8320000000000001E-2</v>
      </c>
      <c r="AK351" s="1">
        <v>5.6999999999999998E-4</v>
      </c>
      <c r="AL351" s="1">
        <v>3.64</v>
      </c>
      <c r="AM351" s="1">
        <v>1.2999999999999999E-2</v>
      </c>
      <c r="AN351" s="1">
        <v>534</v>
      </c>
      <c r="AO351" s="1">
        <v>11</v>
      </c>
      <c r="AP351" s="1">
        <v>514</v>
      </c>
      <c r="AQ351" s="1">
        <v>12</v>
      </c>
      <c r="AR351" s="1">
        <v>564</v>
      </c>
      <c r="AS351" s="1">
        <v>11</v>
      </c>
      <c r="AT351" s="1">
        <v>572.70000000000005</v>
      </c>
      <c r="AU351" s="1">
        <v>8.6999999999999993</v>
      </c>
      <c r="AV351" s="1">
        <v>169.6</v>
      </c>
      <c r="AW351" s="1">
        <v>3.1</v>
      </c>
      <c r="AX351" s="1">
        <v>53.199999999999996</v>
      </c>
      <c r="AY351" s="1">
        <v>1.2</v>
      </c>
      <c r="AZ351" s="1">
        <v>125876.70000000001</v>
      </c>
      <c r="BA351" s="1">
        <v>1614.6</v>
      </c>
      <c r="BB351" s="1">
        <v>32981.31</v>
      </c>
      <c r="BC351" s="1">
        <v>447.12</v>
      </c>
      <c r="BD351" s="1">
        <v>560763</v>
      </c>
      <c r="BE351" s="1">
        <v>8072.9999999999982</v>
      </c>
      <c r="BF351" s="1">
        <v>6.2099999999999991</v>
      </c>
      <c r="BG351" s="1">
        <v>8.0729999999999986</v>
      </c>
      <c r="BH351" s="1">
        <f t="shared" si="124"/>
        <v>90300.000000000015</v>
      </c>
      <c r="BI351" s="1">
        <f t="shared" si="125"/>
        <v>117397.19800744823</v>
      </c>
    </row>
    <row r="352" spans="1:61" x14ac:dyDescent="0.2">
      <c r="A352" t="s">
        <v>50</v>
      </c>
      <c r="B352" t="s">
        <v>38</v>
      </c>
      <c r="C352" t="s">
        <v>51</v>
      </c>
      <c r="D352" t="s">
        <v>52</v>
      </c>
      <c r="E352">
        <v>40614</v>
      </c>
      <c r="F352">
        <v>49097</v>
      </c>
      <c r="G352" t="s">
        <v>52</v>
      </c>
      <c r="H352" s="1">
        <v>72.400000000000006</v>
      </c>
      <c r="I352" s="1">
        <v>26.81</v>
      </c>
      <c r="J352" s="11">
        <v>1.8280000000000001</v>
      </c>
      <c r="K352" s="11">
        <f t="shared" ca="1" si="118"/>
        <v>6.1940565060386719E-2</v>
      </c>
      <c r="L352" s="8">
        <v>0.17549999999999999</v>
      </c>
      <c r="M352" s="8">
        <f t="shared" ca="1" si="119"/>
        <v>5.1730165281004079E-3</v>
      </c>
      <c r="N352" s="8">
        <v>0.97314000000000001</v>
      </c>
      <c r="O352" s="9">
        <v>5.6980060000000003</v>
      </c>
      <c r="P352" s="9">
        <f t="shared" ca="1" si="120"/>
        <v>0.16795370679379007</v>
      </c>
      <c r="Q352" s="10">
        <v>7.4679999999999996E-2</v>
      </c>
      <c r="R352" s="10">
        <f t="shared" ca="1" si="121"/>
        <v>1.5916472473509952E-3</v>
      </c>
      <c r="S352" s="9">
        <f t="shared" si="122"/>
        <v>0.44628034301050179</v>
      </c>
      <c r="T352" s="12">
        <v>5.5399999999999998E-2</v>
      </c>
      <c r="U352" s="12">
        <f t="shared" ca="1" si="123"/>
        <v>1.9461921796163912E-3</v>
      </c>
      <c r="V352" s="6" t="e">
        <f ca="1">IF(agePb6U8(1/O352)&lt;1400,age7corr(1/O352,Q352,$W$2),agePb76(Q352))</f>
        <v>#NAME?</v>
      </c>
      <c r="W352" s="6" t="e">
        <f ca="1">IF(agePb6U8(1/O352)&lt;1400,ageer7corr(V352,1/O352,P352/O352*(1/O352),Q352,R352,$W$2,0.05),ageerPb76(Q352,R352))</f>
        <v>#NAME?</v>
      </c>
      <c r="X352" s="4" t="e">
        <f ca="1">agePb6U8(L352)/agePb7u5(J352)</f>
        <v>#NAME?</v>
      </c>
      <c r="Z352" s="1">
        <v>1.8280000000000001</v>
      </c>
      <c r="AA352" s="1">
        <v>0.05</v>
      </c>
      <c r="AB352" s="1">
        <v>0.17549999999999999</v>
      </c>
      <c r="AC352" s="1">
        <v>3.8E-3</v>
      </c>
      <c r="AD352" s="1">
        <v>0.97314000000000001</v>
      </c>
      <c r="AE352" s="1">
        <v>5.6980060000000003</v>
      </c>
      <c r="AF352" s="1">
        <v>0.1233756</v>
      </c>
      <c r="AG352" s="1">
        <v>7.4679999999999996E-2</v>
      </c>
      <c r="AH352" s="1">
        <v>5.5000000000000003E-4</v>
      </c>
      <c r="AI352" s="1">
        <v>-0.33448</v>
      </c>
      <c r="AJ352" s="1">
        <v>5.5399999999999998E-2</v>
      </c>
      <c r="AK352" s="1">
        <v>1.6000000000000001E-3</v>
      </c>
      <c r="AL352" s="1">
        <v>9.3520000000000003</v>
      </c>
      <c r="AM352" s="1">
        <v>0.06</v>
      </c>
      <c r="AN352" s="1">
        <v>1055</v>
      </c>
      <c r="AO352" s="1">
        <v>18</v>
      </c>
      <c r="AP352" s="1">
        <v>1042</v>
      </c>
      <c r="AQ352" s="1">
        <v>21</v>
      </c>
      <c r="AR352" s="1">
        <v>1089</v>
      </c>
      <c r="AS352" s="1">
        <v>30</v>
      </c>
      <c r="AT352" s="1">
        <v>1060</v>
      </c>
      <c r="AU352" s="1">
        <v>15</v>
      </c>
      <c r="AV352" s="1">
        <v>15.610000000000001</v>
      </c>
      <c r="AW352" s="1">
        <v>0.32</v>
      </c>
      <c r="AX352" s="1">
        <v>2.0790000000000002</v>
      </c>
      <c r="AY352" s="1">
        <v>0.04</v>
      </c>
      <c r="AZ352" s="1">
        <v>9544.77</v>
      </c>
      <c r="BA352" s="1">
        <v>186.3</v>
      </c>
      <c r="BB352" s="1">
        <v>8023.3200000000006</v>
      </c>
      <c r="BC352" s="1">
        <v>204.93</v>
      </c>
      <c r="BD352" s="1">
        <v>108240.29999999999</v>
      </c>
      <c r="BE352" s="1">
        <v>2235.6000000000004</v>
      </c>
      <c r="BF352" s="1">
        <v>1.242</v>
      </c>
      <c r="BG352" s="1">
        <v>5.2164000000000001</v>
      </c>
      <c r="BH352" s="1">
        <f t="shared" si="124"/>
        <v>87149.999999999985</v>
      </c>
      <c r="BI352" s="1">
        <f t="shared" si="125"/>
        <v>366034.42583997478</v>
      </c>
    </row>
    <row r="353" spans="1:61" x14ac:dyDescent="0.2">
      <c r="A353" t="s">
        <v>53</v>
      </c>
      <c r="B353" t="s">
        <v>38</v>
      </c>
      <c r="C353" t="s">
        <v>54</v>
      </c>
      <c r="D353" t="s">
        <v>55</v>
      </c>
      <c r="E353">
        <v>39001</v>
      </c>
      <c r="F353">
        <v>44261</v>
      </c>
      <c r="G353" t="s">
        <v>55</v>
      </c>
      <c r="H353" s="1">
        <v>529</v>
      </c>
      <c r="I353" s="1">
        <v>51.07</v>
      </c>
      <c r="J353" s="11">
        <v>0.38850000000000001</v>
      </c>
      <c r="K353" s="11">
        <f t="shared" ca="1" si="118"/>
        <v>1.1739373918569933E-2</v>
      </c>
      <c r="L353" s="8">
        <v>5.1299999999999998E-2</v>
      </c>
      <c r="M353" s="8">
        <f t="shared" ca="1" si="119"/>
        <v>1.5042193988909994E-3</v>
      </c>
      <c r="N353" s="8">
        <v>0.95898000000000005</v>
      </c>
      <c r="O353" s="9">
        <v>19.493179999999999</v>
      </c>
      <c r="P353" s="9">
        <f t="shared" ca="1" si="120"/>
        <v>0.57157931498149928</v>
      </c>
      <c r="Q353" s="10">
        <v>5.3530000000000001E-2</v>
      </c>
      <c r="R353" s="10">
        <f t="shared" ca="1" si="121"/>
        <v>1.1232917519504895E-3</v>
      </c>
      <c r="S353" s="9">
        <f t="shared" si="122"/>
        <v>0.46893505858515322</v>
      </c>
      <c r="T353" s="12">
        <v>1.636E-2</v>
      </c>
      <c r="U353" s="12">
        <f t="shared" ca="1" si="123"/>
        <v>5.0145771506678418E-4</v>
      </c>
      <c r="V353" s="6" t="e">
        <f ca="1">IF(agePb6U8(1/O353)&lt;1400,age7corr(1/O353,Q353,$W$2),agePb76(Q353))</f>
        <v>#NAME?</v>
      </c>
      <c r="W353" s="6" t="e">
        <f ca="1">IF(agePb6U8(1/O353)&lt;1400,ageer7corr(V353,1/O353,P353/O353*(1/O353),Q353,R353,$W$2,0.05),ageerPb76(Q353,R353))</f>
        <v>#NAME?</v>
      </c>
      <c r="X353" s="4" t="e">
        <f ca="1">agePb6U8(L353)/agePb7u5(J353)</f>
        <v>#NAME?</v>
      </c>
      <c r="Z353" s="1">
        <v>0.38850000000000001</v>
      </c>
      <c r="AA353" s="1">
        <v>8.8000000000000005E-3</v>
      </c>
      <c r="AB353" s="1">
        <v>5.1299999999999998E-2</v>
      </c>
      <c r="AC353" s="1">
        <v>1.1000000000000001E-3</v>
      </c>
      <c r="AD353" s="1">
        <v>0.95898000000000005</v>
      </c>
      <c r="AE353" s="1">
        <v>19.493179999999999</v>
      </c>
      <c r="AF353" s="1">
        <v>0.41798239999999998</v>
      </c>
      <c r="AG353" s="1">
        <v>5.3530000000000001E-2</v>
      </c>
      <c r="AH353" s="1">
        <v>3.4000000000000002E-4</v>
      </c>
      <c r="AI353" s="1">
        <v>0.27339999999999998</v>
      </c>
      <c r="AJ353" s="1">
        <v>1.636E-2</v>
      </c>
      <c r="AK353" s="1">
        <v>3.8000000000000002E-4</v>
      </c>
      <c r="AL353" s="1">
        <v>35.21</v>
      </c>
      <c r="AM353" s="1">
        <v>0.38</v>
      </c>
      <c r="AN353" s="1">
        <v>333.2</v>
      </c>
      <c r="AO353" s="1">
        <v>6.5</v>
      </c>
      <c r="AP353" s="1">
        <v>322.39999999999998</v>
      </c>
      <c r="AQ353" s="1">
        <v>6.8</v>
      </c>
      <c r="AR353" s="1">
        <v>328.1</v>
      </c>
      <c r="AS353" s="1">
        <v>7.6</v>
      </c>
      <c r="AT353" s="1">
        <v>351</v>
      </c>
      <c r="AU353" s="1">
        <v>14</v>
      </c>
      <c r="AV353" s="1">
        <v>114</v>
      </c>
      <c r="AW353" s="1">
        <v>2.2000000000000002</v>
      </c>
      <c r="AX353" s="1">
        <v>3.9589999999999996</v>
      </c>
      <c r="AY353" s="1">
        <v>6.2E-2</v>
      </c>
      <c r="AZ353" s="1">
        <v>5334.39</v>
      </c>
      <c r="BA353" s="1">
        <v>111.78</v>
      </c>
      <c r="BB353" s="1">
        <v>12277.17</v>
      </c>
      <c r="BC353" s="1">
        <v>186.3</v>
      </c>
      <c r="BD353" s="1">
        <v>230142.6</v>
      </c>
      <c r="BE353" s="1">
        <v>3726.0000000000005</v>
      </c>
      <c r="BF353" s="1">
        <v>2.1114000000000002</v>
      </c>
      <c r="BG353" s="1">
        <v>5.7131999999999996</v>
      </c>
      <c r="BH353" s="1">
        <f t="shared" si="124"/>
        <v>109000</v>
      </c>
      <c r="BI353" s="1">
        <f t="shared" si="125"/>
        <v>294946.45575884759</v>
      </c>
    </row>
    <row r="354" spans="1:61" x14ac:dyDescent="0.2">
      <c r="K354" s="11">
        <v>0.02</v>
      </c>
      <c r="M354" s="8">
        <v>0.02</v>
      </c>
      <c r="P354" s="9">
        <v>0.02</v>
      </c>
      <c r="R354" s="10">
        <v>0.02</v>
      </c>
      <c r="U354" s="12">
        <v>0.02</v>
      </c>
      <c r="V354" s="6">
        <v>0</v>
      </c>
      <c r="W354" s="7" t="e">
        <f ca="1">SingleStagePbR(V354,1)/SingleStagePbR(V354,0)</f>
        <v>#NAME?</v>
      </c>
      <c r="X354" s="4"/>
    </row>
  </sheetData>
  <sortState xmlns:xlrd2="http://schemas.microsoft.com/office/spreadsheetml/2017/richdata2" ref="A2:EL2032">
    <sortCondition ref="G2:G203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MacdRun9.2_Output_1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Earth User</dc:creator>
  <cp:lastModifiedBy>Eliel Anttila</cp:lastModifiedBy>
  <dcterms:created xsi:type="dcterms:W3CDTF">2020-09-24T17:36:32Z</dcterms:created>
  <dcterms:modified xsi:type="dcterms:W3CDTF">2023-12-27T23:18:24Z</dcterms:modified>
</cp:coreProperties>
</file>